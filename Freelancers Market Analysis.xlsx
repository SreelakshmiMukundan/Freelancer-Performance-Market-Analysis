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A81F35E7-B2F5-4680-B6B0-1D709CAFB34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leaning" sheetId="1" r:id="rId1"/>
    <sheet name="Final table" sheetId="5" r:id="rId2"/>
    <sheet name="Summarysheet" sheetId="6" r:id="rId3"/>
  </sheets>
  <calcPr calcId="191029"/>
  <pivotCaches>
    <pivotCache cacheId="0" r:id="rId4"/>
    <pivotCache cacheId="8" r:id="rId5"/>
  </pivotCaches>
</workbook>
</file>

<file path=xl/calcChain.xml><?xml version="1.0" encoding="utf-8"?>
<calcChain xmlns="http://schemas.openxmlformats.org/spreadsheetml/2006/main">
  <c r="E14" i="5" l="1"/>
  <c r="F14" i="5"/>
  <c r="G14" i="5"/>
  <c r="E15" i="5"/>
  <c r="F15" i="5"/>
  <c r="G15" i="5"/>
  <c r="E16" i="5"/>
  <c r="F16" i="5"/>
  <c r="G16" i="5"/>
  <c r="E17" i="5"/>
  <c r="F17" i="5"/>
  <c r="G17" i="5"/>
  <c r="E18" i="5"/>
  <c r="F18" i="5"/>
  <c r="G18" i="5"/>
  <c r="E19" i="5"/>
  <c r="F19" i="5"/>
  <c r="G19" i="5"/>
  <c r="E20" i="5"/>
  <c r="F20" i="5"/>
  <c r="G20" i="5"/>
  <c r="E21" i="5"/>
  <c r="F21" i="5"/>
  <c r="G21" i="5"/>
  <c r="E22" i="5"/>
  <c r="F22" i="5"/>
  <c r="G22" i="5"/>
  <c r="E23" i="5"/>
  <c r="F23" i="5"/>
  <c r="G23" i="5"/>
  <c r="E24" i="5"/>
  <c r="F24" i="5"/>
  <c r="G24" i="5"/>
  <c r="E25" i="5"/>
  <c r="F25" i="5"/>
  <c r="G25" i="5"/>
  <c r="E26" i="5"/>
  <c r="F26" i="5"/>
  <c r="G26" i="5"/>
  <c r="E27" i="5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E33" i="5"/>
  <c r="F33" i="5"/>
  <c r="G33" i="5"/>
  <c r="E34" i="5"/>
  <c r="F34" i="5"/>
  <c r="G34" i="5"/>
  <c r="E35" i="5"/>
  <c r="F35" i="5"/>
  <c r="G35" i="5"/>
  <c r="E36" i="5"/>
  <c r="F36" i="5"/>
  <c r="G36" i="5"/>
  <c r="E37" i="5"/>
  <c r="F37" i="5"/>
  <c r="G37" i="5"/>
  <c r="E38" i="5"/>
  <c r="F38" i="5"/>
  <c r="G38" i="5"/>
  <c r="E39" i="5"/>
  <c r="F39" i="5"/>
  <c r="G39" i="5"/>
  <c r="E40" i="5"/>
  <c r="F40" i="5"/>
  <c r="G40" i="5"/>
  <c r="E41" i="5"/>
  <c r="F41" i="5"/>
  <c r="G41" i="5"/>
  <c r="E42" i="5"/>
  <c r="F42" i="5"/>
  <c r="G42" i="5"/>
  <c r="E43" i="5"/>
  <c r="F43" i="5"/>
  <c r="G43" i="5"/>
  <c r="E44" i="5"/>
  <c r="F44" i="5"/>
  <c r="G44" i="5"/>
  <c r="E45" i="5"/>
  <c r="F45" i="5"/>
  <c r="G45" i="5"/>
  <c r="E46" i="5"/>
  <c r="F46" i="5"/>
  <c r="G46" i="5"/>
  <c r="E47" i="5"/>
  <c r="F47" i="5"/>
  <c r="G47" i="5"/>
  <c r="E48" i="5"/>
  <c r="F48" i="5"/>
  <c r="G48" i="5"/>
  <c r="E49" i="5"/>
  <c r="F49" i="5"/>
  <c r="G49" i="5"/>
  <c r="E50" i="5"/>
  <c r="F50" i="5"/>
  <c r="G50" i="5"/>
  <c r="E51" i="5"/>
  <c r="F51" i="5"/>
  <c r="G51" i="5"/>
  <c r="E52" i="5"/>
  <c r="F52" i="5"/>
  <c r="G52" i="5"/>
  <c r="E53" i="5"/>
  <c r="F53" i="5"/>
  <c r="G53" i="5"/>
  <c r="E54" i="5"/>
  <c r="F54" i="5"/>
  <c r="G54" i="5"/>
  <c r="E55" i="5"/>
  <c r="F55" i="5"/>
  <c r="G55" i="5"/>
  <c r="E56" i="5"/>
  <c r="F56" i="5"/>
  <c r="G56" i="5"/>
  <c r="E57" i="5"/>
  <c r="F57" i="5"/>
  <c r="G57" i="5"/>
  <c r="E58" i="5"/>
  <c r="F58" i="5"/>
  <c r="G58" i="5"/>
  <c r="E59" i="5"/>
  <c r="F59" i="5"/>
  <c r="G59" i="5"/>
  <c r="E60" i="5"/>
  <c r="F60" i="5"/>
  <c r="G60" i="5"/>
  <c r="E61" i="5"/>
  <c r="F61" i="5"/>
  <c r="G61" i="5"/>
  <c r="E62" i="5"/>
  <c r="F62" i="5"/>
  <c r="G62" i="5"/>
  <c r="E63" i="5"/>
  <c r="F63" i="5"/>
  <c r="G63" i="5"/>
  <c r="E64" i="5"/>
  <c r="F64" i="5"/>
  <c r="G64" i="5"/>
  <c r="E65" i="5"/>
  <c r="F65" i="5"/>
  <c r="G65" i="5"/>
  <c r="E66" i="5"/>
  <c r="F66" i="5"/>
  <c r="G66" i="5"/>
  <c r="E67" i="5"/>
  <c r="F67" i="5"/>
  <c r="G67" i="5"/>
  <c r="E68" i="5"/>
  <c r="F68" i="5"/>
  <c r="G68" i="5"/>
  <c r="E69" i="5"/>
  <c r="F69" i="5"/>
  <c r="G69" i="5"/>
  <c r="E70" i="5"/>
  <c r="F70" i="5"/>
  <c r="G70" i="5"/>
  <c r="E71" i="5"/>
  <c r="F71" i="5"/>
  <c r="G71" i="5"/>
  <c r="E72" i="5"/>
  <c r="F72" i="5"/>
  <c r="G72" i="5"/>
  <c r="E73" i="5"/>
  <c r="F73" i="5"/>
  <c r="G73" i="5"/>
  <c r="E74" i="5"/>
  <c r="F74" i="5"/>
  <c r="G74" i="5"/>
  <c r="E75" i="5"/>
  <c r="F75" i="5"/>
  <c r="G75" i="5"/>
  <c r="E76" i="5"/>
  <c r="F76" i="5"/>
  <c r="G76" i="5"/>
  <c r="E77" i="5"/>
  <c r="F77" i="5"/>
  <c r="G77" i="5"/>
  <c r="E78" i="5"/>
  <c r="F78" i="5"/>
  <c r="G78" i="5"/>
  <c r="E79" i="5"/>
  <c r="F79" i="5"/>
  <c r="G79" i="5"/>
  <c r="E80" i="5"/>
  <c r="F80" i="5"/>
  <c r="G80" i="5"/>
  <c r="E81" i="5"/>
  <c r="F81" i="5"/>
  <c r="G81" i="5"/>
  <c r="E82" i="5"/>
  <c r="F82" i="5"/>
  <c r="G82" i="5"/>
  <c r="E83" i="5"/>
  <c r="F83" i="5"/>
  <c r="G83" i="5"/>
  <c r="E84" i="5"/>
  <c r="F84" i="5"/>
  <c r="G84" i="5"/>
  <c r="E85" i="5"/>
  <c r="F85" i="5"/>
  <c r="G85" i="5"/>
  <c r="E86" i="5"/>
  <c r="F86" i="5"/>
  <c r="G86" i="5"/>
  <c r="E87" i="5"/>
  <c r="F87" i="5"/>
  <c r="G87" i="5"/>
  <c r="E88" i="5"/>
  <c r="F88" i="5"/>
  <c r="G88" i="5"/>
  <c r="E89" i="5"/>
  <c r="F89" i="5"/>
  <c r="G89" i="5"/>
  <c r="E90" i="5"/>
  <c r="F90" i="5"/>
  <c r="G90" i="5"/>
  <c r="E91" i="5"/>
  <c r="F91" i="5"/>
  <c r="G91" i="5"/>
  <c r="E92" i="5"/>
  <c r="F92" i="5"/>
  <c r="G92" i="5"/>
  <c r="E93" i="5"/>
  <c r="F93" i="5"/>
  <c r="G93" i="5"/>
  <c r="E94" i="5"/>
  <c r="F94" i="5"/>
  <c r="G94" i="5"/>
  <c r="E95" i="5"/>
  <c r="F95" i="5"/>
  <c r="G95" i="5"/>
  <c r="E96" i="5"/>
  <c r="F96" i="5"/>
  <c r="G96" i="5"/>
  <c r="E97" i="5"/>
  <c r="F97" i="5"/>
  <c r="G97" i="5"/>
  <c r="E98" i="5"/>
  <c r="F98" i="5"/>
  <c r="G98" i="5"/>
  <c r="E99" i="5"/>
  <c r="F99" i="5"/>
  <c r="G99" i="5"/>
  <c r="E100" i="5"/>
  <c r="F100" i="5"/>
  <c r="G100" i="5"/>
  <c r="E101" i="5"/>
  <c r="F101" i="5"/>
  <c r="G101" i="5"/>
  <c r="E102" i="5"/>
  <c r="F102" i="5"/>
  <c r="G102" i="5"/>
  <c r="E103" i="5"/>
  <c r="F103" i="5"/>
  <c r="G103" i="5"/>
  <c r="E104" i="5"/>
  <c r="F104" i="5"/>
  <c r="G104" i="5"/>
  <c r="E105" i="5"/>
  <c r="F105" i="5"/>
  <c r="G105" i="5"/>
  <c r="E106" i="5"/>
  <c r="F106" i="5"/>
  <c r="G106" i="5"/>
  <c r="E107" i="5"/>
  <c r="F107" i="5"/>
  <c r="G107" i="5"/>
  <c r="E108" i="5"/>
  <c r="F108" i="5"/>
  <c r="G108" i="5"/>
  <c r="E109" i="5"/>
  <c r="F109" i="5"/>
  <c r="G109" i="5"/>
  <c r="E110" i="5"/>
  <c r="F110" i="5"/>
  <c r="G110" i="5"/>
  <c r="E111" i="5"/>
  <c r="F111" i="5"/>
  <c r="G111" i="5"/>
  <c r="E112" i="5"/>
  <c r="F112" i="5"/>
  <c r="G112" i="5"/>
  <c r="E113" i="5"/>
  <c r="F113" i="5"/>
  <c r="G113" i="5"/>
  <c r="E114" i="5"/>
  <c r="F114" i="5"/>
  <c r="G114" i="5"/>
  <c r="E115" i="5"/>
  <c r="F115" i="5"/>
  <c r="G115" i="5"/>
  <c r="E116" i="5"/>
  <c r="F116" i="5"/>
  <c r="G116" i="5"/>
  <c r="E117" i="5"/>
  <c r="F117" i="5"/>
  <c r="G117" i="5"/>
  <c r="E118" i="5"/>
  <c r="F118" i="5"/>
  <c r="G118" i="5"/>
  <c r="E119" i="5"/>
  <c r="F119" i="5"/>
  <c r="G119" i="5"/>
  <c r="E120" i="5"/>
  <c r="F120" i="5"/>
  <c r="G120" i="5"/>
  <c r="E121" i="5"/>
  <c r="F121" i="5"/>
  <c r="G121" i="5"/>
  <c r="E122" i="5"/>
  <c r="F122" i="5"/>
  <c r="G122" i="5"/>
  <c r="E123" i="5"/>
  <c r="F123" i="5"/>
  <c r="G123" i="5"/>
  <c r="E124" i="5"/>
  <c r="F124" i="5"/>
  <c r="G124" i="5"/>
  <c r="E125" i="5"/>
  <c r="F125" i="5"/>
  <c r="G125" i="5"/>
  <c r="E126" i="5"/>
  <c r="F126" i="5"/>
  <c r="G126" i="5"/>
  <c r="E127" i="5"/>
  <c r="F127" i="5"/>
  <c r="G127" i="5"/>
  <c r="E128" i="5"/>
  <c r="F128" i="5"/>
  <c r="G128" i="5"/>
  <c r="E129" i="5"/>
  <c r="F129" i="5"/>
  <c r="G129" i="5"/>
  <c r="E130" i="5"/>
  <c r="F130" i="5"/>
  <c r="G130" i="5"/>
  <c r="E131" i="5"/>
  <c r="F131" i="5"/>
  <c r="G131" i="5"/>
  <c r="E132" i="5"/>
  <c r="F132" i="5"/>
  <c r="G132" i="5"/>
  <c r="E133" i="5"/>
  <c r="F133" i="5"/>
  <c r="G133" i="5"/>
  <c r="E134" i="5"/>
  <c r="F134" i="5"/>
  <c r="G134" i="5"/>
  <c r="E135" i="5"/>
  <c r="F135" i="5"/>
  <c r="G135" i="5"/>
  <c r="E136" i="5"/>
  <c r="F136" i="5"/>
  <c r="G136" i="5"/>
  <c r="E137" i="5"/>
  <c r="F137" i="5"/>
  <c r="G137" i="5"/>
  <c r="E138" i="5"/>
  <c r="F138" i="5"/>
  <c r="G138" i="5"/>
  <c r="E139" i="5"/>
  <c r="F139" i="5"/>
  <c r="G139" i="5"/>
  <c r="E140" i="5"/>
  <c r="F140" i="5"/>
  <c r="G140" i="5"/>
  <c r="E141" i="5"/>
  <c r="F141" i="5"/>
  <c r="G141" i="5"/>
  <c r="E142" i="5"/>
  <c r="F142" i="5"/>
  <c r="G142" i="5"/>
  <c r="E143" i="5"/>
  <c r="F143" i="5"/>
  <c r="G143" i="5"/>
  <c r="E144" i="5"/>
  <c r="F144" i="5"/>
  <c r="G144" i="5"/>
  <c r="E145" i="5"/>
  <c r="F145" i="5"/>
  <c r="G145" i="5"/>
  <c r="E146" i="5"/>
  <c r="F146" i="5"/>
  <c r="G146" i="5"/>
  <c r="E147" i="5"/>
  <c r="F147" i="5"/>
  <c r="G147" i="5"/>
  <c r="E148" i="5"/>
  <c r="F148" i="5"/>
  <c r="G148" i="5"/>
  <c r="E149" i="5"/>
  <c r="F149" i="5"/>
  <c r="G149" i="5"/>
  <c r="E150" i="5"/>
  <c r="F150" i="5"/>
  <c r="G150" i="5"/>
  <c r="E151" i="5"/>
  <c r="F151" i="5"/>
  <c r="G151" i="5"/>
  <c r="E152" i="5"/>
  <c r="F152" i="5"/>
  <c r="G152" i="5"/>
  <c r="E153" i="5"/>
  <c r="F153" i="5"/>
  <c r="G153" i="5"/>
  <c r="E154" i="5"/>
  <c r="F154" i="5"/>
  <c r="G154" i="5"/>
  <c r="E155" i="5"/>
  <c r="F155" i="5"/>
  <c r="G155" i="5"/>
  <c r="E156" i="5"/>
  <c r="F156" i="5"/>
  <c r="G156" i="5"/>
  <c r="E157" i="5"/>
  <c r="F157" i="5"/>
  <c r="G157" i="5"/>
  <c r="E158" i="5"/>
  <c r="F158" i="5"/>
  <c r="G158" i="5"/>
  <c r="E159" i="5"/>
  <c r="F159" i="5"/>
  <c r="G159" i="5"/>
  <c r="E160" i="5"/>
  <c r="F160" i="5"/>
  <c r="G160" i="5"/>
  <c r="E161" i="5"/>
  <c r="F161" i="5"/>
  <c r="G161" i="5"/>
  <c r="E162" i="5"/>
  <c r="F162" i="5"/>
  <c r="G162" i="5"/>
  <c r="E163" i="5"/>
  <c r="F163" i="5"/>
  <c r="G163" i="5"/>
  <c r="E164" i="5"/>
  <c r="F164" i="5"/>
  <c r="G164" i="5"/>
  <c r="E165" i="5"/>
  <c r="F165" i="5"/>
  <c r="G165" i="5"/>
  <c r="E166" i="5"/>
  <c r="F166" i="5"/>
  <c r="G166" i="5"/>
  <c r="E167" i="5"/>
  <c r="F167" i="5"/>
  <c r="G167" i="5"/>
  <c r="E168" i="5"/>
  <c r="F168" i="5"/>
  <c r="G168" i="5"/>
  <c r="E169" i="5"/>
  <c r="F169" i="5"/>
  <c r="G169" i="5"/>
  <c r="E170" i="5"/>
  <c r="F170" i="5"/>
  <c r="G170" i="5"/>
  <c r="E171" i="5"/>
  <c r="F171" i="5"/>
  <c r="G171" i="5"/>
  <c r="E172" i="5"/>
  <c r="F172" i="5"/>
  <c r="G172" i="5"/>
  <c r="E173" i="5"/>
  <c r="F173" i="5"/>
  <c r="G173" i="5"/>
  <c r="E174" i="5"/>
  <c r="F174" i="5"/>
  <c r="G174" i="5"/>
  <c r="E175" i="5"/>
  <c r="F175" i="5"/>
  <c r="G175" i="5"/>
  <c r="E176" i="5"/>
  <c r="F176" i="5"/>
  <c r="G176" i="5"/>
  <c r="E177" i="5"/>
  <c r="F177" i="5"/>
  <c r="G177" i="5"/>
  <c r="E178" i="5"/>
  <c r="F178" i="5"/>
  <c r="G178" i="5"/>
  <c r="E179" i="5"/>
  <c r="F179" i="5"/>
  <c r="G179" i="5"/>
  <c r="E180" i="5"/>
  <c r="F180" i="5"/>
  <c r="G180" i="5"/>
  <c r="E181" i="5"/>
  <c r="F181" i="5"/>
  <c r="G181" i="5"/>
  <c r="E182" i="5"/>
  <c r="F182" i="5"/>
  <c r="G182" i="5"/>
  <c r="E183" i="5"/>
  <c r="F183" i="5"/>
  <c r="G183" i="5"/>
  <c r="E184" i="5"/>
  <c r="F184" i="5"/>
  <c r="G184" i="5"/>
  <c r="E185" i="5"/>
  <c r="F185" i="5"/>
  <c r="G185" i="5"/>
  <c r="E186" i="5"/>
  <c r="F186" i="5"/>
  <c r="G186" i="5"/>
  <c r="E187" i="5"/>
  <c r="F187" i="5"/>
  <c r="G187" i="5"/>
  <c r="E188" i="5"/>
  <c r="F188" i="5"/>
  <c r="G188" i="5"/>
  <c r="E189" i="5"/>
  <c r="F189" i="5"/>
  <c r="G189" i="5"/>
  <c r="E190" i="5"/>
  <c r="F190" i="5"/>
  <c r="G190" i="5"/>
  <c r="E191" i="5"/>
  <c r="F191" i="5"/>
  <c r="G191" i="5"/>
  <c r="E192" i="5"/>
  <c r="F192" i="5"/>
  <c r="G192" i="5"/>
  <c r="E193" i="5"/>
  <c r="F193" i="5"/>
  <c r="G193" i="5"/>
  <c r="E194" i="5"/>
  <c r="F194" i="5"/>
  <c r="G194" i="5"/>
  <c r="E195" i="5"/>
  <c r="F195" i="5"/>
  <c r="G195" i="5"/>
  <c r="E196" i="5"/>
  <c r="F196" i="5"/>
  <c r="G196" i="5"/>
  <c r="E197" i="5"/>
  <c r="F197" i="5"/>
  <c r="G197" i="5"/>
  <c r="E198" i="5"/>
  <c r="F198" i="5"/>
  <c r="G198" i="5"/>
  <c r="E199" i="5"/>
  <c r="F199" i="5"/>
  <c r="G199" i="5"/>
  <c r="E200" i="5"/>
  <c r="F200" i="5"/>
  <c r="G200" i="5"/>
  <c r="E201" i="5"/>
  <c r="F201" i="5"/>
  <c r="G201" i="5"/>
  <c r="E202" i="5"/>
  <c r="F202" i="5"/>
  <c r="G202" i="5"/>
  <c r="E203" i="5"/>
  <c r="F203" i="5"/>
  <c r="G203" i="5"/>
  <c r="E204" i="5"/>
  <c r="F204" i="5"/>
  <c r="G204" i="5"/>
  <c r="E205" i="5"/>
  <c r="F205" i="5"/>
  <c r="G205" i="5"/>
  <c r="E206" i="5"/>
  <c r="F206" i="5"/>
  <c r="G206" i="5"/>
  <c r="E207" i="5"/>
  <c r="F207" i="5"/>
  <c r="G207" i="5"/>
  <c r="E208" i="5"/>
  <c r="F208" i="5"/>
  <c r="G208" i="5"/>
  <c r="E209" i="5"/>
  <c r="F209" i="5"/>
  <c r="G209" i="5"/>
  <c r="E210" i="5"/>
  <c r="F210" i="5"/>
  <c r="G210" i="5"/>
  <c r="E211" i="5"/>
  <c r="F211" i="5"/>
  <c r="G211" i="5"/>
  <c r="E212" i="5"/>
  <c r="F212" i="5"/>
  <c r="G212" i="5"/>
  <c r="E213" i="5"/>
  <c r="F213" i="5"/>
  <c r="G213" i="5"/>
  <c r="E214" i="5"/>
  <c r="F214" i="5"/>
  <c r="G214" i="5"/>
  <c r="E215" i="5"/>
  <c r="F215" i="5"/>
  <c r="G215" i="5"/>
  <c r="E216" i="5"/>
  <c r="F216" i="5"/>
  <c r="G216" i="5"/>
  <c r="E217" i="5"/>
  <c r="F217" i="5"/>
  <c r="G217" i="5"/>
  <c r="E218" i="5"/>
  <c r="F218" i="5"/>
  <c r="G218" i="5"/>
  <c r="E219" i="5"/>
  <c r="F219" i="5"/>
  <c r="G219" i="5"/>
  <c r="E220" i="5"/>
  <c r="F220" i="5"/>
  <c r="G220" i="5"/>
  <c r="E221" i="5"/>
  <c r="F221" i="5"/>
  <c r="G221" i="5"/>
  <c r="E222" i="5"/>
  <c r="F222" i="5"/>
  <c r="G222" i="5"/>
  <c r="E223" i="5"/>
  <c r="F223" i="5"/>
  <c r="G223" i="5"/>
  <c r="E224" i="5"/>
  <c r="F224" i="5"/>
  <c r="G224" i="5"/>
  <c r="E225" i="5"/>
  <c r="F225" i="5"/>
  <c r="G225" i="5"/>
  <c r="E226" i="5"/>
  <c r="F226" i="5"/>
  <c r="G226" i="5"/>
  <c r="E227" i="5"/>
  <c r="F227" i="5"/>
  <c r="G227" i="5"/>
  <c r="E228" i="5"/>
  <c r="F228" i="5"/>
  <c r="G228" i="5"/>
  <c r="E229" i="5"/>
  <c r="F229" i="5"/>
  <c r="G229" i="5"/>
  <c r="E230" i="5"/>
  <c r="F230" i="5"/>
  <c r="G230" i="5"/>
  <c r="E231" i="5"/>
  <c r="F231" i="5"/>
  <c r="G231" i="5"/>
  <c r="E232" i="5"/>
  <c r="F232" i="5"/>
  <c r="G232" i="5"/>
  <c r="E233" i="5"/>
  <c r="F233" i="5"/>
  <c r="G233" i="5"/>
  <c r="E234" i="5"/>
  <c r="F234" i="5"/>
  <c r="G234" i="5"/>
  <c r="E235" i="5"/>
  <c r="F235" i="5"/>
  <c r="G235" i="5"/>
  <c r="E236" i="5"/>
  <c r="F236" i="5"/>
  <c r="G236" i="5"/>
  <c r="E237" i="5"/>
  <c r="F237" i="5"/>
  <c r="G237" i="5"/>
  <c r="E238" i="5"/>
  <c r="F238" i="5"/>
  <c r="G238" i="5"/>
  <c r="E239" i="5"/>
  <c r="F239" i="5"/>
  <c r="G239" i="5"/>
  <c r="E240" i="5"/>
  <c r="F240" i="5"/>
  <c r="G240" i="5"/>
  <c r="E241" i="5"/>
  <c r="F241" i="5"/>
  <c r="G241" i="5"/>
  <c r="E242" i="5"/>
  <c r="F242" i="5"/>
  <c r="G242" i="5"/>
  <c r="E243" i="5"/>
  <c r="F243" i="5"/>
  <c r="G243" i="5"/>
  <c r="E244" i="5"/>
  <c r="F244" i="5"/>
  <c r="G244" i="5"/>
  <c r="E245" i="5"/>
  <c r="F245" i="5"/>
  <c r="G245" i="5"/>
  <c r="E246" i="5"/>
  <c r="F246" i="5"/>
  <c r="G246" i="5"/>
  <c r="E247" i="5"/>
  <c r="F247" i="5"/>
  <c r="G247" i="5"/>
  <c r="E248" i="5"/>
  <c r="F248" i="5"/>
  <c r="G248" i="5"/>
  <c r="E249" i="5"/>
  <c r="F249" i="5"/>
  <c r="G249" i="5"/>
  <c r="E250" i="5"/>
  <c r="F250" i="5"/>
  <c r="G250" i="5"/>
  <c r="E251" i="5"/>
  <c r="F251" i="5"/>
  <c r="G251" i="5"/>
  <c r="E252" i="5"/>
  <c r="F252" i="5"/>
  <c r="G252" i="5"/>
  <c r="E253" i="5"/>
  <c r="F253" i="5"/>
  <c r="G253" i="5"/>
  <c r="E254" i="5"/>
  <c r="F254" i="5"/>
  <c r="G254" i="5"/>
  <c r="E255" i="5"/>
  <c r="F255" i="5"/>
  <c r="G255" i="5"/>
  <c r="E256" i="5"/>
  <c r="F256" i="5"/>
  <c r="G256" i="5"/>
  <c r="E257" i="5"/>
  <c r="F257" i="5"/>
  <c r="G257" i="5"/>
  <c r="E258" i="5"/>
  <c r="F258" i="5"/>
  <c r="G258" i="5"/>
  <c r="E259" i="5"/>
  <c r="F259" i="5"/>
  <c r="G259" i="5"/>
  <c r="E260" i="5"/>
  <c r="F260" i="5"/>
  <c r="G260" i="5"/>
  <c r="E261" i="5"/>
  <c r="F261" i="5"/>
  <c r="G261" i="5"/>
  <c r="E262" i="5"/>
  <c r="F262" i="5"/>
  <c r="G262" i="5"/>
  <c r="E263" i="5"/>
  <c r="F263" i="5"/>
  <c r="G263" i="5"/>
  <c r="E264" i="5"/>
  <c r="F264" i="5"/>
  <c r="G264" i="5"/>
  <c r="E265" i="5"/>
  <c r="F265" i="5"/>
  <c r="G265" i="5"/>
  <c r="E266" i="5"/>
  <c r="F266" i="5"/>
  <c r="G266" i="5"/>
  <c r="E267" i="5"/>
  <c r="F267" i="5"/>
  <c r="G267" i="5"/>
  <c r="E268" i="5"/>
  <c r="F268" i="5"/>
  <c r="G268" i="5"/>
  <c r="E269" i="5"/>
  <c r="F269" i="5"/>
  <c r="G269" i="5"/>
  <c r="E270" i="5"/>
  <c r="F270" i="5"/>
  <c r="G270" i="5"/>
  <c r="E271" i="5"/>
  <c r="F271" i="5"/>
  <c r="G271" i="5"/>
  <c r="E272" i="5"/>
  <c r="F272" i="5"/>
  <c r="G272" i="5"/>
  <c r="E273" i="5"/>
  <c r="F273" i="5"/>
  <c r="G273" i="5"/>
  <c r="E274" i="5"/>
  <c r="F274" i="5"/>
  <c r="G274" i="5"/>
  <c r="E275" i="5"/>
  <c r="F275" i="5"/>
  <c r="G275" i="5"/>
  <c r="E276" i="5"/>
  <c r="F276" i="5"/>
  <c r="G276" i="5"/>
  <c r="E277" i="5"/>
  <c r="F277" i="5"/>
  <c r="G277" i="5"/>
  <c r="E278" i="5"/>
  <c r="F278" i="5"/>
  <c r="G278" i="5"/>
  <c r="E279" i="5"/>
  <c r="F279" i="5"/>
  <c r="G279" i="5"/>
  <c r="E280" i="5"/>
  <c r="F280" i="5"/>
  <c r="G280" i="5"/>
  <c r="E281" i="5"/>
  <c r="F281" i="5"/>
  <c r="G281" i="5"/>
  <c r="E282" i="5"/>
  <c r="F282" i="5"/>
  <c r="G282" i="5"/>
  <c r="E283" i="5"/>
  <c r="F283" i="5"/>
  <c r="G283" i="5"/>
  <c r="E284" i="5"/>
  <c r="F284" i="5"/>
  <c r="G284" i="5"/>
  <c r="E285" i="5"/>
  <c r="F285" i="5"/>
  <c r="G285" i="5"/>
  <c r="E286" i="5"/>
  <c r="F286" i="5"/>
  <c r="G286" i="5"/>
  <c r="E287" i="5"/>
  <c r="F287" i="5"/>
  <c r="G287" i="5"/>
  <c r="E288" i="5"/>
  <c r="F288" i="5"/>
  <c r="G288" i="5"/>
  <c r="E289" i="5"/>
  <c r="F289" i="5"/>
  <c r="G289" i="5"/>
  <c r="E290" i="5"/>
  <c r="F290" i="5"/>
  <c r="G290" i="5"/>
  <c r="E291" i="5"/>
  <c r="F291" i="5"/>
  <c r="G291" i="5"/>
  <c r="E292" i="5"/>
  <c r="F292" i="5"/>
  <c r="G292" i="5"/>
  <c r="E293" i="5"/>
  <c r="F293" i="5"/>
  <c r="G293" i="5"/>
  <c r="E294" i="5"/>
  <c r="F294" i="5"/>
  <c r="G294" i="5"/>
  <c r="E295" i="5"/>
  <c r="F295" i="5"/>
  <c r="G295" i="5"/>
  <c r="E296" i="5"/>
  <c r="F296" i="5"/>
  <c r="G296" i="5"/>
  <c r="E297" i="5"/>
  <c r="F297" i="5"/>
  <c r="G297" i="5"/>
  <c r="E298" i="5"/>
  <c r="F298" i="5"/>
  <c r="G298" i="5"/>
  <c r="E299" i="5"/>
  <c r="F299" i="5"/>
  <c r="G299" i="5"/>
  <c r="E300" i="5"/>
  <c r="F300" i="5"/>
  <c r="G300" i="5"/>
  <c r="E301" i="5"/>
  <c r="F301" i="5"/>
  <c r="G301" i="5"/>
  <c r="E302" i="5"/>
  <c r="F302" i="5"/>
  <c r="G302" i="5"/>
  <c r="E303" i="5"/>
  <c r="F303" i="5"/>
  <c r="G303" i="5"/>
  <c r="E304" i="5"/>
  <c r="F304" i="5"/>
  <c r="G304" i="5"/>
  <c r="E305" i="5"/>
  <c r="F305" i="5"/>
  <c r="G305" i="5"/>
  <c r="E306" i="5"/>
  <c r="F306" i="5"/>
  <c r="G306" i="5"/>
  <c r="E307" i="5"/>
  <c r="F307" i="5"/>
  <c r="G307" i="5"/>
  <c r="E308" i="5"/>
  <c r="F308" i="5"/>
  <c r="G308" i="5"/>
  <c r="E309" i="5"/>
  <c r="F309" i="5"/>
  <c r="G309" i="5"/>
  <c r="E310" i="5"/>
  <c r="F310" i="5"/>
  <c r="G310" i="5"/>
  <c r="E311" i="5"/>
  <c r="F311" i="5"/>
  <c r="G311" i="5"/>
  <c r="E312" i="5"/>
  <c r="F312" i="5"/>
  <c r="G312" i="5"/>
  <c r="E313" i="5"/>
  <c r="F313" i="5"/>
  <c r="G313" i="5"/>
  <c r="E314" i="5"/>
  <c r="F314" i="5"/>
  <c r="G314" i="5"/>
  <c r="E315" i="5"/>
  <c r="F315" i="5"/>
  <c r="G315" i="5"/>
  <c r="E316" i="5"/>
  <c r="F316" i="5"/>
  <c r="G316" i="5"/>
  <c r="E317" i="5"/>
  <c r="F317" i="5"/>
  <c r="G317" i="5"/>
  <c r="E318" i="5"/>
  <c r="F318" i="5"/>
  <c r="G318" i="5"/>
  <c r="E319" i="5"/>
  <c r="F319" i="5"/>
  <c r="G319" i="5"/>
  <c r="E320" i="5"/>
  <c r="F320" i="5"/>
  <c r="G320" i="5"/>
  <c r="E321" i="5"/>
  <c r="F321" i="5"/>
  <c r="G321" i="5"/>
  <c r="E322" i="5"/>
  <c r="F322" i="5"/>
  <c r="G322" i="5"/>
  <c r="E323" i="5"/>
  <c r="F323" i="5"/>
  <c r="G323" i="5"/>
  <c r="E324" i="5"/>
  <c r="F324" i="5"/>
  <c r="G324" i="5"/>
  <c r="E325" i="5"/>
  <c r="F325" i="5"/>
  <c r="G325" i="5"/>
  <c r="E326" i="5"/>
  <c r="F326" i="5"/>
  <c r="G326" i="5"/>
  <c r="E327" i="5"/>
  <c r="F327" i="5"/>
  <c r="G327" i="5"/>
  <c r="E328" i="5"/>
  <c r="F328" i="5"/>
  <c r="G328" i="5"/>
  <c r="E329" i="5"/>
  <c r="F329" i="5"/>
  <c r="G329" i="5"/>
  <c r="E330" i="5"/>
  <c r="F330" i="5"/>
  <c r="G330" i="5"/>
  <c r="E331" i="5"/>
  <c r="F331" i="5"/>
  <c r="G331" i="5"/>
  <c r="E332" i="5"/>
  <c r="F332" i="5"/>
  <c r="G332" i="5"/>
  <c r="E333" i="5"/>
  <c r="F333" i="5"/>
  <c r="G333" i="5"/>
  <c r="E334" i="5"/>
  <c r="F334" i="5"/>
  <c r="G334" i="5"/>
  <c r="E335" i="5"/>
  <c r="F335" i="5"/>
  <c r="G335" i="5"/>
  <c r="E336" i="5"/>
  <c r="F336" i="5"/>
  <c r="G336" i="5"/>
  <c r="E337" i="5"/>
  <c r="F337" i="5"/>
  <c r="G337" i="5"/>
  <c r="E338" i="5"/>
  <c r="F338" i="5"/>
  <c r="G338" i="5"/>
  <c r="E339" i="5"/>
  <c r="F339" i="5"/>
  <c r="G339" i="5"/>
  <c r="E340" i="5"/>
  <c r="F340" i="5"/>
  <c r="G340" i="5"/>
  <c r="E341" i="5"/>
  <c r="F341" i="5"/>
  <c r="G341" i="5"/>
  <c r="E342" i="5"/>
  <c r="F342" i="5"/>
  <c r="G342" i="5"/>
  <c r="E343" i="5"/>
  <c r="F343" i="5"/>
  <c r="G343" i="5"/>
  <c r="E344" i="5"/>
  <c r="F344" i="5"/>
  <c r="G344" i="5"/>
  <c r="E345" i="5"/>
  <c r="F345" i="5"/>
  <c r="G345" i="5"/>
  <c r="E346" i="5"/>
  <c r="F346" i="5"/>
  <c r="G346" i="5"/>
  <c r="E347" i="5"/>
  <c r="F347" i="5"/>
  <c r="G347" i="5"/>
  <c r="E348" i="5"/>
  <c r="F348" i="5"/>
  <c r="G348" i="5"/>
  <c r="E349" i="5"/>
  <c r="F349" i="5"/>
  <c r="G349" i="5"/>
  <c r="E350" i="5"/>
  <c r="F350" i="5"/>
  <c r="G350" i="5"/>
  <c r="E351" i="5"/>
  <c r="F351" i="5"/>
  <c r="G351" i="5"/>
  <c r="E352" i="5"/>
  <c r="F352" i="5"/>
  <c r="G352" i="5"/>
  <c r="E353" i="5"/>
  <c r="F353" i="5"/>
  <c r="G353" i="5"/>
  <c r="E354" i="5"/>
  <c r="F354" i="5"/>
  <c r="G354" i="5"/>
  <c r="E355" i="5"/>
  <c r="F355" i="5"/>
  <c r="G355" i="5"/>
  <c r="E356" i="5"/>
  <c r="F356" i="5"/>
  <c r="G356" i="5"/>
  <c r="E357" i="5"/>
  <c r="F357" i="5"/>
  <c r="G357" i="5"/>
  <c r="E358" i="5"/>
  <c r="F358" i="5"/>
  <c r="G358" i="5"/>
  <c r="E359" i="5"/>
  <c r="F359" i="5"/>
  <c r="G359" i="5"/>
  <c r="E360" i="5"/>
  <c r="F360" i="5"/>
  <c r="G360" i="5"/>
  <c r="E361" i="5"/>
  <c r="F361" i="5"/>
  <c r="G361" i="5"/>
  <c r="E362" i="5"/>
  <c r="F362" i="5"/>
  <c r="G362" i="5"/>
  <c r="E363" i="5"/>
  <c r="F363" i="5"/>
  <c r="G363" i="5"/>
  <c r="E364" i="5"/>
  <c r="F364" i="5"/>
  <c r="G364" i="5"/>
  <c r="E365" i="5"/>
  <c r="F365" i="5"/>
  <c r="G365" i="5"/>
  <c r="E366" i="5"/>
  <c r="F366" i="5"/>
  <c r="G366" i="5"/>
  <c r="E367" i="5"/>
  <c r="F367" i="5"/>
  <c r="G367" i="5"/>
  <c r="E368" i="5"/>
  <c r="F368" i="5"/>
  <c r="G368" i="5"/>
  <c r="E369" i="5"/>
  <c r="F369" i="5"/>
  <c r="G369" i="5"/>
  <c r="E370" i="5"/>
  <c r="F370" i="5"/>
  <c r="G370" i="5"/>
  <c r="E371" i="5"/>
  <c r="F371" i="5"/>
  <c r="G371" i="5"/>
  <c r="E372" i="5"/>
  <c r="F372" i="5"/>
  <c r="G372" i="5"/>
  <c r="E373" i="5"/>
  <c r="F373" i="5"/>
  <c r="G373" i="5"/>
  <c r="E374" i="5"/>
  <c r="F374" i="5"/>
  <c r="G374" i="5"/>
  <c r="E375" i="5"/>
  <c r="F375" i="5"/>
  <c r="G375" i="5"/>
  <c r="E376" i="5"/>
  <c r="F376" i="5"/>
  <c r="G376" i="5"/>
  <c r="E377" i="5"/>
  <c r="F377" i="5"/>
  <c r="G377" i="5"/>
  <c r="E378" i="5"/>
  <c r="F378" i="5"/>
  <c r="G378" i="5"/>
  <c r="E379" i="5"/>
  <c r="F379" i="5"/>
  <c r="G379" i="5"/>
  <c r="E380" i="5"/>
  <c r="F380" i="5"/>
  <c r="G380" i="5"/>
  <c r="E381" i="5"/>
  <c r="F381" i="5"/>
  <c r="G381" i="5"/>
  <c r="E382" i="5"/>
  <c r="F382" i="5"/>
  <c r="G382" i="5"/>
  <c r="E383" i="5"/>
  <c r="F383" i="5"/>
  <c r="G383" i="5"/>
  <c r="E384" i="5"/>
  <c r="F384" i="5"/>
  <c r="G384" i="5"/>
  <c r="E385" i="5"/>
  <c r="F385" i="5"/>
  <c r="G385" i="5"/>
  <c r="E386" i="5"/>
  <c r="F386" i="5"/>
  <c r="G386" i="5"/>
  <c r="E387" i="5"/>
  <c r="F387" i="5"/>
  <c r="G387" i="5"/>
  <c r="E388" i="5"/>
  <c r="F388" i="5"/>
  <c r="G388" i="5"/>
  <c r="E389" i="5"/>
  <c r="F389" i="5"/>
  <c r="G389" i="5"/>
  <c r="E390" i="5"/>
  <c r="F390" i="5"/>
  <c r="G390" i="5"/>
  <c r="E391" i="5"/>
  <c r="F391" i="5"/>
  <c r="G391" i="5"/>
  <c r="E392" i="5"/>
  <c r="F392" i="5"/>
  <c r="G392" i="5"/>
  <c r="E393" i="5"/>
  <c r="F393" i="5"/>
  <c r="G393" i="5"/>
  <c r="E394" i="5"/>
  <c r="F394" i="5"/>
  <c r="G394" i="5"/>
  <c r="E395" i="5"/>
  <c r="F395" i="5"/>
  <c r="G395" i="5"/>
  <c r="E396" i="5"/>
  <c r="F396" i="5"/>
  <c r="G396" i="5"/>
  <c r="E397" i="5"/>
  <c r="F397" i="5"/>
  <c r="G397" i="5"/>
  <c r="E398" i="5"/>
  <c r="F398" i="5"/>
  <c r="G398" i="5"/>
  <c r="E399" i="5"/>
  <c r="F399" i="5"/>
  <c r="G399" i="5"/>
  <c r="E400" i="5"/>
  <c r="F400" i="5"/>
  <c r="G400" i="5"/>
  <c r="E401" i="5"/>
  <c r="F401" i="5"/>
  <c r="G401" i="5"/>
  <c r="E402" i="5"/>
  <c r="F402" i="5"/>
  <c r="G402" i="5"/>
  <c r="E403" i="5"/>
  <c r="F403" i="5"/>
  <c r="G403" i="5"/>
  <c r="E404" i="5"/>
  <c r="F404" i="5"/>
  <c r="G404" i="5"/>
  <c r="E405" i="5"/>
  <c r="F405" i="5"/>
  <c r="G405" i="5"/>
  <c r="E406" i="5"/>
  <c r="F406" i="5"/>
  <c r="G406" i="5"/>
  <c r="E407" i="5"/>
  <c r="F407" i="5"/>
  <c r="G407" i="5"/>
  <c r="E408" i="5"/>
  <c r="F408" i="5"/>
  <c r="G408" i="5"/>
  <c r="E409" i="5"/>
  <c r="F409" i="5"/>
  <c r="G409" i="5"/>
  <c r="E410" i="5"/>
  <c r="F410" i="5"/>
  <c r="G410" i="5"/>
  <c r="E411" i="5"/>
  <c r="F411" i="5"/>
  <c r="G411" i="5"/>
  <c r="E412" i="5"/>
  <c r="F412" i="5"/>
  <c r="G412" i="5"/>
  <c r="E413" i="5"/>
  <c r="F413" i="5"/>
  <c r="G413" i="5"/>
  <c r="E414" i="5"/>
  <c r="F414" i="5"/>
  <c r="G414" i="5"/>
  <c r="E415" i="5"/>
  <c r="F415" i="5"/>
  <c r="G415" i="5"/>
  <c r="E416" i="5"/>
  <c r="F416" i="5"/>
  <c r="G416" i="5"/>
  <c r="E417" i="5"/>
  <c r="F417" i="5"/>
  <c r="G417" i="5"/>
  <c r="E418" i="5"/>
  <c r="F418" i="5"/>
  <c r="G418" i="5"/>
  <c r="E419" i="5"/>
  <c r="F419" i="5"/>
  <c r="G419" i="5"/>
  <c r="E420" i="5"/>
  <c r="F420" i="5"/>
  <c r="G420" i="5"/>
  <c r="E421" i="5"/>
  <c r="F421" i="5"/>
  <c r="G421" i="5"/>
  <c r="E422" i="5"/>
  <c r="F422" i="5"/>
  <c r="G422" i="5"/>
  <c r="E423" i="5"/>
  <c r="F423" i="5"/>
  <c r="G423" i="5"/>
  <c r="E424" i="5"/>
  <c r="F424" i="5"/>
  <c r="G424" i="5"/>
  <c r="E425" i="5"/>
  <c r="F425" i="5"/>
  <c r="G425" i="5"/>
  <c r="E426" i="5"/>
  <c r="F426" i="5"/>
  <c r="G426" i="5"/>
  <c r="E427" i="5"/>
  <c r="F427" i="5"/>
  <c r="G427" i="5"/>
  <c r="E428" i="5"/>
  <c r="F428" i="5"/>
  <c r="G428" i="5"/>
  <c r="E429" i="5"/>
  <c r="F429" i="5"/>
  <c r="G429" i="5"/>
  <c r="E430" i="5"/>
  <c r="F430" i="5"/>
  <c r="G430" i="5"/>
  <c r="E431" i="5"/>
  <c r="F431" i="5"/>
  <c r="G431" i="5"/>
  <c r="E432" i="5"/>
  <c r="F432" i="5"/>
  <c r="G432" i="5"/>
  <c r="E433" i="5"/>
  <c r="F433" i="5"/>
  <c r="G433" i="5"/>
  <c r="E434" i="5"/>
  <c r="F434" i="5"/>
  <c r="G434" i="5"/>
  <c r="E435" i="5"/>
  <c r="F435" i="5"/>
  <c r="G435" i="5"/>
  <c r="E436" i="5"/>
  <c r="F436" i="5"/>
  <c r="G436" i="5"/>
  <c r="E437" i="5"/>
  <c r="F437" i="5"/>
  <c r="G437" i="5"/>
  <c r="E438" i="5"/>
  <c r="F438" i="5"/>
  <c r="G438" i="5"/>
  <c r="E439" i="5"/>
  <c r="F439" i="5"/>
  <c r="G439" i="5"/>
  <c r="E440" i="5"/>
  <c r="F440" i="5"/>
  <c r="G440" i="5"/>
  <c r="E441" i="5"/>
  <c r="F441" i="5"/>
  <c r="G441" i="5"/>
  <c r="E442" i="5"/>
  <c r="F442" i="5"/>
  <c r="G442" i="5"/>
  <c r="E443" i="5"/>
  <c r="F443" i="5"/>
  <c r="G443" i="5"/>
  <c r="E444" i="5"/>
  <c r="F444" i="5"/>
  <c r="G444" i="5"/>
  <c r="E445" i="5"/>
  <c r="F445" i="5"/>
  <c r="G445" i="5"/>
  <c r="E446" i="5"/>
  <c r="F446" i="5"/>
  <c r="G446" i="5"/>
  <c r="E447" i="5"/>
  <c r="F447" i="5"/>
  <c r="G447" i="5"/>
  <c r="E448" i="5"/>
  <c r="F448" i="5"/>
  <c r="G448" i="5"/>
  <c r="E449" i="5"/>
  <c r="F449" i="5"/>
  <c r="G449" i="5"/>
  <c r="E450" i="5"/>
  <c r="F450" i="5"/>
  <c r="G450" i="5"/>
  <c r="E451" i="5"/>
  <c r="F451" i="5"/>
  <c r="G451" i="5"/>
  <c r="E452" i="5"/>
  <c r="F452" i="5"/>
  <c r="G452" i="5"/>
  <c r="E453" i="5"/>
  <c r="F453" i="5"/>
  <c r="G453" i="5"/>
  <c r="E454" i="5"/>
  <c r="F454" i="5"/>
  <c r="G454" i="5"/>
  <c r="E455" i="5"/>
  <c r="F455" i="5"/>
  <c r="G455" i="5"/>
  <c r="E456" i="5"/>
  <c r="F456" i="5"/>
  <c r="G456" i="5"/>
  <c r="E457" i="5"/>
  <c r="F457" i="5"/>
  <c r="G457" i="5"/>
  <c r="E458" i="5"/>
  <c r="F458" i="5"/>
  <c r="G458" i="5"/>
  <c r="E459" i="5"/>
  <c r="F459" i="5"/>
  <c r="G459" i="5"/>
  <c r="E460" i="5"/>
  <c r="F460" i="5"/>
  <c r="G460" i="5"/>
  <c r="E461" i="5"/>
  <c r="F461" i="5"/>
  <c r="G461" i="5"/>
  <c r="E462" i="5"/>
  <c r="F462" i="5"/>
  <c r="G462" i="5"/>
  <c r="E463" i="5"/>
  <c r="F463" i="5"/>
  <c r="G463" i="5"/>
  <c r="E464" i="5"/>
  <c r="F464" i="5"/>
  <c r="G464" i="5"/>
  <c r="E465" i="5"/>
  <c r="F465" i="5"/>
  <c r="G465" i="5"/>
  <c r="E466" i="5"/>
  <c r="F466" i="5"/>
  <c r="G466" i="5"/>
  <c r="E467" i="5"/>
  <c r="F467" i="5"/>
  <c r="G467" i="5"/>
  <c r="E468" i="5"/>
  <c r="F468" i="5"/>
  <c r="G468" i="5"/>
  <c r="E469" i="5"/>
  <c r="F469" i="5"/>
  <c r="G469" i="5"/>
  <c r="E470" i="5"/>
  <c r="F470" i="5"/>
  <c r="G470" i="5"/>
  <c r="E471" i="5"/>
  <c r="F471" i="5"/>
  <c r="G471" i="5"/>
  <c r="E472" i="5"/>
  <c r="F472" i="5"/>
  <c r="G472" i="5"/>
  <c r="E473" i="5"/>
  <c r="F473" i="5"/>
  <c r="G473" i="5"/>
  <c r="E474" i="5"/>
  <c r="F474" i="5"/>
  <c r="G474" i="5"/>
  <c r="E475" i="5"/>
  <c r="F475" i="5"/>
  <c r="G475" i="5"/>
  <c r="E476" i="5"/>
  <c r="F476" i="5"/>
  <c r="G476" i="5"/>
  <c r="E477" i="5"/>
  <c r="F477" i="5"/>
  <c r="G477" i="5"/>
  <c r="E478" i="5"/>
  <c r="F478" i="5"/>
  <c r="G478" i="5"/>
  <c r="E479" i="5"/>
  <c r="F479" i="5"/>
  <c r="G479" i="5"/>
  <c r="E480" i="5"/>
  <c r="F480" i="5"/>
  <c r="G480" i="5"/>
  <c r="E481" i="5"/>
  <c r="F481" i="5"/>
  <c r="G481" i="5"/>
  <c r="E482" i="5"/>
  <c r="F482" i="5"/>
  <c r="G482" i="5"/>
  <c r="E483" i="5"/>
  <c r="F483" i="5"/>
  <c r="G483" i="5"/>
  <c r="E484" i="5"/>
  <c r="F484" i="5"/>
  <c r="G484" i="5"/>
  <c r="E485" i="5"/>
  <c r="F485" i="5"/>
  <c r="G485" i="5"/>
  <c r="E486" i="5"/>
  <c r="F486" i="5"/>
  <c r="G486" i="5"/>
  <c r="E487" i="5"/>
  <c r="F487" i="5"/>
  <c r="G487" i="5"/>
  <c r="E488" i="5"/>
  <c r="F488" i="5"/>
  <c r="G488" i="5"/>
  <c r="E489" i="5"/>
  <c r="F489" i="5"/>
  <c r="G489" i="5"/>
  <c r="E490" i="5"/>
  <c r="F490" i="5"/>
  <c r="G490" i="5"/>
  <c r="E491" i="5"/>
  <c r="F491" i="5"/>
  <c r="G491" i="5"/>
  <c r="E492" i="5"/>
  <c r="F492" i="5"/>
  <c r="G492" i="5"/>
  <c r="E493" i="5"/>
  <c r="F493" i="5"/>
  <c r="G493" i="5"/>
  <c r="E494" i="5"/>
  <c r="F494" i="5"/>
  <c r="G494" i="5"/>
  <c r="E495" i="5"/>
  <c r="F495" i="5"/>
  <c r="G495" i="5"/>
  <c r="E496" i="5"/>
  <c r="F496" i="5"/>
  <c r="G496" i="5"/>
  <c r="E497" i="5"/>
  <c r="F497" i="5"/>
  <c r="G497" i="5"/>
  <c r="E498" i="5"/>
  <c r="F498" i="5"/>
  <c r="G498" i="5"/>
  <c r="E499" i="5"/>
  <c r="F499" i="5"/>
  <c r="G499" i="5"/>
  <c r="E500" i="5"/>
  <c r="F500" i="5"/>
  <c r="G500" i="5"/>
  <c r="E501" i="5"/>
  <c r="F501" i="5"/>
  <c r="G501" i="5"/>
  <c r="E502" i="5"/>
  <c r="F502" i="5"/>
  <c r="G502" i="5"/>
  <c r="E503" i="5"/>
  <c r="F503" i="5"/>
  <c r="G503" i="5"/>
  <c r="E504" i="5"/>
  <c r="F504" i="5"/>
  <c r="G504" i="5"/>
  <c r="E505" i="5"/>
  <c r="F505" i="5"/>
  <c r="G505" i="5"/>
  <c r="E506" i="5"/>
  <c r="F506" i="5"/>
  <c r="G506" i="5"/>
  <c r="E507" i="5"/>
  <c r="F507" i="5"/>
  <c r="G507" i="5"/>
  <c r="E508" i="5"/>
  <c r="F508" i="5"/>
  <c r="G508" i="5"/>
  <c r="E509" i="5"/>
  <c r="F509" i="5"/>
  <c r="G509" i="5"/>
  <c r="E510" i="5"/>
  <c r="F510" i="5"/>
  <c r="G510" i="5"/>
  <c r="E511" i="5"/>
  <c r="F511" i="5"/>
  <c r="G511" i="5"/>
  <c r="E512" i="5"/>
  <c r="F512" i="5"/>
  <c r="G512" i="5"/>
  <c r="E513" i="5"/>
  <c r="F513" i="5"/>
  <c r="G513" i="5"/>
  <c r="E514" i="5"/>
  <c r="F514" i="5"/>
  <c r="G514" i="5"/>
  <c r="E515" i="5"/>
  <c r="F515" i="5"/>
  <c r="G515" i="5"/>
  <c r="E516" i="5"/>
  <c r="F516" i="5"/>
  <c r="G516" i="5"/>
  <c r="E517" i="5"/>
  <c r="F517" i="5"/>
  <c r="G517" i="5"/>
  <c r="E518" i="5"/>
  <c r="F518" i="5"/>
  <c r="G518" i="5"/>
  <c r="E519" i="5"/>
  <c r="F519" i="5"/>
  <c r="G519" i="5"/>
  <c r="E520" i="5"/>
  <c r="F520" i="5"/>
  <c r="G520" i="5"/>
  <c r="E521" i="5"/>
  <c r="F521" i="5"/>
  <c r="G521" i="5"/>
  <c r="E522" i="5"/>
  <c r="F522" i="5"/>
  <c r="G522" i="5"/>
  <c r="E523" i="5"/>
  <c r="F523" i="5"/>
  <c r="G523" i="5"/>
  <c r="E524" i="5"/>
  <c r="F524" i="5"/>
  <c r="G524" i="5"/>
  <c r="E525" i="5"/>
  <c r="F525" i="5"/>
  <c r="G525" i="5"/>
  <c r="E526" i="5"/>
  <c r="F526" i="5"/>
  <c r="G526" i="5"/>
  <c r="E527" i="5"/>
  <c r="F527" i="5"/>
  <c r="G527" i="5"/>
  <c r="E528" i="5"/>
  <c r="F528" i="5"/>
  <c r="G528" i="5"/>
  <c r="E529" i="5"/>
  <c r="F529" i="5"/>
  <c r="G529" i="5"/>
  <c r="E530" i="5"/>
  <c r="F530" i="5"/>
  <c r="G530" i="5"/>
  <c r="E531" i="5"/>
  <c r="F531" i="5"/>
  <c r="G531" i="5"/>
  <c r="E532" i="5"/>
  <c r="F532" i="5"/>
  <c r="G532" i="5"/>
  <c r="E533" i="5"/>
  <c r="F533" i="5"/>
  <c r="G533" i="5"/>
  <c r="E534" i="5"/>
  <c r="F534" i="5"/>
  <c r="G534" i="5"/>
  <c r="E535" i="5"/>
  <c r="F535" i="5"/>
  <c r="G535" i="5"/>
  <c r="E536" i="5"/>
  <c r="F536" i="5"/>
  <c r="G536" i="5"/>
  <c r="E537" i="5"/>
  <c r="F537" i="5"/>
  <c r="G537" i="5"/>
  <c r="E538" i="5"/>
  <c r="F538" i="5"/>
  <c r="G538" i="5"/>
  <c r="E539" i="5"/>
  <c r="F539" i="5"/>
  <c r="G539" i="5"/>
  <c r="E540" i="5"/>
  <c r="F540" i="5"/>
  <c r="G540" i="5"/>
  <c r="E541" i="5"/>
  <c r="F541" i="5"/>
  <c r="G541" i="5"/>
  <c r="E542" i="5"/>
  <c r="F542" i="5"/>
  <c r="G542" i="5"/>
  <c r="E543" i="5"/>
  <c r="F543" i="5"/>
  <c r="G543" i="5"/>
  <c r="E544" i="5"/>
  <c r="F544" i="5"/>
  <c r="G544" i="5"/>
  <c r="E545" i="5"/>
  <c r="F545" i="5"/>
  <c r="G545" i="5"/>
  <c r="E546" i="5"/>
  <c r="F546" i="5"/>
  <c r="G546" i="5"/>
  <c r="E547" i="5"/>
  <c r="F547" i="5"/>
  <c r="G547" i="5"/>
  <c r="E548" i="5"/>
  <c r="F548" i="5"/>
  <c r="G548" i="5"/>
  <c r="E549" i="5"/>
  <c r="F549" i="5"/>
  <c r="G549" i="5"/>
  <c r="E550" i="5"/>
  <c r="F550" i="5"/>
  <c r="G550" i="5"/>
  <c r="E551" i="5"/>
  <c r="F551" i="5"/>
  <c r="G551" i="5"/>
  <c r="E552" i="5"/>
  <c r="F552" i="5"/>
  <c r="G552" i="5"/>
  <c r="E553" i="5"/>
  <c r="F553" i="5"/>
  <c r="G553" i="5"/>
  <c r="E554" i="5"/>
  <c r="F554" i="5"/>
  <c r="G554" i="5"/>
  <c r="E555" i="5"/>
  <c r="F555" i="5"/>
  <c r="G555" i="5"/>
  <c r="E556" i="5"/>
  <c r="F556" i="5"/>
  <c r="G556" i="5"/>
  <c r="E557" i="5"/>
  <c r="F557" i="5"/>
  <c r="G557" i="5"/>
  <c r="E558" i="5"/>
  <c r="F558" i="5"/>
  <c r="G558" i="5"/>
  <c r="E559" i="5"/>
  <c r="F559" i="5"/>
  <c r="G559" i="5"/>
  <c r="E560" i="5"/>
  <c r="F560" i="5"/>
  <c r="G560" i="5"/>
  <c r="E561" i="5"/>
  <c r="F561" i="5"/>
  <c r="G561" i="5"/>
  <c r="E562" i="5"/>
  <c r="F562" i="5"/>
  <c r="G562" i="5"/>
  <c r="E563" i="5"/>
  <c r="F563" i="5"/>
  <c r="G563" i="5"/>
  <c r="E564" i="5"/>
  <c r="F564" i="5"/>
  <c r="G564" i="5"/>
  <c r="E565" i="5"/>
  <c r="F565" i="5"/>
  <c r="G565" i="5"/>
  <c r="E566" i="5"/>
  <c r="F566" i="5"/>
  <c r="G566" i="5"/>
  <c r="E567" i="5"/>
  <c r="F567" i="5"/>
  <c r="G567" i="5"/>
  <c r="E568" i="5"/>
  <c r="F568" i="5"/>
  <c r="G568" i="5"/>
  <c r="E569" i="5"/>
  <c r="F569" i="5"/>
  <c r="G569" i="5"/>
  <c r="E570" i="5"/>
  <c r="F570" i="5"/>
  <c r="G570" i="5"/>
  <c r="E571" i="5"/>
  <c r="F571" i="5"/>
  <c r="G571" i="5"/>
  <c r="E572" i="5"/>
  <c r="F572" i="5"/>
  <c r="G572" i="5"/>
  <c r="E573" i="5"/>
  <c r="F573" i="5"/>
  <c r="G573" i="5"/>
  <c r="E574" i="5"/>
  <c r="F574" i="5"/>
  <c r="G574" i="5"/>
  <c r="E575" i="5"/>
  <c r="F575" i="5"/>
  <c r="G575" i="5"/>
  <c r="E576" i="5"/>
  <c r="F576" i="5"/>
  <c r="G576" i="5"/>
  <c r="E577" i="5"/>
  <c r="F577" i="5"/>
  <c r="G577" i="5"/>
  <c r="E578" i="5"/>
  <c r="F578" i="5"/>
  <c r="G578" i="5"/>
  <c r="E579" i="5"/>
  <c r="F579" i="5"/>
  <c r="G579" i="5"/>
  <c r="E580" i="5"/>
  <c r="F580" i="5"/>
  <c r="G580" i="5"/>
  <c r="E581" i="5"/>
  <c r="F581" i="5"/>
  <c r="G581" i="5"/>
  <c r="E582" i="5"/>
  <c r="F582" i="5"/>
  <c r="G582" i="5"/>
  <c r="E583" i="5"/>
  <c r="F583" i="5"/>
  <c r="G583" i="5"/>
  <c r="E584" i="5"/>
  <c r="F584" i="5"/>
  <c r="G584" i="5"/>
  <c r="E585" i="5"/>
  <c r="F585" i="5"/>
  <c r="G585" i="5"/>
  <c r="E586" i="5"/>
  <c r="F586" i="5"/>
  <c r="G586" i="5"/>
  <c r="E587" i="5"/>
  <c r="F587" i="5"/>
  <c r="G587" i="5"/>
  <c r="E588" i="5"/>
  <c r="F588" i="5"/>
  <c r="G588" i="5"/>
  <c r="E589" i="5"/>
  <c r="F589" i="5"/>
  <c r="G589" i="5"/>
  <c r="E590" i="5"/>
  <c r="F590" i="5"/>
  <c r="G590" i="5"/>
  <c r="E591" i="5"/>
  <c r="F591" i="5"/>
  <c r="G591" i="5"/>
  <c r="E592" i="5"/>
  <c r="F592" i="5"/>
  <c r="G592" i="5"/>
  <c r="E593" i="5"/>
  <c r="F593" i="5"/>
  <c r="G593" i="5"/>
  <c r="E594" i="5"/>
  <c r="F594" i="5"/>
  <c r="G594" i="5"/>
  <c r="E595" i="5"/>
  <c r="F595" i="5"/>
  <c r="G595" i="5"/>
  <c r="E596" i="5"/>
  <c r="F596" i="5"/>
  <c r="G596" i="5"/>
  <c r="E597" i="5"/>
  <c r="F597" i="5"/>
  <c r="G597" i="5"/>
  <c r="E598" i="5"/>
  <c r="F598" i="5"/>
  <c r="G598" i="5"/>
  <c r="E599" i="5"/>
  <c r="F599" i="5"/>
  <c r="G599" i="5"/>
  <c r="E600" i="5"/>
  <c r="F600" i="5"/>
  <c r="G600" i="5"/>
  <c r="E601" i="5"/>
  <c r="F601" i="5"/>
  <c r="G601" i="5"/>
  <c r="E602" i="5"/>
  <c r="F602" i="5"/>
  <c r="G602" i="5"/>
  <c r="E603" i="5"/>
  <c r="F603" i="5"/>
  <c r="G603" i="5"/>
  <c r="E604" i="5"/>
  <c r="F604" i="5"/>
  <c r="G604" i="5"/>
  <c r="E605" i="5"/>
  <c r="F605" i="5"/>
  <c r="G605" i="5"/>
  <c r="E606" i="5"/>
  <c r="F606" i="5"/>
  <c r="G606" i="5"/>
  <c r="E607" i="5"/>
  <c r="F607" i="5"/>
  <c r="G607" i="5"/>
  <c r="E608" i="5"/>
  <c r="F608" i="5"/>
  <c r="G608" i="5"/>
  <c r="E609" i="5"/>
  <c r="F609" i="5"/>
  <c r="G609" i="5"/>
  <c r="E610" i="5"/>
  <c r="F610" i="5"/>
  <c r="G610" i="5"/>
  <c r="E611" i="5"/>
  <c r="F611" i="5"/>
  <c r="G611" i="5"/>
  <c r="E612" i="5"/>
  <c r="F612" i="5"/>
  <c r="G612" i="5"/>
  <c r="E613" i="5"/>
  <c r="F613" i="5"/>
  <c r="G613" i="5"/>
  <c r="E614" i="5"/>
  <c r="F614" i="5"/>
  <c r="G614" i="5"/>
  <c r="E615" i="5"/>
  <c r="F615" i="5"/>
  <c r="G615" i="5"/>
  <c r="E616" i="5"/>
  <c r="F616" i="5"/>
  <c r="G616" i="5"/>
  <c r="E617" i="5"/>
  <c r="F617" i="5"/>
  <c r="G617" i="5"/>
  <c r="E618" i="5"/>
  <c r="F618" i="5"/>
  <c r="G618" i="5"/>
  <c r="E619" i="5"/>
  <c r="F619" i="5"/>
  <c r="G619" i="5"/>
  <c r="E620" i="5"/>
  <c r="F620" i="5"/>
  <c r="G620" i="5"/>
  <c r="E621" i="5"/>
  <c r="F621" i="5"/>
  <c r="G621" i="5"/>
  <c r="E622" i="5"/>
  <c r="F622" i="5"/>
  <c r="G622" i="5"/>
  <c r="E623" i="5"/>
  <c r="F623" i="5"/>
  <c r="G623" i="5"/>
  <c r="E624" i="5"/>
  <c r="F624" i="5"/>
  <c r="G624" i="5"/>
  <c r="E625" i="5"/>
  <c r="F625" i="5"/>
  <c r="G625" i="5"/>
  <c r="E626" i="5"/>
  <c r="F626" i="5"/>
  <c r="G626" i="5"/>
  <c r="E627" i="5"/>
  <c r="F627" i="5"/>
  <c r="G627" i="5"/>
  <c r="E628" i="5"/>
  <c r="F628" i="5"/>
  <c r="G628" i="5"/>
  <c r="E629" i="5"/>
  <c r="F629" i="5"/>
  <c r="G629" i="5"/>
  <c r="E630" i="5"/>
  <c r="F630" i="5"/>
  <c r="G630" i="5"/>
  <c r="E631" i="5"/>
  <c r="F631" i="5"/>
  <c r="G631" i="5"/>
  <c r="E632" i="5"/>
  <c r="F632" i="5"/>
  <c r="G632" i="5"/>
  <c r="E633" i="5"/>
  <c r="F633" i="5"/>
  <c r="G633" i="5"/>
  <c r="E634" i="5"/>
  <c r="F634" i="5"/>
  <c r="G634" i="5"/>
  <c r="E635" i="5"/>
  <c r="F635" i="5"/>
  <c r="G635" i="5"/>
  <c r="E636" i="5"/>
  <c r="F636" i="5"/>
  <c r="G636" i="5"/>
  <c r="E637" i="5"/>
  <c r="F637" i="5"/>
  <c r="G637" i="5"/>
  <c r="E638" i="5"/>
  <c r="F638" i="5"/>
  <c r="G638" i="5"/>
  <c r="E639" i="5"/>
  <c r="F639" i="5"/>
  <c r="G639" i="5"/>
  <c r="E640" i="5"/>
  <c r="F640" i="5"/>
  <c r="G640" i="5"/>
  <c r="E641" i="5"/>
  <c r="F641" i="5"/>
  <c r="G641" i="5"/>
  <c r="E642" i="5"/>
  <c r="F642" i="5"/>
  <c r="G642" i="5"/>
  <c r="E643" i="5"/>
  <c r="F643" i="5"/>
  <c r="G643" i="5"/>
  <c r="E644" i="5"/>
  <c r="F644" i="5"/>
  <c r="G644" i="5"/>
  <c r="E645" i="5"/>
  <c r="F645" i="5"/>
  <c r="G645" i="5"/>
  <c r="E646" i="5"/>
  <c r="F646" i="5"/>
  <c r="G646" i="5"/>
  <c r="E647" i="5"/>
  <c r="F647" i="5"/>
  <c r="G647" i="5"/>
  <c r="E648" i="5"/>
  <c r="F648" i="5"/>
  <c r="G648" i="5"/>
  <c r="E649" i="5"/>
  <c r="F649" i="5"/>
  <c r="G649" i="5"/>
  <c r="E650" i="5"/>
  <c r="F650" i="5"/>
  <c r="G650" i="5"/>
  <c r="E651" i="5"/>
  <c r="F651" i="5"/>
  <c r="G651" i="5"/>
  <c r="E652" i="5"/>
  <c r="F652" i="5"/>
  <c r="G652" i="5"/>
  <c r="E653" i="5"/>
  <c r="F653" i="5"/>
  <c r="G653" i="5"/>
  <c r="E654" i="5"/>
  <c r="F654" i="5"/>
  <c r="G654" i="5"/>
  <c r="E655" i="5"/>
  <c r="F655" i="5"/>
  <c r="G655" i="5"/>
  <c r="E656" i="5"/>
  <c r="F656" i="5"/>
  <c r="G656" i="5"/>
  <c r="E657" i="5"/>
  <c r="F657" i="5"/>
  <c r="G657" i="5"/>
  <c r="E658" i="5"/>
  <c r="F658" i="5"/>
  <c r="G658" i="5"/>
  <c r="E659" i="5"/>
  <c r="F659" i="5"/>
  <c r="G659" i="5"/>
  <c r="E660" i="5"/>
  <c r="F660" i="5"/>
  <c r="G660" i="5"/>
  <c r="E661" i="5"/>
  <c r="F661" i="5"/>
  <c r="G661" i="5"/>
  <c r="E662" i="5"/>
  <c r="F662" i="5"/>
  <c r="G662" i="5"/>
  <c r="E663" i="5"/>
  <c r="F663" i="5"/>
  <c r="G663" i="5"/>
  <c r="E664" i="5"/>
  <c r="F664" i="5"/>
  <c r="G664" i="5"/>
  <c r="E665" i="5"/>
  <c r="F665" i="5"/>
  <c r="G665" i="5"/>
  <c r="E666" i="5"/>
  <c r="F666" i="5"/>
  <c r="G666" i="5"/>
  <c r="E667" i="5"/>
  <c r="F667" i="5"/>
  <c r="G667" i="5"/>
  <c r="E668" i="5"/>
  <c r="F668" i="5"/>
  <c r="G668" i="5"/>
  <c r="E669" i="5"/>
  <c r="F669" i="5"/>
  <c r="G669" i="5"/>
  <c r="E670" i="5"/>
  <c r="F670" i="5"/>
  <c r="G670" i="5"/>
  <c r="E671" i="5"/>
  <c r="F671" i="5"/>
  <c r="G671" i="5"/>
  <c r="E672" i="5"/>
  <c r="F672" i="5"/>
  <c r="G672" i="5"/>
  <c r="E673" i="5"/>
  <c r="F673" i="5"/>
  <c r="G673" i="5"/>
  <c r="E674" i="5"/>
  <c r="F674" i="5"/>
  <c r="G674" i="5"/>
  <c r="E675" i="5"/>
  <c r="F675" i="5"/>
  <c r="G675" i="5"/>
  <c r="E676" i="5"/>
  <c r="F676" i="5"/>
  <c r="G676" i="5"/>
  <c r="E677" i="5"/>
  <c r="F677" i="5"/>
  <c r="G677" i="5"/>
  <c r="E678" i="5"/>
  <c r="F678" i="5"/>
  <c r="G678" i="5"/>
  <c r="E679" i="5"/>
  <c r="F679" i="5"/>
  <c r="G679" i="5"/>
  <c r="E680" i="5"/>
  <c r="F680" i="5"/>
  <c r="G680" i="5"/>
  <c r="E681" i="5"/>
  <c r="F681" i="5"/>
  <c r="G681" i="5"/>
  <c r="E682" i="5"/>
  <c r="F682" i="5"/>
  <c r="G682" i="5"/>
  <c r="E683" i="5"/>
  <c r="F683" i="5"/>
  <c r="G683" i="5"/>
  <c r="E684" i="5"/>
  <c r="F684" i="5"/>
  <c r="G684" i="5"/>
  <c r="E685" i="5"/>
  <c r="F685" i="5"/>
  <c r="G685" i="5"/>
  <c r="E686" i="5"/>
  <c r="F686" i="5"/>
  <c r="G686" i="5"/>
  <c r="E687" i="5"/>
  <c r="F687" i="5"/>
  <c r="G687" i="5"/>
  <c r="E688" i="5"/>
  <c r="F688" i="5"/>
  <c r="G688" i="5"/>
  <c r="E689" i="5"/>
  <c r="F689" i="5"/>
  <c r="G689" i="5"/>
  <c r="E690" i="5"/>
  <c r="F690" i="5"/>
  <c r="G690" i="5"/>
  <c r="E691" i="5"/>
  <c r="F691" i="5"/>
  <c r="G691" i="5"/>
  <c r="E692" i="5"/>
  <c r="F692" i="5"/>
  <c r="G692" i="5"/>
  <c r="E693" i="5"/>
  <c r="F693" i="5"/>
  <c r="G693" i="5"/>
  <c r="E694" i="5"/>
  <c r="F694" i="5"/>
  <c r="G694" i="5"/>
  <c r="E695" i="5"/>
  <c r="F695" i="5"/>
  <c r="G695" i="5"/>
  <c r="E696" i="5"/>
  <c r="F696" i="5"/>
  <c r="G696" i="5"/>
  <c r="E697" i="5"/>
  <c r="F697" i="5"/>
  <c r="G697" i="5"/>
  <c r="E698" i="5"/>
  <c r="F698" i="5"/>
  <c r="G698" i="5"/>
  <c r="E699" i="5"/>
  <c r="F699" i="5"/>
  <c r="G699" i="5"/>
  <c r="E700" i="5"/>
  <c r="F700" i="5"/>
  <c r="G700" i="5"/>
  <c r="E701" i="5"/>
  <c r="F701" i="5"/>
  <c r="G701" i="5"/>
  <c r="E702" i="5"/>
  <c r="F702" i="5"/>
  <c r="G702" i="5"/>
  <c r="E703" i="5"/>
  <c r="F703" i="5"/>
  <c r="G703" i="5"/>
  <c r="E704" i="5"/>
  <c r="F704" i="5"/>
  <c r="G704" i="5"/>
  <c r="E705" i="5"/>
  <c r="F705" i="5"/>
  <c r="G705" i="5"/>
  <c r="E706" i="5"/>
  <c r="F706" i="5"/>
  <c r="G706" i="5"/>
  <c r="E707" i="5"/>
  <c r="F707" i="5"/>
  <c r="G707" i="5"/>
  <c r="E708" i="5"/>
  <c r="F708" i="5"/>
  <c r="G708" i="5"/>
  <c r="E709" i="5"/>
  <c r="F709" i="5"/>
  <c r="G709" i="5"/>
  <c r="E710" i="5"/>
  <c r="F710" i="5"/>
  <c r="G710" i="5"/>
  <c r="E711" i="5"/>
  <c r="F711" i="5"/>
  <c r="G711" i="5"/>
  <c r="E712" i="5"/>
  <c r="F712" i="5"/>
  <c r="G712" i="5"/>
  <c r="E713" i="5"/>
  <c r="F713" i="5"/>
  <c r="G713" i="5"/>
  <c r="E714" i="5"/>
  <c r="F714" i="5"/>
  <c r="G714" i="5"/>
  <c r="E715" i="5"/>
  <c r="F715" i="5"/>
  <c r="G715" i="5"/>
  <c r="E716" i="5"/>
  <c r="F716" i="5"/>
  <c r="G716" i="5"/>
  <c r="E717" i="5"/>
  <c r="F717" i="5"/>
  <c r="G717" i="5"/>
  <c r="E718" i="5"/>
  <c r="F718" i="5"/>
  <c r="G718" i="5"/>
  <c r="E719" i="5"/>
  <c r="F719" i="5"/>
  <c r="G719" i="5"/>
  <c r="E720" i="5"/>
  <c r="F720" i="5"/>
  <c r="G720" i="5"/>
  <c r="E721" i="5"/>
  <c r="F721" i="5"/>
  <c r="G721" i="5"/>
  <c r="E722" i="5"/>
  <c r="F722" i="5"/>
  <c r="G722" i="5"/>
  <c r="E723" i="5"/>
  <c r="F723" i="5"/>
  <c r="G723" i="5"/>
  <c r="E724" i="5"/>
  <c r="F724" i="5"/>
  <c r="G724" i="5"/>
  <c r="E725" i="5"/>
  <c r="F725" i="5"/>
  <c r="G725" i="5"/>
  <c r="E726" i="5"/>
  <c r="F726" i="5"/>
  <c r="G726" i="5"/>
  <c r="E727" i="5"/>
  <c r="F727" i="5"/>
  <c r="G727" i="5"/>
  <c r="E728" i="5"/>
  <c r="F728" i="5"/>
  <c r="G728" i="5"/>
  <c r="E729" i="5"/>
  <c r="F729" i="5"/>
  <c r="G729" i="5"/>
  <c r="E730" i="5"/>
  <c r="F730" i="5"/>
  <c r="G730" i="5"/>
  <c r="E731" i="5"/>
  <c r="F731" i="5"/>
  <c r="G731" i="5"/>
  <c r="E732" i="5"/>
  <c r="F732" i="5"/>
  <c r="G732" i="5"/>
  <c r="E733" i="5"/>
  <c r="F733" i="5"/>
  <c r="G733" i="5"/>
  <c r="E734" i="5"/>
  <c r="F734" i="5"/>
  <c r="G734" i="5"/>
  <c r="E735" i="5"/>
  <c r="F735" i="5"/>
  <c r="G735" i="5"/>
  <c r="E736" i="5"/>
  <c r="F736" i="5"/>
  <c r="G736" i="5"/>
  <c r="E737" i="5"/>
  <c r="F737" i="5"/>
  <c r="G737" i="5"/>
  <c r="E738" i="5"/>
  <c r="F738" i="5"/>
  <c r="G738" i="5"/>
  <c r="E739" i="5"/>
  <c r="F739" i="5"/>
  <c r="G739" i="5"/>
  <c r="E740" i="5"/>
  <c r="F740" i="5"/>
  <c r="G740" i="5"/>
  <c r="E741" i="5"/>
  <c r="F741" i="5"/>
  <c r="G741" i="5"/>
  <c r="E742" i="5"/>
  <c r="F742" i="5"/>
  <c r="G742" i="5"/>
  <c r="E743" i="5"/>
  <c r="F743" i="5"/>
  <c r="G743" i="5"/>
  <c r="E744" i="5"/>
  <c r="F744" i="5"/>
  <c r="G744" i="5"/>
  <c r="E745" i="5"/>
  <c r="F745" i="5"/>
  <c r="G745" i="5"/>
  <c r="E746" i="5"/>
  <c r="F746" i="5"/>
  <c r="G746" i="5"/>
  <c r="E747" i="5"/>
  <c r="F747" i="5"/>
  <c r="G747" i="5"/>
  <c r="E748" i="5"/>
  <c r="F748" i="5"/>
  <c r="G748" i="5"/>
  <c r="E749" i="5"/>
  <c r="F749" i="5"/>
  <c r="G749" i="5"/>
  <c r="E750" i="5"/>
  <c r="F750" i="5"/>
  <c r="G750" i="5"/>
  <c r="E751" i="5"/>
  <c r="F751" i="5"/>
  <c r="G751" i="5"/>
  <c r="E752" i="5"/>
  <c r="F752" i="5"/>
  <c r="G752" i="5"/>
  <c r="E753" i="5"/>
  <c r="F753" i="5"/>
  <c r="G753" i="5"/>
  <c r="E754" i="5"/>
  <c r="F754" i="5"/>
  <c r="G754" i="5"/>
  <c r="E755" i="5"/>
  <c r="F755" i="5"/>
  <c r="G755" i="5"/>
  <c r="E756" i="5"/>
  <c r="F756" i="5"/>
  <c r="G756" i="5"/>
  <c r="E757" i="5"/>
  <c r="F757" i="5"/>
  <c r="G757" i="5"/>
  <c r="E758" i="5"/>
  <c r="F758" i="5"/>
  <c r="G758" i="5"/>
  <c r="E759" i="5"/>
  <c r="F759" i="5"/>
  <c r="G759" i="5"/>
  <c r="E760" i="5"/>
  <c r="F760" i="5"/>
  <c r="G760" i="5"/>
  <c r="E761" i="5"/>
  <c r="F761" i="5"/>
  <c r="G761" i="5"/>
  <c r="E762" i="5"/>
  <c r="F762" i="5"/>
  <c r="G762" i="5"/>
  <c r="E763" i="5"/>
  <c r="F763" i="5"/>
  <c r="G763" i="5"/>
  <c r="E764" i="5"/>
  <c r="F764" i="5"/>
  <c r="G764" i="5"/>
  <c r="E765" i="5"/>
  <c r="F765" i="5"/>
  <c r="G765" i="5"/>
  <c r="E766" i="5"/>
  <c r="F766" i="5"/>
  <c r="G766" i="5"/>
  <c r="E767" i="5"/>
  <c r="F767" i="5"/>
  <c r="G767" i="5"/>
  <c r="E768" i="5"/>
  <c r="F768" i="5"/>
  <c r="G768" i="5"/>
  <c r="E769" i="5"/>
  <c r="F769" i="5"/>
  <c r="G769" i="5"/>
  <c r="E770" i="5"/>
  <c r="F770" i="5"/>
  <c r="G770" i="5"/>
  <c r="E771" i="5"/>
  <c r="F771" i="5"/>
  <c r="G771" i="5"/>
  <c r="E772" i="5"/>
  <c r="F772" i="5"/>
  <c r="G772" i="5"/>
  <c r="E773" i="5"/>
  <c r="F773" i="5"/>
  <c r="G773" i="5"/>
  <c r="E774" i="5"/>
  <c r="F774" i="5"/>
  <c r="G774" i="5"/>
  <c r="E775" i="5"/>
  <c r="F775" i="5"/>
  <c r="G775" i="5"/>
  <c r="E776" i="5"/>
  <c r="F776" i="5"/>
  <c r="G776" i="5"/>
  <c r="E777" i="5"/>
  <c r="F777" i="5"/>
  <c r="G777" i="5"/>
  <c r="E778" i="5"/>
  <c r="F778" i="5"/>
  <c r="G778" i="5"/>
  <c r="E779" i="5"/>
  <c r="F779" i="5"/>
  <c r="G779" i="5"/>
  <c r="E780" i="5"/>
  <c r="F780" i="5"/>
  <c r="G780" i="5"/>
  <c r="E781" i="5"/>
  <c r="F781" i="5"/>
  <c r="G781" i="5"/>
  <c r="E782" i="5"/>
  <c r="F782" i="5"/>
  <c r="G782" i="5"/>
  <c r="E783" i="5"/>
  <c r="F783" i="5"/>
  <c r="G783" i="5"/>
  <c r="E784" i="5"/>
  <c r="F784" i="5"/>
  <c r="G784" i="5"/>
  <c r="E785" i="5"/>
  <c r="F785" i="5"/>
  <c r="G785" i="5"/>
  <c r="E786" i="5"/>
  <c r="F786" i="5"/>
  <c r="G786" i="5"/>
  <c r="E787" i="5"/>
  <c r="F787" i="5"/>
  <c r="G787" i="5"/>
  <c r="E788" i="5"/>
  <c r="F788" i="5"/>
  <c r="G788" i="5"/>
  <c r="E789" i="5"/>
  <c r="F789" i="5"/>
  <c r="G789" i="5"/>
  <c r="E790" i="5"/>
  <c r="F790" i="5"/>
  <c r="G790" i="5"/>
  <c r="E791" i="5"/>
  <c r="F791" i="5"/>
  <c r="G791" i="5"/>
  <c r="E792" i="5"/>
  <c r="F792" i="5"/>
  <c r="G792" i="5"/>
  <c r="E793" i="5"/>
  <c r="F793" i="5"/>
  <c r="G793" i="5"/>
  <c r="E794" i="5"/>
  <c r="F794" i="5"/>
  <c r="G794" i="5"/>
  <c r="E795" i="5"/>
  <c r="F795" i="5"/>
  <c r="G795" i="5"/>
  <c r="E796" i="5"/>
  <c r="F796" i="5"/>
  <c r="G796" i="5"/>
  <c r="E797" i="5"/>
  <c r="F797" i="5"/>
  <c r="G797" i="5"/>
  <c r="E798" i="5"/>
  <c r="F798" i="5"/>
  <c r="G798" i="5"/>
  <c r="E799" i="5"/>
  <c r="F799" i="5"/>
  <c r="G799" i="5"/>
  <c r="E800" i="5"/>
  <c r="F800" i="5"/>
  <c r="G800" i="5"/>
  <c r="E801" i="5"/>
  <c r="F801" i="5"/>
  <c r="G801" i="5"/>
  <c r="E802" i="5"/>
  <c r="F802" i="5"/>
  <c r="G802" i="5"/>
  <c r="E803" i="5"/>
  <c r="F803" i="5"/>
  <c r="G803" i="5"/>
  <c r="E804" i="5"/>
  <c r="F804" i="5"/>
  <c r="G804" i="5"/>
  <c r="E805" i="5"/>
  <c r="F805" i="5"/>
  <c r="G805" i="5"/>
  <c r="E806" i="5"/>
  <c r="F806" i="5"/>
  <c r="G806" i="5"/>
  <c r="E807" i="5"/>
  <c r="F807" i="5"/>
  <c r="G807" i="5"/>
  <c r="E808" i="5"/>
  <c r="F808" i="5"/>
  <c r="G808" i="5"/>
  <c r="E809" i="5"/>
  <c r="F809" i="5"/>
  <c r="G809" i="5"/>
  <c r="E810" i="5"/>
  <c r="F810" i="5"/>
  <c r="G810" i="5"/>
  <c r="E811" i="5"/>
  <c r="F811" i="5"/>
  <c r="G811" i="5"/>
  <c r="E812" i="5"/>
  <c r="F812" i="5"/>
  <c r="G812" i="5"/>
  <c r="E813" i="5"/>
  <c r="F813" i="5"/>
  <c r="G813" i="5"/>
  <c r="E814" i="5"/>
  <c r="F814" i="5"/>
  <c r="G814" i="5"/>
  <c r="E815" i="5"/>
  <c r="F815" i="5"/>
  <c r="G815" i="5"/>
  <c r="E816" i="5"/>
  <c r="F816" i="5"/>
  <c r="G816" i="5"/>
  <c r="E817" i="5"/>
  <c r="F817" i="5"/>
  <c r="G817" i="5"/>
  <c r="E818" i="5"/>
  <c r="F818" i="5"/>
  <c r="G818" i="5"/>
  <c r="E819" i="5"/>
  <c r="F819" i="5"/>
  <c r="G819" i="5"/>
  <c r="E820" i="5"/>
  <c r="F820" i="5"/>
  <c r="G820" i="5"/>
  <c r="E821" i="5"/>
  <c r="F821" i="5"/>
  <c r="G821" i="5"/>
  <c r="E822" i="5"/>
  <c r="F822" i="5"/>
  <c r="G822" i="5"/>
  <c r="E823" i="5"/>
  <c r="F823" i="5"/>
  <c r="G823" i="5"/>
  <c r="E824" i="5"/>
  <c r="F824" i="5"/>
  <c r="G824" i="5"/>
  <c r="E825" i="5"/>
  <c r="F825" i="5"/>
  <c r="G825" i="5"/>
  <c r="E826" i="5"/>
  <c r="F826" i="5"/>
  <c r="G826" i="5"/>
  <c r="E827" i="5"/>
  <c r="F827" i="5"/>
  <c r="G827" i="5"/>
  <c r="E828" i="5"/>
  <c r="F828" i="5"/>
  <c r="G828" i="5"/>
  <c r="E829" i="5"/>
  <c r="F829" i="5"/>
  <c r="G829" i="5"/>
  <c r="E830" i="5"/>
  <c r="F830" i="5"/>
  <c r="G830" i="5"/>
  <c r="E831" i="5"/>
  <c r="F831" i="5"/>
  <c r="G831" i="5"/>
  <c r="E832" i="5"/>
  <c r="F832" i="5"/>
  <c r="G832" i="5"/>
  <c r="E833" i="5"/>
  <c r="F833" i="5"/>
  <c r="G833" i="5"/>
  <c r="E834" i="5"/>
  <c r="F834" i="5"/>
  <c r="G834" i="5"/>
  <c r="E835" i="5"/>
  <c r="F835" i="5"/>
  <c r="G835" i="5"/>
  <c r="E836" i="5"/>
  <c r="F836" i="5"/>
  <c r="G836" i="5"/>
  <c r="E837" i="5"/>
  <c r="F837" i="5"/>
  <c r="G837" i="5"/>
  <c r="E838" i="5"/>
  <c r="F838" i="5"/>
  <c r="G838" i="5"/>
  <c r="E839" i="5"/>
  <c r="F839" i="5"/>
  <c r="G839" i="5"/>
  <c r="E840" i="5"/>
  <c r="F840" i="5"/>
  <c r="G840" i="5"/>
  <c r="E841" i="5"/>
  <c r="F841" i="5"/>
  <c r="G841" i="5"/>
  <c r="E842" i="5"/>
  <c r="F842" i="5"/>
  <c r="G842" i="5"/>
  <c r="E843" i="5"/>
  <c r="F843" i="5"/>
  <c r="G843" i="5"/>
  <c r="E844" i="5"/>
  <c r="F844" i="5"/>
  <c r="G844" i="5"/>
  <c r="E845" i="5"/>
  <c r="F845" i="5"/>
  <c r="G845" i="5"/>
  <c r="E846" i="5"/>
  <c r="F846" i="5"/>
  <c r="G846" i="5"/>
  <c r="E847" i="5"/>
  <c r="F847" i="5"/>
  <c r="G847" i="5"/>
  <c r="E848" i="5"/>
  <c r="F848" i="5"/>
  <c r="G848" i="5"/>
  <c r="E849" i="5"/>
  <c r="F849" i="5"/>
  <c r="G849" i="5"/>
  <c r="E850" i="5"/>
  <c r="F850" i="5"/>
  <c r="G850" i="5"/>
  <c r="E851" i="5"/>
  <c r="F851" i="5"/>
  <c r="G851" i="5"/>
  <c r="E852" i="5"/>
  <c r="F852" i="5"/>
  <c r="G852" i="5"/>
  <c r="E853" i="5"/>
  <c r="F853" i="5"/>
  <c r="G853" i="5"/>
  <c r="E854" i="5"/>
  <c r="F854" i="5"/>
  <c r="G854" i="5"/>
  <c r="E855" i="5"/>
  <c r="F855" i="5"/>
  <c r="G855" i="5"/>
  <c r="E856" i="5"/>
  <c r="F856" i="5"/>
  <c r="G856" i="5"/>
  <c r="E857" i="5"/>
  <c r="F857" i="5"/>
  <c r="G857" i="5"/>
  <c r="E858" i="5"/>
  <c r="F858" i="5"/>
  <c r="G858" i="5"/>
  <c r="E859" i="5"/>
  <c r="F859" i="5"/>
  <c r="G859" i="5"/>
  <c r="E860" i="5"/>
  <c r="F860" i="5"/>
  <c r="G860" i="5"/>
  <c r="E861" i="5"/>
  <c r="F861" i="5"/>
  <c r="G861" i="5"/>
  <c r="E862" i="5"/>
  <c r="F862" i="5"/>
  <c r="G862" i="5"/>
  <c r="E863" i="5"/>
  <c r="F863" i="5"/>
  <c r="G863" i="5"/>
  <c r="E864" i="5"/>
  <c r="F864" i="5"/>
  <c r="G864" i="5"/>
  <c r="E865" i="5"/>
  <c r="F865" i="5"/>
  <c r="G865" i="5"/>
  <c r="E866" i="5"/>
  <c r="F866" i="5"/>
  <c r="G866" i="5"/>
  <c r="E867" i="5"/>
  <c r="F867" i="5"/>
  <c r="G867" i="5"/>
  <c r="E868" i="5"/>
  <c r="F868" i="5"/>
  <c r="G868" i="5"/>
  <c r="E869" i="5"/>
  <c r="F869" i="5"/>
  <c r="G869" i="5"/>
  <c r="E870" i="5"/>
  <c r="F870" i="5"/>
  <c r="G870" i="5"/>
  <c r="E871" i="5"/>
  <c r="F871" i="5"/>
  <c r="G871" i="5"/>
  <c r="E872" i="5"/>
  <c r="F872" i="5"/>
  <c r="G872" i="5"/>
  <c r="E873" i="5"/>
  <c r="F873" i="5"/>
  <c r="G873" i="5"/>
  <c r="E874" i="5"/>
  <c r="F874" i="5"/>
  <c r="G874" i="5"/>
  <c r="E875" i="5"/>
  <c r="F875" i="5"/>
  <c r="G875" i="5"/>
  <c r="E876" i="5"/>
  <c r="F876" i="5"/>
  <c r="G876" i="5"/>
  <c r="E877" i="5"/>
  <c r="F877" i="5"/>
  <c r="G877" i="5"/>
  <c r="E878" i="5"/>
  <c r="F878" i="5"/>
  <c r="G878" i="5"/>
  <c r="E879" i="5"/>
  <c r="F879" i="5"/>
  <c r="G879" i="5"/>
  <c r="E880" i="5"/>
  <c r="F880" i="5"/>
  <c r="G880" i="5"/>
  <c r="E881" i="5"/>
  <c r="F881" i="5"/>
  <c r="G881" i="5"/>
  <c r="E882" i="5"/>
  <c r="F882" i="5"/>
  <c r="G882" i="5"/>
  <c r="E883" i="5"/>
  <c r="F883" i="5"/>
  <c r="G883" i="5"/>
  <c r="E884" i="5"/>
  <c r="F884" i="5"/>
  <c r="G884" i="5"/>
  <c r="E885" i="5"/>
  <c r="F885" i="5"/>
  <c r="G885" i="5"/>
  <c r="E886" i="5"/>
  <c r="F886" i="5"/>
  <c r="G886" i="5"/>
  <c r="E887" i="5"/>
  <c r="F887" i="5"/>
  <c r="G887" i="5"/>
  <c r="E888" i="5"/>
  <c r="F888" i="5"/>
  <c r="G888" i="5"/>
  <c r="E889" i="5"/>
  <c r="F889" i="5"/>
  <c r="G889" i="5"/>
  <c r="E890" i="5"/>
  <c r="F890" i="5"/>
  <c r="G890" i="5"/>
  <c r="E891" i="5"/>
  <c r="F891" i="5"/>
  <c r="G891" i="5"/>
  <c r="E892" i="5"/>
  <c r="F892" i="5"/>
  <c r="G892" i="5"/>
  <c r="E893" i="5"/>
  <c r="F893" i="5"/>
  <c r="G893" i="5"/>
  <c r="E894" i="5"/>
  <c r="F894" i="5"/>
  <c r="G894" i="5"/>
  <c r="E895" i="5"/>
  <c r="F895" i="5"/>
  <c r="G895" i="5"/>
  <c r="E896" i="5"/>
  <c r="F896" i="5"/>
  <c r="G896" i="5"/>
  <c r="E897" i="5"/>
  <c r="F897" i="5"/>
  <c r="G897" i="5"/>
  <c r="E898" i="5"/>
  <c r="F898" i="5"/>
  <c r="G898" i="5"/>
  <c r="E899" i="5"/>
  <c r="F899" i="5"/>
  <c r="G899" i="5"/>
  <c r="E900" i="5"/>
  <c r="F900" i="5"/>
  <c r="G900" i="5"/>
  <c r="E901" i="5"/>
  <c r="F901" i="5"/>
  <c r="G901" i="5"/>
  <c r="E902" i="5"/>
  <c r="F902" i="5"/>
  <c r="G902" i="5"/>
  <c r="E903" i="5"/>
  <c r="F903" i="5"/>
  <c r="G903" i="5"/>
  <c r="E904" i="5"/>
  <c r="F904" i="5"/>
  <c r="G904" i="5"/>
  <c r="E905" i="5"/>
  <c r="F905" i="5"/>
  <c r="G905" i="5"/>
  <c r="E906" i="5"/>
  <c r="F906" i="5"/>
  <c r="G906" i="5"/>
  <c r="E907" i="5"/>
  <c r="F907" i="5"/>
  <c r="G907" i="5"/>
  <c r="E908" i="5"/>
  <c r="F908" i="5"/>
  <c r="G908" i="5"/>
  <c r="E909" i="5"/>
  <c r="F909" i="5"/>
  <c r="G909" i="5"/>
  <c r="E910" i="5"/>
  <c r="F910" i="5"/>
  <c r="G910" i="5"/>
  <c r="E911" i="5"/>
  <c r="F911" i="5"/>
  <c r="G911" i="5"/>
  <c r="E912" i="5"/>
  <c r="F912" i="5"/>
  <c r="G912" i="5"/>
  <c r="E913" i="5"/>
  <c r="F913" i="5"/>
  <c r="G913" i="5"/>
  <c r="E914" i="5"/>
  <c r="F914" i="5"/>
  <c r="G914" i="5"/>
  <c r="E915" i="5"/>
  <c r="F915" i="5"/>
  <c r="G915" i="5"/>
  <c r="E916" i="5"/>
  <c r="F916" i="5"/>
  <c r="G916" i="5"/>
  <c r="E917" i="5"/>
  <c r="F917" i="5"/>
  <c r="G917" i="5"/>
  <c r="E918" i="5"/>
  <c r="F918" i="5"/>
  <c r="G918" i="5"/>
  <c r="E919" i="5"/>
  <c r="F919" i="5"/>
  <c r="G919" i="5"/>
  <c r="E920" i="5"/>
  <c r="F920" i="5"/>
  <c r="G920" i="5"/>
  <c r="E921" i="5"/>
  <c r="F921" i="5"/>
  <c r="G921" i="5"/>
  <c r="E922" i="5"/>
  <c r="F922" i="5"/>
  <c r="G922" i="5"/>
  <c r="E923" i="5"/>
  <c r="F923" i="5"/>
  <c r="G923" i="5"/>
  <c r="E924" i="5"/>
  <c r="F924" i="5"/>
  <c r="G924" i="5"/>
  <c r="E925" i="5"/>
  <c r="F925" i="5"/>
  <c r="G925" i="5"/>
  <c r="E926" i="5"/>
  <c r="F926" i="5"/>
  <c r="G926" i="5"/>
  <c r="E927" i="5"/>
  <c r="F927" i="5"/>
  <c r="G927" i="5"/>
  <c r="E928" i="5"/>
  <c r="F928" i="5"/>
  <c r="G928" i="5"/>
  <c r="E929" i="5"/>
  <c r="F929" i="5"/>
  <c r="G929" i="5"/>
  <c r="E930" i="5"/>
  <c r="F930" i="5"/>
  <c r="G930" i="5"/>
  <c r="E931" i="5"/>
  <c r="F931" i="5"/>
  <c r="G931" i="5"/>
  <c r="E932" i="5"/>
  <c r="F932" i="5"/>
  <c r="G932" i="5"/>
  <c r="E933" i="5"/>
  <c r="F933" i="5"/>
  <c r="G933" i="5"/>
  <c r="E934" i="5"/>
  <c r="F934" i="5"/>
  <c r="G934" i="5"/>
  <c r="E935" i="5"/>
  <c r="F935" i="5"/>
  <c r="G935" i="5"/>
  <c r="E936" i="5"/>
  <c r="F936" i="5"/>
  <c r="G936" i="5"/>
  <c r="E937" i="5"/>
  <c r="F937" i="5"/>
  <c r="G937" i="5"/>
  <c r="E938" i="5"/>
  <c r="F938" i="5"/>
  <c r="G938" i="5"/>
  <c r="E939" i="5"/>
  <c r="F939" i="5"/>
  <c r="G939" i="5"/>
  <c r="E940" i="5"/>
  <c r="F940" i="5"/>
  <c r="G940" i="5"/>
  <c r="E941" i="5"/>
  <c r="F941" i="5"/>
  <c r="G941" i="5"/>
  <c r="E942" i="5"/>
  <c r="F942" i="5"/>
  <c r="G942" i="5"/>
  <c r="E943" i="5"/>
  <c r="F943" i="5"/>
  <c r="G943" i="5"/>
  <c r="E944" i="5"/>
  <c r="F944" i="5"/>
  <c r="G944" i="5"/>
  <c r="E945" i="5"/>
  <c r="F945" i="5"/>
  <c r="G945" i="5"/>
  <c r="E946" i="5"/>
  <c r="F946" i="5"/>
  <c r="G946" i="5"/>
  <c r="E947" i="5"/>
  <c r="F947" i="5"/>
  <c r="G947" i="5"/>
  <c r="E948" i="5"/>
  <c r="F948" i="5"/>
  <c r="G948" i="5"/>
  <c r="E949" i="5"/>
  <c r="F949" i="5"/>
  <c r="G949" i="5"/>
  <c r="E950" i="5"/>
  <c r="F950" i="5"/>
  <c r="G950" i="5"/>
  <c r="E951" i="5"/>
  <c r="F951" i="5"/>
  <c r="G951" i="5"/>
  <c r="E952" i="5"/>
  <c r="F952" i="5"/>
  <c r="G952" i="5"/>
  <c r="E953" i="5"/>
  <c r="F953" i="5"/>
  <c r="G953" i="5"/>
  <c r="E954" i="5"/>
  <c r="F954" i="5"/>
  <c r="G954" i="5"/>
  <c r="E955" i="5"/>
  <c r="F955" i="5"/>
  <c r="G955" i="5"/>
  <c r="E956" i="5"/>
  <c r="F956" i="5"/>
  <c r="G956" i="5"/>
  <c r="E957" i="5"/>
  <c r="F957" i="5"/>
  <c r="G957" i="5"/>
  <c r="E958" i="5"/>
  <c r="F958" i="5"/>
  <c r="G958" i="5"/>
  <c r="E959" i="5"/>
  <c r="F959" i="5"/>
  <c r="G959" i="5"/>
  <c r="E960" i="5"/>
  <c r="F960" i="5"/>
  <c r="G960" i="5"/>
  <c r="E961" i="5"/>
  <c r="F961" i="5"/>
  <c r="G961" i="5"/>
  <c r="E962" i="5"/>
  <c r="F962" i="5"/>
  <c r="G962" i="5"/>
  <c r="E963" i="5"/>
  <c r="F963" i="5"/>
  <c r="G963" i="5"/>
  <c r="E964" i="5"/>
  <c r="F964" i="5"/>
  <c r="G964" i="5"/>
  <c r="E965" i="5"/>
  <c r="F965" i="5"/>
  <c r="G965" i="5"/>
  <c r="E966" i="5"/>
  <c r="F966" i="5"/>
  <c r="G966" i="5"/>
  <c r="E967" i="5"/>
  <c r="F967" i="5"/>
  <c r="G967" i="5"/>
  <c r="E968" i="5"/>
  <c r="F968" i="5"/>
  <c r="G968" i="5"/>
  <c r="E969" i="5"/>
  <c r="F969" i="5"/>
  <c r="G969" i="5"/>
  <c r="E970" i="5"/>
  <c r="F970" i="5"/>
  <c r="G970" i="5"/>
  <c r="E971" i="5"/>
  <c r="F971" i="5"/>
  <c r="G971" i="5"/>
  <c r="E972" i="5"/>
  <c r="F972" i="5"/>
  <c r="G972" i="5"/>
  <c r="E973" i="5"/>
  <c r="F973" i="5"/>
  <c r="G973" i="5"/>
  <c r="E974" i="5"/>
  <c r="F974" i="5"/>
  <c r="G974" i="5"/>
  <c r="E975" i="5"/>
  <c r="F975" i="5"/>
  <c r="G975" i="5"/>
  <c r="E976" i="5"/>
  <c r="F976" i="5"/>
  <c r="G976" i="5"/>
  <c r="E977" i="5"/>
  <c r="F977" i="5"/>
  <c r="G977" i="5"/>
  <c r="E978" i="5"/>
  <c r="F978" i="5"/>
  <c r="G978" i="5"/>
  <c r="E979" i="5"/>
  <c r="F979" i="5"/>
  <c r="G979" i="5"/>
  <c r="E980" i="5"/>
  <c r="F980" i="5"/>
  <c r="G980" i="5"/>
  <c r="E981" i="5"/>
  <c r="F981" i="5"/>
  <c r="G981" i="5"/>
  <c r="E982" i="5"/>
  <c r="F982" i="5"/>
  <c r="G982" i="5"/>
  <c r="E983" i="5"/>
  <c r="F983" i="5"/>
  <c r="G983" i="5"/>
  <c r="E984" i="5"/>
  <c r="F984" i="5"/>
  <c r="G984" i="5"/>
  <c r="E985" i="5"/>
  <c r="F985" i="5"/>
  <c r="G985" i="5"/>
  <c r="E986" i="5"/>
  <c r="F986" i="5"/>
  <c r="G986" i="5"/>
  <c r="E987" i="5"/>
  <c r="F987" i="5"/>
  <c r="G987" i="5"/>
  <c r="E988" i="5"/>
  <c r="F988" i="5"/>
  <c r="G988" i="5"/>
  <c r="E989" i="5"/>
  <c r="F989" i="5"/>
  <c r="G989" i="5"/>
  <c r="E990" i="5"/>
  <c r="F990" i="5"/>
  <c r="G990" i="5"/>
  <c r="E991" i="5"/>
  <c r="F991" i="5"/>
  <c r="G991" i="5"/>
  <c r="E992" i="5"/>
  <c r="F992" i="5"/>
  <c r="G992" i="5"/>
  <c r="E993" i="5"/>
  <c r="F993" i="5"/>
  <c r="G993" i="5"/>
  <c r="E994" i="5"/>
  <c r="F994" i="5"/>
  <c r="G994" i="5"/>
  <c r="E995" i="5"/>
  <c r="F995" i="5"/>
  <c r="G995" i="5"/>
  <c r="E996" i="5"/>
  <c r="F996" i="5"/>
  <c r="G996" i="5"/>
  <c r="E997" i="5"/>
  <c r="F997" i="5"/>
  <c r="G997" i="5"/>
  <c r="E998" i="5"/>
  <c r="F998" i="5"/>
  <c r="G998" i="5"/>
  <c r="E999" i="5"/>
  <c r="F999" i="5"/>
  <c r="G999" i="5"/>
  <c r="E1000" i="5"/>
  <c r="F1000" i="5"/>
  <c r="G1000" i="5"/>
  <c r="E1001" i="5"/>
  <c r="F1001" i="5"/>
  <c r="G1001" i="5"/>
  <c r="E4" i="5"/>
  <c r="F4" i="5"/>
  <c r="G4" i="5"/>
  <c r="E5" i="5"/>
  <c r="F5" i="5"/>
  <c r="G5" i="5"/>
  <c r="E6" i="5"/>
  <c r="F6" i="5"/>
  <c r="G6" i="5"/>
  <c r="E7" i="5"/>
  <c r="F7" i="5"/>
  <c r="G7" i="5"/>
  <c r="E8" i="5"/>
  <c r="F8" i="5"/>
  <c r="G8" i="5"/>
  <c r="E9" i="5"/>
  <c r="F9" i="5"/>
  <c r="G9" i="5"/>
  <c r="E10" i="5"/>
  <c r="F10" i="5"/>
  <c r="G10" i="5"/>
  <c r="E11" i="5"/>
  <c r="F11" i="5"/>
  <c r="G11" i="5"/>
  <c r="E12" i="5"/>
  <c r="F12" i="5"/>
  <c r="G12" i="5"/>
  <c r="E13" i="5"/>
  <c r="F13" i="5"/>
  <c r="G13" i="5"/>
  <c r="G3" i="5"/>
  <c r="F3" i="5"/>
  <c r="E3" i="5"/>
  <c r="G2" i="5"/>
  <c r="F2" i="5"/>
  <c r="E2" i="5"/>
  <c r="G2" i="1"/>
  <c r="D2" i="5" s="1"/>
  <c r="G3" i="1"/>
  <c r="D3" i="5" s="1"/>
  <c r="G4" i="1"/>
  <c r="D4" i="5" s="1"/>
  <c r="G5" i="1"/>
  <c r="D5" i="5" s="1"/>
  <c r="G6" i="1"/>
  <c r="D6" i="5" s="1"/>
  <c r="G7" i="1"/>
  <c r="D7" i="5" s="1"/>
  <c r="G8" i="1"/>
  <c r="D8" i="5" s="1"/>
  <c r="G9" i="1"/>
  <c r="D9" i="5" s="1"/>
  <c r="G10" i="1"/>
  <c r="D10" i="5" s="1"/>
  <c r="G11" i="1"/>
  <c r="D11" i="5" s="1"/>
  <c r="G12" i="1"/>
  <c r="D12" i="5" s="1"/>
  <c r="G13" i="1"/>
  <c r="D13" i="5" s="1"/>
  <c r="G14" i="1"/>
  <c r="D14" i="5" s="1"/>
  <c r="G15" i="1"/>
  <c r="D15" i="5" s="1"/>
  <c r="G16" i="1"/>
  <c r="D16" i="5" s="1"/>
  <c r="G17" i="1"/>
  <c r="D17" i="5" s="1"/>
  <c r="G18" i="1"/>
  <c r="D18" i="5" s="1"/>
  <c r="G19" i="1"/>
  <c r="D19" i="5" s="1"/>
  <c r="G20" i="1"/>
  <c r="D20" i="5" s="1"/>
  <c r="G21" i="1"/>
  <c r="D21" i="5" s="1"/>
  <c r="G22" i="1"/>
  <c r="D22" i="5" s="1"/>
  <c r="G23" i="1"/>
  <c r="D23" i="5" s="1"/>
  <c r="G24" i="1"/>
  <c r="D24" i="5" s="1"/>
  <c r="G25" i="1"/>
  <c r="D25" i="5" s="1"/>
  <c r="G26" i="1"/>
  <c r="D26" i="5" s="1"/>
  <c r="G27" i="1"/>
  <c r="D27" i="5" s="1"/>
  <c r="G28" i="1"/>
  <c r="D28" i="5" s="1"/>
  <c r="G29" i="1"/>
  <c r="D29" i="5" s="1"/>
  <c r="G30" i="1"/>
  <c r="D30" i="5" s="1"/>
  <c r="G31" i="1"/>
  <c r="D31" i="5" s="1"/>
  <c r="G32" i="1"/>
  <c r="D32" i="5" s="1"/>
  <c r="G33" i="1"/>
  <c r="D33" i="5" s="1"/>
  <c r="G34" i="1"/>
  <c r="D34" i="5" s="1"/>
  <c r="G35" i="1"/>
  <c r="D35" i="5" s="1"/>
  <c r="G36" i="1"/>
  <c r="D36" i="5" s="1"/>
  <c r="G37" i="1"/>
  <c r="D37" i="5" s="1"/>
  <c r="G38" i="1"/>
  <c r="D38" i="5" s="1"/>
  <c r="G39" i="1"/>
  <c r="D39" i="5" s="1"/>
  <c r="G40" i="1"/>
  <c r="D40" i="5" s="1"/>
  <c r="G41" i="1"/>
  <c r="D41" i="5" s="1"/>
  <c r="G42" i="1"/>
  <c r="D42" i="5" s="1"/>
  <c r="G43" i="1"/>
  <c r="D43" i="5" s="1"/>
  <c r="G44" i="1"/>
  <c r="D44" i="5" s="1"/>
  <c r="G45" i="1"/>
  <c r="D45" i="5" s="1"/>
  <c r="G46" i="1"/>
  <c r="D46" i="5" s="1"/>
  <c r="G47" i="1"/>
  <c r="D47" i="5" s="1"/>
  <c r="G48" i="1"/>
  <c r="D48" i="5" s="1"/>
  <c r="G49" i="1"/>
  <c r="D49" i="5" s="1"/>
  <c r="G50" i="1"/>
  <c r="D50" i="5" s="1"/>
  <c r="G51" i="1"/>
  <c r="D51" i="5" s="1"/>
  <c r="G52" i="1"/>
  <c r="D52" i="5" s="1"/>
  <c r="G53" i="1"/>
  <c r="D53" i="5" s="1"/>
  <c r="G54" i="1"/>
  <c r="D54" i="5" s="1"/>
  <c r="G55" i="1"/>
  <c r="D55" i="5" s="1"/>
  <c r="G56" i="1"/>
  <c r="D56" i="5" s="1"/>
  <c r="G57" i="1"/>
  <c r="D57" i="5" s="1"/>
  <c r="G58" i="1"/>
  <c r="D58" i="5" s="1"/>
  <c r="G59" i="1"/>
  <c r="D59" i="5" s="1"/>
  <c r="G60" i="1"/>
  <c r="D60" i="5" s="1"/>
  <c r="G61" i="1"/>
  <c r="D61" i="5" s="1"/>
  <c r="G62" i="1"/>
  <c r="D62" i="5" s="1"/>
  <c r="G63" i="1"/>
  <c r="D63" i="5" s="1"/>
  <c r="G64" i="1"/>
  <c r="D64" i="5" s="1"/>
  <c r="G65" i="1"/>
  <c r="D65" i="5" s="1"/>
  <c r="G66" i="1"/>
  <c r="D66" i="5" s="1"/>
  <c r="G67" i="1"/>
  <c r="D67" i="5" s="1"/>
  <c r="G68" i="1"/>
  <c r="D68" i="5" s="1"/>
  <c r="G69" i="1"/>
  <c r="D69" i="5" s="1"/>
  <c r="G70" i="1"/>
  <c r="D70" i="5" s="1"/>
  <c r="G71" i="1"/>
  <c r="D71" i="5" s="1"/>
  <c r="G72" i="1"/>
  <c r="D72" i="5" s="1"/>
  <c r="G73" i="1"/>
  <c r="D73" i="5" s="1"/>
  <c r="G74" i="1"/>
  <c r="D74" i="5" s="1"/>
  <c r="G75" i="1"/>
  <c r="D75" i="5" s="1"/>
  <c r="G76" i="1"/>
  <c r="D76" i="5" s="1"/>
  <c r="G77" i="1"/>
  <c r="D77" i="5" s="1"/>
  <c r="G78" i="1"/>
  <c r="D78" i="5" s="1"/>
  <c r="G79" i="1"/>
  <c r="D79" i="5" s="1"/>
  <c r="G80" i="1"/>
  <c r="D80" i="5" s="1"/>
  <c r="G81" i="1"/>
  <c r="D81" i="5" s="1"/>
  <c r="G82" i="1"/>
  <c r="D82" i="5" s="1"/>
  <c r="G83" i="1"/>
  <c r="D83" i="5" s="1"/>
  <c r="G84" i="1"/>
  <c r="D84" i="5" s="1"/>
  <c r="G85" i="1"/>
  <c r="D85" i="5" s="1"/>
  <c r="G86" i="1"/>
  <c r="D86" i="5" s="1"/>
  <c r="G87" i="1"/>
  <c r="D87" i="5" s="1"/>
  <c r="G88" i="1"/>
  <c r="D88" i="5" s="1"/>
  <c r="G89" i="1"/>
  <c r="D89" i="5" s="1"/>
  <c r="G90" i="1"/>
  <c r="D90" i="5" s="1"/>
  <c r="G91" i="1"/>
  <c r="D91" i="5" s="1"/>
  <c r="G92" i="1"/>
  <c r="D92" i="5" s="1"/>
  <c r="G93" i="1"/>
  <c r="D93" i="5" s="1"/>
  <c r="G94" i="1"/>
  <c r="D94" i="5" s="1"/>
  <c r="G95" i="1"/>
  <c r="D95" i="5" s="1"/>
  <c r="G96" i="1"/>
  <c r="D96" i="5" s="1"/>
  <c r="G97" i="1"/>
  <c r="D97" i="5" s="1"/>
  <c r="G98" i="1"/>
  <c r="D98" i="5" s="1"/>
  <c r="G99" i="1"/>
  <c r="D99" i="5" s="1"/>
  <c r="G100" i="1"/>
  <c r="D100" i="5" s="1"/>
  <c r="G101" i="1"/>
  <c r="D101" i="5" s="1"/>
  <c r="G102" i="1"/>
  <c r="D102" i="5" s="1"/>
  <c r="G103" i="1"/>
  <c r="D103" i="5" s="1"/>
  <c r="G104" i="1"/>
  <c r="D104" i="5" s="1"/>
  <c r="G105" i="1"/>
  <c r="D105" i="5" s="1"/>
  <c r="G106" i="1"/>
  <c r="D106" i="5" s="1"/>
  <c r="G107" i="1"/>
  <c r="D107" i="5" s="1"/>
  <c r="G108" i="1"/>
  <c r="D108" i="5" s="1"/>
  <c r="G109" i="1"/>
  <c r="D109" i="5" s="1"/>
  <c r="G110" i="1"/>
  <c r="D110" i="5" s="1"/>
  <c r="G111" i="1"/>
  <c r="D111" i="5" s="1"/>
  <c r="G112" i="1"/>
  <c r="D112" i="5" s="1"/>
  <c r="G113" i="1"/>
  <c r="D113" i="5" s="1"/>
  <c r="G114" i="1"/>
  <c r="D114" i="5" s="1"/>
  <c r="G115" i="1"/>
  <c r="D115" i="5" s="1"/>
  <c r="G116" i="1"/>
  <c r="D116" i="5" s="1"/>
  <c r="G117" i="1"/>
  <c r="D117" i="5" s="1"/>
  <c r="G118" i="1"/>
  <c r="D118" i="5" s="1"/>
  <c r="G119" i="1"/>
  <c r="D119" i="5" s="1"/>
  <c r="G120" i="1"/>
  <c r="D120" i="5" s="1"/>
  <c r="G121" i="1"/>
  <c r="D121" i="5" s="1"/>
  <c r="G122" i="1"/>
  <c r="D122" i="5" s="1"/>
  <c r="G123" i="1"/>
  <c r="D123" i="5" s="1"/>
  <c r="G124" i="1"/>
  <c r="D124" i="5" s="1"/>
  <c r="G125" i="1"/>
  <c r="D125" i="5" s="1"/>
  <c r="G126" i="1"/>
  <c r="D126" i="5" s="1"/>
  <c r="G127" i="1"/>
  <c r="D127" i="5" s="1"/>
  <c r="G128" i="1"/>
  <c r="D128" i="5" s="1"/>
  <c r="G129" i="1"/>
  <c r="D129" i="5" s="1"/>
  <c r="G130" i="1"/>
  <c r="D130" i="5" s="1"/>
  <c r="G131" i="1"/>
  <c r="D131" i="5" s="1"/>
  <c r="G132" i="1"/>
  <c r="D132" i="5" s="1"/>
  <c r="G133" i="1"/>
  <c r="D133" i="5" s="1"/>
  <c r="G134" i="1"/>
  <c r="D134" i="5" s="1"/>
  <c r="G135" i="1"/>
  <c r="D135" i="5" s="1"/>
  <c r="G136" i="1"/>
  <c r="D136" i="5" s="1"/>
  <c r="G137" i="1"/>
  <c r="D137" i="5" s="1"/>
  <c r="G138" i="1"/>
  <c r="D138" i="5" s="1"/>
  <c r="G139" i="1"/>
  <c r="D139" i="5" s="1"/>
  <c r="G140" i="1"/>
  <c r="D140" i="5" s="1"/>
  <c r="G141" i="1"/>
  <c r="D141" i="5" s="1"/>
  <c r="G142" i="1"/>
  <c r="D142" i="5" s="1"/>
  <c r="G143" i="1"/>
  <c r="D143" i="5" s="1"/>
  <c r="G144" i="1"/>
  <c r="D144" i="5" s="1"/>
  <c r="G145" i="1"/>
  <c r="D145" i="5" s="1"/>
  <c r="G146" i="1"/>
  <c r="D146" i="5" s="1"/>
  <c r="G147" i="1"/>
  <c r="D147" i="5" s="1"/>
  <c r="G148" i="1"/>
  <c r="D148" i="5" s="1"/>
  <c r="G149" i="1"/>
  <c r="D149" i="5" s="1"/>
  <c r="G150" i="1"/>
  <c r="D150" i="5" s="1"/>
  <c r="G151" i="1"/>
  <c r="D151" i="5" s="1"/>
  <c r="G152" i="1"/>
  <c r="D152" i="5" s="1"/>
  <c r="G153" i="1"/>
  <c r="D153" i="5" s="1"/>
  <c r="G154" i="1"/>
  <c r="D154" i="5" s="1"/>
  <c r="G155" i="1"/>
  <c r="D155" i="5" s="1"/>
  <c r="G156" i="1"/>
  <c r="D156" i="5" s="1"/>
  <c r="G157" i="1"/>
  <c r="D157" i="5" s="1"/>
  <c r="G158" i="1"/>
  <c r="D158" i="5" s="1"/>
  <c r="G159" i="1"/>
  <c r="D159" i="5" s="1"/>
  <c r="G160" i="1"/>
  <c r="D160" i="5" s="1"/>
  <c r="G161" i="1"/>
  <c r="D161" i="5" s="1"/>
  <c r="G162" i="1"/>
  <c r="D162" i="5" s="1"/>
  <c r="G163" i="1"/>
  <c r="D163" i="5" s="1"/>
  <c r="G164" i="1"/>
  <c r="D164" i="5" s="1"/>
  <c r="G165" i="1"/>
  <c r="D165" i="5" s="1"/>
  <c r="G166" i="1"/>
  <c r="D166" i="5" s="1"/>
  <c r="G167" i="1"/>
  <c r="D167" i="5" s="1"/>
  <c r="G168" i="1"/>
  <c r="D168" i="5" s="1"/>
  <c r="G169" i="1"/>
  <c r="D169" i="5" s="1"/>
  <c r="G170" i="1"/>
  <c r="D170" i="5" s="1"/>
  <c r="G171" i="1"/>
  <c r="D171" i="5" s="1"/>
  <c r="G172" i="1"/>
  <c r="D172" i="5" s="1"/>
  <c r="G173" i="1"/>
  <c r="D173" i="5" s="1"/>
  <c r="G174" i="1"/>
  <c r="D174" i="5" s="1"/>
  <c r="G175" i="1"/>
  <c r="D175" i="5" s="1"/>
  <c r="G176" i="1"/>
  <c r="D176" i="5" s="1"/>
  <c r="G177" i="1"/>
  <c r="D177" i="5" s="1"/>
  <c r="G178" i="1"/>
  <c r="D178" i="5" s="1"/>
  <c r="G179" i="1"/>
  <c r="D179" i="5" s="1"/>
  <c r="G180" i="1"/>
  <c r="D180" i="5" s="1"/>
  <c r="G181" i="1"/>
  <c r="D181" i="5" s="1"/>
  <c r="G182" i="1"/>
  <c r="D182" i="5" s="1"/>
  <c r="G183" i="1"/>
  <c r="D183" i="5" s="1"/>
  <c r="G184" i="1"/>
  <c r="D184" i="5" s="1"/>
  <c r="G185" i="1"/>
  <c r="D185" i="5" s="1"/>
  <c r="G186" i="1"/>
  <c r="D186" i="5" s="1"/>
  <c r="G187" i="1"/>
  <c r="D187" i="5" s="1"/>
  <c r="G188" i="1"/>
  <c r="D188" i="5" s="1"/>
  <c r="G189" i="1"/>
  <c r="D189" i="5" s="1"/>
  <c r="G190" i="1"/>
  <c r="D190" i="5" s="1"/>
  <c r="G191" i="1"/>
  <c r="D191" i="5" s="1"/>
  <c r="G192" i="1"/>
  <c r="D192" i="5" s="1"/>
  <c r="G193" i="1"/>
  <c r="D193" i="5" s="1"/>
  <c r="G194" i="1"/>
  <c r="D194" i="5" s="1"/>
  <c r="G195" i="1"/>
  <c r="D195" i="5" s="1"/>
  <c r="G196" i="1"/>
  <c r="D196" i="5" s="1"/>
  <c r="G197" i="1"/>
  <c r="D197" i="5" s="1"/>
  <c r="G198" i="1"/>
  <c r="D198" i="5" s="1"/>
  <c r="G199" i="1"/>
  <c r="D199" i="5" s="1"/>
  <c r="G200" i="1"/>
  <c r="D200" i="5" s="1"/>
  <c r="G201" i="1"/>
  <c r="D201" i="5" s="1"/>
  <c r="G202" i="1"/>
  <c r="D202" i="5" s="1"/>
  <c r="G203" i="1"/>
  <c r="D203" i="5" s="1"/>
  <c r="G204" i="1"/>
  <c r="D204" i="5" s="1"/>
  <c r="G205" i="1"/>
  <c r="D205" i="5" s="1"/>
  <c r="G206" i="1"/>
  <c r="D206" i="5" s="1"/>
  <c r="G207" i="1"/>
  <c r="D207" i="5" s="1"/>
  <c r="G208" i="1"/>
  <c r="D208" i="5" s="1"/>
  <c r="G209" i="1"/>
  <c r="D209" i="5" s="1"/>
  <c r="G210" i="1"/>
  <c r="D210" i="5" s="1"/>
  <c r="G211" i="1"/>
  <c r="D211" i="5" s="1"/>
  <c r="G212" i="1"/>
  <c r="D212" i="5" s="1"/>
  <c r="G213" i="1"/>
  <c r="D213" i="5" s="1"/>
  <c r="G214" i="1"/>
  <c r="D214" i="5" s="1"/>
  <c r="G215" i="1"/>
  <c r="D215" i="5" s="1"/>
  <c r="G216" i="1"/>
  <c r="D216" i="5" s="1"/>
  <c r="G217" i="1"/>
  <c r="D217" i="5" s="1"/>
  <c r="G218" i="1"/>
  <c r="D218" i="5" s="1"/>
  <c r="G219" i="1"/>
  <c r="D219" i="5" s="1"/>
  <c r="G220" i="1"/>
  <c r="D220" i="5" s="1"/>
  <c r="G221" i="1"/>
  <c r="D221" i="5" s="1"/>
  <c r="G222" i="1"/>
  <c r="D222" i="5" s="1"/>
  <c r="G223" i="1"/>
  <c r="D223" i="5" s="1"/>
  <c r="G224" i="1"/>
  <c r="D224" i="5" s="1"/>
  <c r="G225" i="1"/>
  <c r="D225" i="5" s="1"/>
  <c r="G226" i="1"/>
  <c r="D226" i="5" s="1"/>
  <c r="G227" i="1"/>
  <c r="D227" i="5" s="1"/>
  <c r="G228" i="1"/>
  <c r="D228" i="5" s="1"/>
  <c r="G229" i="1"/>
  <c r="D229" i="5" s="1"/>
  <c r="G230" i="1"/>
  <c r="D230" i="5" s="1"/>
  <c r="G231" i="1"/>
  <c r="D231" i="5" s="1"/>
  <c r="G232" i="1"/>
  <c r="D232" i="5" s="1"/>
  <c r="G233" i="1"/>
  <c r="D233" i="5" s="1"/>
  <c r="G234" i="1"/>
  <c r="D234" i="5" s="1"/>
  <c r="G235" i="1"/>
  <c r="D235" i="5" s="1"/>
  <c r="G236" i="1"/>
  <c r="D236" i="5" s="1"/>
  <c r="G237" i="1"/>
  <c r="D237" i="5" s="1"/>
  <c r="G238" i="1"/>
  <c r="D238" i="5" s="1"/>
  <c r="G239" i="1"/>
  <c r="D239" i="5" s="1"/>
  <c r="G240" i="1"/>
  <c r="D240" i="5" s="1"/>
  <c r="G241" i="1"/>
  <c r="D241" i="5" s="1"/>
  <c r="G242" i="1"/>
  <c r="D242" i="5" s="1"/>
  <c r="G243" i="1"/>
  <c r="D243" i="5" s="1"/>
  <c r="G244" i="1"/>
  <c r="D244" i="5" s="1"/>
  <c r="G245" i="1"/>
  <c r="D245" i="5" s="1"/>
  <c r="G246" i="1"/>
  <c r="D246" i="5" s="1"/>
  <c r="G247" i="1"/>
  <c r="D247" i="5" s="1"/>
  <c r="G248" i="1"/>
  <c r="D248" i="5" s="1"/>
  <c r="G249" i="1"/>
  <c r="D249" i="5" s="1"/>
  <c r="G250" i="1"/>
  <c r="D250" i="5" s="1"/>
  <c r="G251" i="1"/>
  <c r="D251" i="5" s="1"/>
  <c r="G252" i="1"/>
  <c r="D252" i="5" s="1"/>
  <c r="G253" i="1"/>
  <c r="D253" i="5" s="1"/>
  <c r="G254" i="1"/>
  <c r="D254" i="5" s="1"/>
  <c r="G255" i="1"/>
  <c r="D255" i="5" s="1"/>
  <c r="G256" i="1"/>
  <c r="D256" i="5" s="1"/>
  <c r="G257" i="1"/>
  <c r="D257" i="5" s="1"/>
  <c r="G258" i="1"/>
  <c r="D258" i="5" s="1"/>
  <c r="G259" i="1"/>
  <c r="D259" i="5" s="1"/>
  <c r="G260" i="1"/>
  <c r="D260" i="5" s="1"/>
  <c r="G261" i="1"/>
  <c r="D261" i="5" s="1"/>
  <c r="G262" i="1"/>
  <c r="D262" i="5" s="1"/>
  <c r="G263" i="1"/>
  <c r="D263" i="5" s="1"/>
  <c r="G264" i="1"/>
  <c r="D264" i="5" s="1"/>
  <c r="G265" i="1"/>
  <c r="D265" i="5" s="1"/>
  <c r="G266" i="1"/>
  <c r="D266" i="5" s="1"/>
  <c r="G267" i="1"/>
  <c r="D267" i="5" s="1"/>
  <c r="G268" i="1"/>
  <c r="D268" i="5" s="1"/>
  <c r="G269" i="1"/>
  <c r="D269" i="5" s="1"/>
  <c r="G270" i="1"/>
  <c r="D270" i="5" s="1"/>
  <c r="G271" i="1"/>
  <c r="D271" i="5" s="1"/>
  <c r="G272" i="1"/>
  <c r="D272" i="5" s="1"/>
  <c r="G273" i="1"/>
  <c r="D273" i="5" s="1"/>
  <c r="G274" i="1"/>
  <c r="D274" i="5" s="1"/>
  <c r="G275" i="1"/>
  <c r="D275" i="5" s="1"/>
  <c r="G276" i="1"/>
  <c r="D276" i="5" s="1"/>
  <c r="G277" i="1"/>
  <c r="D277" i="5" s="1"/>
  <c r="G278" i="1"/>
  <c r="D278" i="5" s="1"/>
  <c r="G279" i="1"/>
  <c r="D279" i="5" s="1"/>
  <c r="G280" i="1"/>
  <c r="D280" i="5" s="1"/>
  <c r="G281" i="1"/>
  <c r="D281" i="5" s="1"/>
  <c r="G282" i="1"/>
  <c r="D282" i="5" s="1"/>
  <c r="G283" i="1"/>
  <c r="D283" i="5" s="1"/>
  <c r="G284" i="1"/>
  <c r="D284" i="5" s="1"/>
  <c r="G285" i="1"/>
  <c r="D285" i="5" s="1"/>
  <c r="G286" i="1"/>
  <c r="D286" i="5" s="1"/>
  <c r="G287" i="1"/>
  <c r="D287" i="5" s="1"/>
  <c r="G288" i="1"/>
  <c r="D288" i="5" s="1"/>
  <c r="G289" i="1"/>
  <c r="D289" i="5" s="1"/>
  <c r="G290" i="1"/>
  <c r="D290" i="5" s="1"/>
  <c r="G291" i="1"/>
  <c r="D291" i="5" s="1"/>
  <c r="G292" i="1"/>
  <c r="D292" i="5" s="1"/>
  <c r="G293" i="1"/>
  <c r="D293" i="5" s="1"/>
  <c r="G294" i="1"/>
  <c r="D294" i="5" s="1"/>
  <c r="G295" i="1"/>
  <c r="D295" i="5" s="1"/>
  <c r="G296" i="1"/>
  <c r="D296" i="5" s="1"/>
  <c r="G297" i="1"/>
  <c r="D297" i="5" s="1"/>
  <c r="G298" i="1"/>
  <c r="D298" i="5" s="1"/>
  <c r="G299" i="1"/>
  <c r="D299" i="5" s="1"/>
  <c r="G300" i="1"/>
  <c r="D300" i="5" s="1"/>
  <c r="G301" i="1"/>
  <c r="D301" i="5" s="1"/>
  <c r="G302" i="1"/>
  <c r="D302" i="5" s="1"/>
  <c r="G303" i="1"/>
  <c r="D303" i="5" s="1"/>
  <c r="G304" i="1"/>
  <c r="D304" i="5" s="1"/>
  <c r="G305" i="1"/>
  <c r="D305" i="5" s="1"/>
  <c r="G306" i="1"/>
  <c r="D306" i="5" s="1"/>
  <c r="G307" i="1"/>
  <c r="D307" i="5" s="1"/>
  <c r="G308" i="1"/>
  <c r="D308" i="5" s="1"/>
  <c r="G309" i="1"/>
  <c r="D309" i="5" s="1"/>
  <c r="G310" i="1"/>
  <c r="D310" i="5" s="1"/>
  <c r="G311" i="1"/>
  <c r="D311" i="5" s="1"/>
  <c r="G312" i="1"/>
  <c r="D312" i="5" s="1"/>
  <c r="G313" i="1"/>
  <c r="D313" i="5" s="1"/>
  <c r="G314" i="1"/>
  <c r="D314" i="5" s="1"/>
  <c r="G315" i="1"/>
  <c r="D315" i="5" s="1"/>
  <c r="G316" i="1"/>
  <c r="D316" i="5" s="1"/>
  <c r="G317" i="1"/>
  <c r="D317" i="5" s="1"/>
  <c r="G318" i="1"/>
  <c r="D318" i="5" s="1"/>
  <c r="G319" i="1"/>
  <c r="D319" i="5" s="1"/>
  <c r="G320" i="1"/>
  <c r="D320" i="5" s="1"/>
  <c r="G321" i="1"/>
  <c r="D321" i="5" s="1"/>
  <c r="G322" i="1"/>
  <c r="D322" i="5" s="1"/>
  <c r="G323" i="1"/>
  <c r="D323" i="5" s="1"/>
  <c r="G324" i="1"/>
  <c r="D324" i="5" s="1"/>
  <c r="G325" i="1"/>
  <c r="D325" i="5" s="1"/>
  <c r="G326" i="1"/>
  <c r="D326" i="5" s="1"/>
  <c r="G327" i="1"/>
  <c r="D327" i="5" s="1"/>
  <c r="G328" i="1"/>
  <c r="D328" i="5" s="1"/>
  <c r="G329" i="1"/>
  <c r="D329" i="5" s="1"/>
  <c r="G330" i="1"/>
  <c r="D330" i="5" s="1"/>
  <c r="G331" i="1"/>
  <c r="D331" i="5" s="1"/>
  <c r="G332" i="1"/>
  <c r="D332" i="5" s="1"/>
  <c r="G333" i="1"/>
  <c r="D333" i="5" s="1"/>
  <c r="G334" i="1"/>
  <c r="D334" i="5" s="1"/>
  <c r="G335" i="1"/>
  <c r="D335" i="5" s="1"/>
  <c r="G336" i="1"/>
  <c r="D336" i="5" s="1"/>
  <c r="G337" i="1"/>
  <c r="D337" i="5" s="1"/>
  <c r="G338" i="1"/>
  <c r="D338" i="5" s="1"/>
  <c r="G339" i="1"/>
  <c r="D339" i="5" s="1"/>
  <c r="G340" i="1"/>
  <c r="D340" i="5" s="1"/>
  <c r="G341" i="1"/>
  <c r="D341" i="5" s="1"/>
  <c r="G342" i="1"/>
  <c r="D342" i="5" s="1"/>
  <c r="G343" i="1"/>
  <c r="D343" i="5" s="1"/>
  <c r="G344" i="1"/>
  <c r="D344" i="5" s="1"/>
  <c r="G345" i="1"/>
  <c r="D345" i="5" s="1"/>
  <c r="G346" i="1"/>
  <c r="D346" i="5" s="1"/>
  <c r="G347" i="1"/>
  <c r="D347" i="5" s="1"/>
  <c r="G348" i="1"/>
  <c r="D348" i="5" s="1"/>
  <c r="G349" i="1"/>
  <c r="D349" i="5" s="1"/>
  <c r="G350" i="1"/>
  <c r="D350" i="5" s="1"/>
  <c r="G351" i="1"/>
  <c r="D351" i="5" s="1"/>
  <c r="G352" i="1"/>
  <c r="D352" i="5" s="1"/>
  <c r="G353" i="1"/>
  <c r="D353" i="5" s="1"/>
  <c r="G354" i="1"/>
  <c r="D354" i="5" s="1"/>
  <c r="G355" i="1"/>
  <c r="D355" i="5" s="1"/>
  <c r="G356" i="1"/>
  <c r="D356" i="5" s="1"/>
  <c r="G357" i="1"/>
  <c r="D357" i="5" s="1"/>
  <c r="G358" i="1"/>
  <c r="D358" i="5" s="1"/>
  <c r="G359" i="1"/>
  <c r="D359" i="5" s="1"/>
  <c r="G360" i="1"/>
  <c r="D360" i="5" s="1"/>
  <c r="G361" i="1"/>
  <c r="D361" i="5" s="1"/>
  <c r="G362" i="1"/>
  <c r="D362" i="5" s="1"/>
  <c r="G363" i="1"/>
  <c r="D363" i="5" s="1"/>
  <c r="G364" i="1"/>
  <c r="D364" i="5" s="1"/>
  <c r="G365" i="1"/>
  <c r="D365" i="5" s="1"/>
  <c r="G366" i="1"/>
  <c r="D366" i="5" s="1"/>
  <c r="G367" i="1"/>
  <c r="D367" i="5" s="1"/>
  <c r="G368" i="1"/>
  <c r="D368" i="5" s="1"/>
  <c r="G369" i="1"/>
  <c r="D369" i="5" s="1"/>
  <c r="G370" i="1"/>
  <c r="D370" i="5" s="1"/>
  <c r="G371" i="1"/>
  <c r="D371" i="5" s="1"/>
  <c r="G372" i="1"/>
  <c r="D372" i="5" s="1"/>
  <c r="G373" i="1"/>
  <c r="D373" i="5" s="1"/>
  <c r="G374" i="1"/>
  <c r="D374" i="5" s="1"/>
  <c r="G375" i="1"/>
  <c r="D375" i="5" s="1"/>
  <c r="G376" i="1"/>
  <c r="D376" i="5" s="1"/>
  <c r="G377" i="1"/>
  <c r="D377" i="5" s="1"/>
  <c r="G378" i="1"/>
  <c r="D378" i="5" s="1"/>
  <c r="G379" i="1"/>
  <c r="D379" i="5" s="1"/>
  <c r="G380" i="1"/>
  <c r="D380" i="5" s="1"/>
  <c r="G381" i="1"/>
  <c r="D381" i="5" s="1"/>
  <c r="G382" i="1"/>
  <c r="D382" i="5" s="1"/>
  <c r="G383" i="1"/>
  <c r="D383" i="5" s="1"/>
  <c r="G384" i="1"/>
  <c r="D384" i="5" s="1"/>
  <c r="G385" i="1"/>
  <c r="D385" i="5" s="1"/>
  <c r="G386" i="1"/>
  <c r="D386" i="5" s="1"/>
  <c r="G387" i="1"/>
  <c r="D387" i="5" s="1"/>
  <c r="G388" i="1"/>
  <c r="D388" i="5" s="1"/>
  <c r="G389" i="1"/>
  <c r="D389" i="5" s="1"/>
  <c r="G390" i="1"/>
  <c r="D390" i="5" s="1"/>
  <c r="G391" i="1"/>
  <c r="D391" i="5" s="1"/>
  <c r="G392" i="1"/>
  <c r="D392" i="5" s="1"/>
  <c r="G393" i="1"/>
  <c r="D393" i="5" s="1"/>
  <c r="G394" i="1"/>
  <c r="D394" i="5" s="1"/>
  <c r="G395" i="1"/>
  <c r="D395" i="5" s="1"/>
  <c r="G396" i="1"/>
  <c r="D396" i="5" s="1"/>
  <c r="G397" i="1"/>
  <c r="D397" i="5" s="1"/>
  <c r="G398" i="1"/>
  <c r="D398" i="5" s="1"/>
  <c r="G399" i="1"/>
  <c r="D399" i="5" s="1"/>
  <c r="G400" i="1"/>
  <c r="D400" i="5" s="1"/>
  <c r="G401" i="1"/>
  <c r="D401" i="5" s="1"/>
  <c r="G402" i="1"/>
  <c r="D402" i="5" s="1"/>
  <c r="G403" i="1"/>
  <c r="D403" i="5" s="1"/>
  <c r="G404" i="1"/>
  <c r="D404" i="5" s="1"/>
  <c r="G405" i="1"/>
  <c r="D405" i="5" s="1"/>
  <c r="G406" i="1"/>
  <c r="D406" i="5" s="1"/>
  <c r="G407" i="1"/>
  <c r="D407" i="5" s="1"/>
  <c r="G408" i="1"/>
  <c r="D408" i="5" s="1"/>
  <c r="G409" i="1"/>
  <c r="D409" i="5" s="1"/>
  <c r="G410" i="1"/>
  <c r="D410" i="5" s="1"/>
  <c r="G411" i="1"/>
  <c r="D411" i="5" s="1"/>
  <c r="G412" i="1"/>
  <c r="D412" i="5" s="1"/>
  <c r="G413" i="1"/>
  <c r="D413" i="5" s="1"/>
  <c r="G414" i="1"/>
  <c r="D414" i="5" s="1"/>
  <c r="G415" i="1"/>
  <c r="D415" i="5" s="1"/>
  <c r="G416" i="1"/>
  <c r="D416" i="5" s="1"/>
  <c r="G417" i="1"/>
  <c r="D417" i="5" s="1"/>
  <c r="G418" i="1"/>
  <c r="D418" i="5" s="1"/>
  <c r="G419" i="1"/>
  <c r="D419" i="5" s="1"/>
  <c r="G420" i="1"/>
  <c r="D420" i="5" s="1"/>
  <c r="G421" i="1"/>
  <c r="D421" i="5" s="1"/>
  <c r="G422" i="1"/>
  <c r="D422" i="5" s="1"/>
  <c r="G423" i="1"/>
  <c r="D423" i="5" s="1"/>
  <c r="G424" i="1"/>
  <c r="D424" i="5" s="1"/>
  <c r="G425" i="1"/>
  <c r="D425" i="5" s="1"/>
  <c r="G426" i="1"/>
  <c r="D426" i="5" s="1"/>
  <c r="G427" i="1"/>
  <c r="D427" i="5" s="1"/>
  <c r="G428" i="1"/>
  <c r="D428" i="5" s="1"/>
  <c r="G429" i="1"/>
  <c r="D429" i="5" s="1"/>
  <c r="G430" i="1"/>
  <c r="D430" i="5" s="1"/>
  <c r="G431" i="1"/>
  <c r="D431" i="5" s="1"/>
  <c r="G432" i="1"/>
  <c r="D432" i="5" s="1"/>
  <c r="G433" i="1"/>
  <c r="D433" i="5" s="1"/>
  <c r="G434" i="1"/>
  <c r="D434" i="5" s="1"/>
  <c r="G435" i="1"/>
  <c r="D435" i="5" s="1"/>
  <c r="G436" i="1"/>
  <c r="D436" i="5" s="1"/>
  <c r="G437" i="1"/>
  <c r="D437" i="5" s="1"/>
  <c r="G438" i="1"/>
  <c r="D438" i="5" s="1"/>
  <c r="G439" i="1"/>
  <c r="D439" i="5" s="1"/>
  <c r="G440" i="1"/>
  <c r="D440" i="5" s="1"/>
  <c r="G441" i="1"/>
  <c r="D441" i="5" s="1"/>
  <c r="G442" i="1"/>
  <c r="D442" i="5" s="1"/>
  <c r="G443" i="1"/>
  <c r="D443" i="5" s="1"/>
  <c r="G444" i="1"/>
  <c r="D444" i="5" s="1"/>
  <c r="G445" i="1"/>
  <c r="D445" i="5" s="1"/>
  <c r="G446" i="1"/>
  <c r="D446" i="5" s="1"/>
  <c r="G447" i="1"/>
  <c r="D447" i="5" s="1"/>
  <c r="G448" i="1"/>
  <c r="D448" i="5" s="1"/>
  <c r="G449" i="1"/>
  <c r="D449" i="5" s="1"/>
  <c r="G450" i="1"/>
  <c r="D450" i="5" s="1"/>
  <c r="G451" i="1"/>
  <c r="D451" i="5" s="1"/>
  <c r="G452" i="1"/>
  <c r="D452" i="5" s="1"/>
  <c r="G453" i="1"/>
  <c r="D453" i="5" s="1"/>
  <c r="G454" i="1"/>
  <c r="D454" i="5" s="1"/>
  <c r="G455" i="1"/>
  <c r="D455" i="5" s="1"/>
  <c r="G456" i="1"/>
  <c r="D456" i="5" s="1"/>
  <c r="G457" i="1"/>
  <c r="D457" i="5" s="1"/>
  <c r="G458" i="1"/>
  <c r="D458" i="5" s="1"/>
  <c r="G459" i="1"/>
  <c r="D459" i="5" s="1"/>
  <c r="G460" i="1"/>
  <c r="D460" i="5" s="1"/>
  <c r="G461" i="1"/>
  <c r="D461" i="5" s="1"/>
  <c r="G462" i="1"/>
  <c r="D462" i="5" s="1"/>
  <c r="G463" i="1"/>
  <c r="D463" i="5" s="1"/>
  <c r="G464" i="1"/>
  <c r="D464" i="5" s="1"/>
  <c r="G465" i="1"/>
  <c r="D465" i="5" s="1"/>
  <c r="G466" i="1"/>
  <c r="D466" i="5" s="1"/>
  <c r="G467" i="1"/>
  <c r="D467" i="5" s="1"/>
  <c r="G468" i="1"/>
  <c r="D468" i="5" s="1"/>
  <c r="G469" i="1"/>
  <c r="D469" i="5" s="1"/>
  <c r="G470" i="1"/>
  <c r="D470" i="5" s="1"/>
  <c r="G471" i="1"/>
  <c r="D471" i="5" s="1"/>
  <c r="G472" i="1"/>
  <c r="D472" i="5" s="1"/>
  <c r="G473" i="1"/>
  <c r="D473" i="5" s="1"/>
  <c r="G474" i="1"/>
  <c r="D474" i="5" s="1"/>
  <c r="G475" i="1"/>
  <c r="D475" i="5" s="1"/>
  <c r="G476" i="1"/>
  <c r="D476" i="5" s="1"/>
  <c r="G477" i="1"/>
  <c r="D477" i="5" s="1"/>
  <c r="G478" i="1"/>
  <c r="D478" i="5" s="1"/>
  <c r="G479" i="1"/>
  <c r="D479" i="5" s="1"/>
  <c r="G480" i="1"/>
  <c r="D480" i="5" s="1"/>
  <c r="G481" i="1"/>
  <c r="D481" i="5" s="1"/>
  <c r="G482" i="1"/>
  <c r="D482" i="5" s="1"/>
  <c r="G483" i="1"/>
  <c r="D483" i="5" s="1"/>
  <c r="G484" i="1"/>
  <c r="D484" i="5" s="1"/>
  <c r="G485" i="1"/>
  <c r="D485" i="5" s="1"/>
  <c r="G486" i="1"/>
  <c r="D486" i="5" s="1"/>
  <c r="G487" i="1"/>
  <c r="D487" i="5" s="1"/>
  <c r="G488" i="1"/>
  <c r="D488" i="5" s="1"/>
  <c r="G489" i="1"/>
  <c r="D489" i="5" s="1"/>
  <c r="G490" i="1"/>
  <c r="D490" i="5" s="1"/>
  <c r="G491" i="1"/>
  <c r="D491" i="5" s="1"/>
  <c r="G492" i="1"/>
  <c r="D492" i="5" s="1"/>
  <c r="G493" i="1"/>
  <c r="D493" i="5" s="1"/>
  <c r="G494" i="1"/>
  <c r="D494" i="5" s="1"/>
  <c r="G495" i="1"/>
  <c r="D495" i="5" s="1"/>
  <c r="G496" i="1"/>
  <c r="D496" i="5" s="1"/>
  <c r="G497" i="1"/>
  <c r="D497" i="5" s="1"/>
  <c r="G498" i="1"/>
  <c r="D498" i="5" s="1"/>
  <c r="G499" i="1"/>
  <c r="D499" i="5" s="1"/>
  <c r="G500" i="1"/>
  <c r="D500" i="5" s="1"/>
  <c r="G501" i="1"/>
  <c r="D501" i="5" s="1"/>
  <c r="G502" i="1"/>
  <c r="D502" i="5" s="1"/>
  <c r="G503" i="1"/>
  <c r="D503" i="5" s="1"/>
  <c r="G504" i="1"/>
  <c r="D504" i="5" s="1"/>
  <c r="G505" i="1"/>
  <c r="D505" i="5" s="1"/>
  <c r="G506" i="1"/>
  <c r="D506" i="5" s="1"/>
  <c r="G507" i="1"/>
  <c r="D507" i="5" s="1"/>
  <c r="G508" i="1"/>
  <c r="D508" i="5" s="1"/>
  <c r="G509" i="1"/>
  <c r="D509" i="5" s="1"/>
  <c r="G510" i="1"/>
  <c r="D510" i="5" s="1"/>
  <c r="G511" i="1"/>
  <c r="D511" i="5" s="1"/>
  <c r="G512" i="1"/>
  <c r="D512" i="5" s="1"/>
  <c r="G513" i="1"/>
  <c r="D513" i="5" s="1"/>
  <c r="G514" i="1"/>
  <c r="D514" i="5" s="1"/>
  <c r="G515" i="1"/>
  <c r="D515" i="5" s="1"/>
  <c r="G516" i="1"/>
  <c r="D516" i="5" s="1"/>
  <c r="G517" i="1"/>
  <c r="D517" i="5" s="1"/>
  <c r="G518" i="1"/>
  <c r="D518" i="5" s="1"/>
  <c r="G519" i="1"/>
  <c r="D519" i="5" s="1"/>
  <c r="G520" i="1"/>
  <c r="D520" i="5" s="1"/>
  <c r="G521" i="1"/>
  <c r="D521" i="5" s="1"/>
  <c r="G522" i="1"/>
  <c r="D522" i="5" s="1"/>
  <c r="G523" i="1"/>
  <c r="D523" i="5" s="1"/>
  <c r="G524" i="1"/>
  <c r="D524" i="5" s="1"/>
  <c r="G525" i="1"/>
  <c r="D525" i="5" s="1"/>
  <c r="G526" i="1"/>
  <c r="D526" i="5" s="1"/>
  <c r="G527" i="1"/>
  <c r="D527" i="5" s="1"/>
  <c r="G528" i="1"/>
  <c r="D528" i="5" s="1"/>
  <c r="G529" i="1"/>
  <c r="D529" i="5" s="1"/>
  <c r="G530" i="1"/>
  <c r="D530" i="5" s="1"/>
  <c r="G531" i="1"/>
  <c r="D531" i="5" s="1"/>
  <c r="G532" i="1"/>
  <c r="D532" i="5" s="1"/>
  <c r="G533" i="1"/>
  <c r="D533" i="5" s="1"/>
  <c r="G534" i="1"/>
  <c r="D534" i="5" s="1"/>
  <c r="G535" i="1"/>
  <c r="D535" i="5" s="1"/>
  <c r="G536" i="1"/>
  <c r="D536" i="5" s="1"/>
  <c r="G537" i="1"/>
  <c r="D537" i="5" s="1"/>
  <c r="G538" i="1"/>
  <c r="D538" i="5" s="1"/>
  <c r="G539" i="1"/>
  <c r="D539" i="5" s="1"/>
  <c r="G540" i="1"/>
  <c r="D540" i="5" s="1"/>
  <c r="G541" i="1"/>
  <c r="D541" i="5" s="1"/>
  <c r="G542" i="1"/>
  <c r="D542" i="5" s="1"/>
  <c r="G543" i="1"/>
  <c r="D543" i="5" s="1"/>
  <c r="G544" i="1"/>
  <c r="D544" i="5" s="1"/>
  <c r="G545" i="1"/>
  <c r="D545" i="5" s="1"/>
  <c r="G546" i="1"/>
  <c r="D546" i="5" s="1"/>
  <c r="G547" i="1"/>
  <c r="D547" i="5" s="1"/>
  <c r="G548" i="1"/>
  <c r="D548" i="5" s="1"/>
  <c r="G549" i="1"/>
  <c r="D549" i="5" s="1"/>
  <c r="G550" i="1"/>
  <c r="D550" i="5" s="1"/>
  <c r="G551" i="1"/>
  <c r="D551" i="5" s="1"/>
  <c r="G552" i="1"/>
  <c r="D552" i="5" s="1"/>
  <c r="G553" i="1"/>
  <c r="D553" i="5" s="1"/>
  <c r="G554" i="1"/>
  <c r="D554" i="5" s="1"/>
  <c r="G555" i="1"/>
  <c r="D555" i="5" s="1"/>
  <c r="G556" i="1"/>
  <c r="D556" i="5" s="1"/>
  <c r="G557" i="1"/>
  <c r="D557" i="5" s="1"/>
  <c r="G558" i="1"/>
  <c r="D558" i="5" s="1"/>
  <c r="G559" i="1"/>
  <c r="D559" i="5" s="1"/>
  <c r="G560" i="1"/>
  <c r="D560" i="5" s="1"/>
  <c r="G561" i="1"/>
  <c r="D561" i="5" s="1"/>
  <c r="G562" i="1"/>
  <c r="D562" i="5" s="1"/>
  <c r="G563" i="1"/>
  <c r="D563" i="5" s="1"/>
  <c r="G564" i="1"/>
  <c r="D564" i="5" s="1"/>
  <c r="G565" i="1"/>
  <c r="D565" i="5" s="1"/>
  <c r="G566" i="1"/>
  <c r="D566" i="5" s="1"/>
  <c r="G567" i="1"/>
  <c r="D567" i="5" s="1"/>
  <c r="G568" i="1"/>
  <c r="D568" i="5" s="1"/>
  <c r="G569" i="1"/>
  <c r="D569" i="5" s="1"/>
  <c r="G570" i="1"/>
  <c r="D570" i="5" s="1"/>
  <c r="G571" i="1"/>
  <c r="D571" i="5" s="1"/>
  <c r="G572" i="1"/>
  <c r="D572" i="5" s="1"/>
  <c r="G573" i="1"/>
  <c r="D573" i="5" s="1"/>
  <c r="G574" i="1"/>
  <c r="D574" i="5" s="1"/>
  <c r="G575" i="1"/>
  <c r="D575" i="5" s="1"/>
  <c r="G576" i="1"/>
  <c r="D576" i="5" s="1"/>
  <c r="G577" i="1"/>
  <c r="D577" i="5" s="1"/>
  <c r="G578" i="1"/>
  <c r="D578" i="5" s="1"/>
  <c r="G579" i="1"/>
  <c r="D579" i="5" s="1"/>
  <c r="G580" i="1"/>
  <c r="D580" i="5" s="1"/>
  <c r="G581" i="1"/>
  <c r="D581" i="5" s="1"/>
  <c r="G582" i="1"/>
  <c r="D582" i="5" s="1"/>
  <c r="G583" i="1"/>
  <c r="D583" i="5" s="1"/>
  <c r="G584" i="1"/>
  <c r="D584" i="5" s="1"/>
  <c r="G585" i="1"/>
  <c r="D585" i="5" s="1"/>
  <c r="G586" i="1"/>
  <c r="D586" i="5" s="1"/>
  <c r="G587" i="1"/>
  <c r="D587" i="5" s="1"/>
  <c r="G588" i="1"/>
  <c r="D588" i="5" s="1"/>
  <c r="G589" i="1"/>
  <c r="D589" i="5" s="1"/>
  <c r="G590" i="1"/>
  <c r="D590" i="5" s="1"/>
  <c r="G591" i="1"/>
  <c r="D591" i="5" s="1"/>
  <c r="G592" i="1"/>
  <c r="D592" i="5" s="1"/>
  <c r="G593" i="1"/>
  <c r="D593" i="5" s="1"/>
  <c r="G594" i="1"/>
  <c r="D594" i="5" s="1"/>
  <c r="G595" i="1"/>
  <c r="D595" i="5" s="1"/>
  <c r="G596" i="1"/>
  <c r="D596" i="5" s="1"/>
  <c r="G597" i="1"/>
  <c r="D597" i="5" s="1"/>
  <c r="G598" i="1"/>
  <c r="D598" i="5" s="1"/>
  <c r="G599" i="1"/>
  <c r="D599" i="5" s="1"/>
  <c r="G600" i="1"/>
  <c r="D600" i="5" s="1"/>
  <c r="G601" i="1"/>
  <c r="D601" i="5" s="1"/>
  <c r="G602" i="1"/>
  <c r="D602" i="5" s="1"/>
  <c r="G603" i="1"/>
  <c r="D603" i="5" s="1"/>
  <c r="G604" i="1"/>
  <c r="D604" i="5" s="1"/>
  <c r="G605" i="1"/>
  <c r="D605" i="5" s="1"/>
  <c r="G606" i="1"/>
  <c r="D606" i="5" s="1"/>
  <c r="G607" i="1"/>
  <c r="D607" i="5" s="1"/>
  <c r="G608" i="1"/>
  <c r="D608" i="5" s="1"/>
  <c r="G609" i="1"/>
  <c r="D609" i="5" s="1"/>
  <c r="G610" i="1"/>
  <c r="D610" i="5" s="1"/>
  <c r="G611" i="1"/>
  <c r="D611" i="5" s="1"/>
  <c r="G612" i="1"/>
  <c r="D612" i="5" s="1"/>
  <c r="G613" i="1"/>
  <c r="D613" i="5" s="1"/>
  <c r="G614" i="1"/>
  <c r="D614" i="5" s="1"/>
  <c r="G615" i="1"/>
  <c r="D615" i="5" s="1"/>
  <c r="G616" i="1"/>
  <c r="D616" i="5" s="1"/>
  <c r="G617" i="1"/>
  <c r="D617" i="5" s="1"/>
  <c r="G618" i="1"/>
  <c r="D618" i="5" s="1"/>
  <c r="G619" i="1"/>
  <c r="D619" i="5" s="1"/>
  <c r="G620" i="1"/>
  <c r="D620" i="5" s="1"/>
  <c r="G621" i="1"/>
  <c r="D621" i="5" s="1"/>
  <c r="G622" i="1"/>
  <c r="D622" i="5" s="1"/>
  <c r="G623" i="1"/>
  <c r="D623" i="5" s="1"/>
  <c r="G624" i="1"/>
  <c r="D624" i="5" s="1"/>
  <c r="G625" i="1"/>
  <c r="D625" i="5" s="1"/>
  <c r="G626" i="1"/>
  <c r="D626" i="5" s="1"/>
  <c r="G627" i="1"/>
  <c r="D627" i="5" s="1"/>
  <c r="G628" i="1"/>
  <c r="D628" i="5" s="1"/>
  <c r="G629" i="1"/>
  <c r="D629" i="5" s="1"/>
  <c r="G630" i="1"/>
  <c r="D630" i="5" s="1"/>
  <c r="G631" i="1"/>
  <c r="D631" i="5" s="1"/>
  <c r="G632" i="1"/>
  <c r="D632" i="5" s="1"/>
  <c r="G633" i="1"/>
  <c r="D633" i="5" s="1"/>
  <c r="G634" i="1"/>
  <c r="D634" i="5" s="1"/>
  <c r="G635" i="1"/>
  <c r="D635" i="5" s="1"/>
  <c r="G636" i="1"/>
  <c r="D636" i="5" s="1"/>
  <c r="G637" i="1"/>
  <c r="D637" i="5" s="1"/>
  <c r="G638" i="1"/>
  <c r="D638" i="5" s="1"/>
  <c r="G639" i="1"/>
  <c r="D639" i="5" s="1"/>
  <c r="G640" i="1"/>
  <c r="D640" i="5" s="1"/>
  <c r="G641" i="1"/>
  <c r="D641" i="5" s="1"/>
  <c r="G642" i="1"/>
  <c r="D642" i="5" s="1"/>
  <c r="G643" i="1"/>
  <c r="D643" i="5" s="1"/>
  <c r="G644" i="1"/>
  <c r="D644" i="5" s="1"/>
  <c r="G645" i="1"/>
  <c r="D645" i="5" s="1"/>
  <c r="G646" i="1"/>
  <c r="D646" i="5" s="1"/>
  <c r="G647" i="1"/>
  <c r="D647" i="5" s="1"/>
  <c r="G648" i="1"/>
  <c r="D648" i="5" s="1"/>
  <c r="G649" i="1"/>
  <c r="D649" i="5" s="1"/>
  <c r="G650" i="1"/>
  <c r="D650" i="5" s="1"/>
  <c r="G651" i="1"/>
  <c r="D651" i="5" s="1"/>
  <c r="G652" i="1"/>
  <c r="D652" i="5" s="1"/>
  <c r="G653" i="1"/>
  <c r="D653" i="5" s="1"/>
  <c r="G654" i="1"/>
  <c r="D654" i="5" s="1"/>
  <c r="G655" i="1"/>
  <c r="D655" i="5" s="1"/>
  <c r="G656" i="1"/>
  <c r="D656" i="5" s="1"/>
  <c r="G657" i="1"/>
  <c r="D657" i="5" s="1"/>
  <c r="G658" i="1"/>
  <c r="D658" i="5" s="1"/>
  <c r="G659" i="1"/>
  <c r="D659" i="5" s="1"/>
  <c r="G660" i="1"/>
  <c r="D660" i="5" s="1"/>
  <c r="G661" i="1"/>
  <c r="D661" i="5" s="1"/>
  <c r="G662" i="1"/>
  <c r="D662" i="5" s="1"/>
  <c r="G663" i="1"/>
  <c r="D663" i="5" s="1"/>
  <c r="G664" i="1"/>
  <c r="D664" i="5" s="1"/>
  <c r="G665" i="1"/>
  <c r="D665" i="5" s="1"/>
  <c r="G666" i="1"/>
  <c r="D666" i="5" s="1"/>
  <c r="G667" i="1"/>
  <c r="D667" i="5" s="1"/>
  <c r="G668" i="1"/>
  <c r="D668" i="5" s="1"/>
  <c r="G669" i="1"/>
  <c r="D669" i="5" s="1"/>
  <c r="G670" i="1"/>
  <c r="D670" i="5" s="1"/>
  <c r="G671" i="1"/>
  <c r="D671" i="5" s="1"/>
  <c r="G672" i="1"/>
  <c r="D672" i="5" s="1"/>
  <c r="G673" i="1"/>
  <c r="D673" i="5" s="1"/>
  <c r="G674" i="1"/>
  <c r="D674" i="5" s="1"/>
  <c r="G675" i="1"/>
  <c r="D675" i="5" s="1"/>
  <c r="G676" i="1"/>
  <c r="D676" i="5" s="1"/>
  <c r="G677" i="1"/>
  <c r="D677" i="5" s="1"/>
  <c r="G678" i="1"/>
  <c r="D678" i="5" s="1"/>
  <c r="G679" i="1"/>
  <c r="D679" i="5" s="1"/>
  <c r="G680" i="1"/>
  <c r="D680" i="5" s="1"/>
  <c r="G681" i="1"/>
  <c r="D681" i="5" s="1"/>
  <c r="G682" i="1"/>
  <c r="D682" i="5" s="1"/>
  <c r="G683" i="1"/>
  <c r="D683" i="5" s="1"/>
  <c r="G684" i="1"/>
  <c r="D684" i="5" s="1"/>
  <c r="G685" i="1"/>
  <c r="D685" i="5" s="1"/>
  <c r="G686" i="1"/>
  <c r="D686" i="5" s="1"/>
  <c r="G687" i="1"/>
  <c r="D687" i="5" s="1"/>
  <c r="G688" i="1"/>
  <c r="D688" i="5" s="1"/>
  <c r="G689" i="1"/>
  <c r="D689" i="5" s="1"/>
  <c r="G690" i="1"/>
  <c r="D690" i="5" s="1"/>
  <c r="G691" i="1"/>
  <c r="D691" i="5" s="1"/>
  <c r="G692" i="1"/>
  <c r="D692" i="5" s="1"/>
  <c r="G693" i="1"/>
  <c r="D693" i="5" s="1"/>
  <c r="G694" i="1"/>
  <c r="D694" i="5" s="1"/>
  <c r="G695" i="1"/>
  <c r="D695" i="5" s="1"/>
  <c r="G696" i="1"/>
  <c r="D696" i="5" s="1"/>
  <c r="G697" i="1"/>
  <c r="D697" i="5" s="1"/>
  <c r="G698" i="1"/>
  <c r="D698" i="5" s="1"/>
  <c r="G699" i="1"/>
  <c r="D699" i="5" s="1"/>
  <c r="G700" i="1"/>
  <c r="D700" i="5" s="1"/>
  <c r="G701" i="1"/>
  <c r="D701" i="5" s="1"/>
  <c r="G702" i="1"/>
  <c r="D702" i="5" s="1"/>
  <c r="G703" i="1"/>
  <c r="D703" i="5" s="1"/>
  <c r="G704" i="1"/>
  <c r="D704" i="5" s="1"/>
  <c r="G705" i="1"/>
  <c r="D705" i="5" s="1"/>
  <c r="G706" i="1"/>
  <c r="D706" i="5" s="1"/>
  <c r="G707" i="1"/>
  <c r="D707" i="5" s="1"/>
  <c r="G708" i="1"/>
  <c r="D708" i="5" s="1"/>
  <c r="G709" i="1"/>
  <c r="D709" i="5" s="1"/>
  <c r="G710" i="1"/>
  <c r="D710" i="5" s="1"/>
  <c r="G711" i="1"/>
  <c r="D711" i="5" s="1"/>
  <c r="G712" i="1"/>
  <c r="D712" i="5" s="1"/>
  <c r="G713" i="1"/>
  <c r="D713" i="5" s="1"/>
  <c r="G714" i="1"/>
  <c r="D714" i="5" s="1"/>
  <c r="G715" i="1"/>
  <c r="D715" i="5" s="1"/>
  <c r="G716" i="1"/>
  <c r="D716" i="5" s="1"/>
  <c r="G717" i="1"/>
  <c r="D717" i="5" s="1"/>
  <c r="G718" i="1"/>
  <c r="D718" i="5" s="1"/>
  <c r="G719" i="1"/>
  <c r="D719" i="5" s="1"/>
  <c r="G720" i="1"/>
  <c r="D720" i="5" s="1"/>
  <c r="G721" i="1"/>
  <c r="D721" i="5" s="1"/>
  <c r="G722" i="1"/>
  <c r="D722" i="5" s="1"/>
  <c r="G723" i="1"/>
  <c r="D723" i="5" s="1"/>
  <c r="G724" i="1"/>
  <c r="D724" i="5" s="1"/>
  <c r="G725" i="1"/>
  <c r="D725" i="5" s="1"/>
  <c r="G726" i="1"/>
  <c r="D726" i="5" s="1"/>
  <c r="G727" i="1"/>
  <c r="D727" i="5" s="1"/>
  <c r="G728" i="1"/>
  <c r="D728" i="5" s="1"/>
  <c r="G729" i="1"/>
  <c r="D729" i="5" s="1"/>
  <c r="G730" i="1"/>
  <c r="D730" i="5" s="1"/>
  <c r="G731" i="1"/>
  <c r="D731" i="5" s="1"/>
  <c r="G732" i="1"/>
  <c r="D732" i="5" s="1"/>
  <c r="G733" i="1"/>
  <c r="D733" i="5" s="1"/>
  <c r="G734" i="1"/>
  <c r="D734" i="5" s="1"/>
  <c r="G735" i="1"/>
  <c r="D735" i="5" s="1"/>
  <c r="G736" i="1"/>
  <c r="D736" i="5" s="1"/>
  <c r="G737" i="1"/>
  <c r="D737" i="5" s="1"/>
  <c r="G738" i="1"/>
  <c r="D738" i="5" s="1"/>
  <c r="G739" i="1"/>
  <c r="D739" i="5" s="1"/>
  <c r="G740" i="1"/>
  <c r="D740" i="5" s="1"/>
  <c r="G741" i="1"/>
  <c r="D741" i="5" s="1"/>
  <c r="G742" i="1"/>
  <c r="D742" i="5" s="1"/>
  <c r="G743" i="1"/>
  <c r="D743" i="5" s="1"/>
  <c r="G744" i="1"/>
  <c r="D744" i="5" s="1"/>
  <c r="G745" i="1"/>
  <c r="D745" i="5" s="1"/>
  <c r="G746" i="1"/>
  <c r="D746" i="5" s="1"/>
  <c r="G747" i="1"/>
  <c r="D747" i="5" s="1"/>
  <c r="G748" i="1"/>
  <c r="D748" i="5" s="1"/>
  <c r="G749" i="1"/>
  <c r="D749" i="5" s="1"/>
  <c r="G750" i="1"/>
  <c r="D750" i="5" s="1"/>
  <c r="G751" i="1"/>
  <c r="D751" i="5" s="1"/>
  <c r="G752" i="1"/>
  <c r="D752" i="5" s="1"/>
  <c r="G753" i="1"/>
  <c r="D753" i="5" s="1"/>
  <c r="G754" i="1"/>
  <c r="D754" i="5" s="1"/>
  <c r="G755" i="1"/>
  <c r="D755" i="5" s="1"/>
  <c r="G756" i="1"/>
  <c r="D756" i="5" s="1"/>
  <c r="G757" i="1"/>
  <c r="D757" i="5" s="1"/>
  <c r="G758" i="1"/>
  <c r="D758" i="5" s="1"/>
  <c r="G759" i="1"/>
  <c r="D759" i="5" s="1"/>
  <c r="G760" i="1"/>
  <c r="D760" i="5" s="1"/>
  <c r="G761" i="1"/>
  <c r="D761" i="5" s="1"/>
  <c r="G762" i="1"/>
  <c r="D762" i="5" s="1"/>
  <c r="G763" i="1"/>
  <c r="D763" i="5" s="1"/>
  <c r="G764" i="1"/>
  <c r="D764" i="5" s="1"/>
  <c r="G765" i="1"/>
  <c r="D765" i="5" s="1"/>
  <c r="G766" i="1"/>
  <c r="D766" i="5" s="1"/>
  <c r="G767" i="1"/>
  <c r="D767" i="5" s="1"/>
  <c r="G768" i="1"/>
  <c r="D768" i="5" s="1"/>
  <c r="G769" i="1"/>
  <c r="D769" i="5" s="1"/>
  <c r="G770" i="1"/>
  <c r="D770" i="5" s="1"/>
  <c r="G771" i="1"/>
  <c r="D771" i="5" s="1"/>
  <c r="G772" i="1"/>
  <c r="D772" i="5" s="1"/>
  <c r="G773" i="1"/>
  <c r="D773" i="5" s="1"/>
  <c r="G774" i="1"/>
  <c r="D774" i="5" s="1"/>
  <c r="G775" i="1"/>
  <c r="D775" i="5" s="1"/>
  <c r="G776" i="1"/>
  <c r="D776" i="5" s="1"/>
  <c r="G777" i="1"/>
  <c r="D777" i="5" s="1"/>
  <c r="G778" i="1"/>
  <c r="D778" i="5" s="1"/>
  <c r="G779" i="1"/>
  <c r="D779" i="5" s="1"/>
  <c r="G780" i="1"/>
  <c r="D780" i="5" s="1"/>
  <c r="G781" i="1"/>
  <c r="D781" i="5" s="1"/>
  <c r="G782" i="1"/>
  <c r="D782" i="5" s="1"/>
  <c r="G783" i="1"/>
  <c r="D783" i="5" s="1"/>
  <c r="G784" i="1"/>
  <c r="D784" i="5" s="1"/>
  <c r="G785" i="1"/>
  <c r="D785" i="5" s="1"/>
  <c r="G786" i="1"/>
  <c r="D786" i="5" s="1"/>
  <c r="G787" i="1"/>
  <c r="D787" i="5" s="1"/>
  <c r="G788" i="1"/>
  <c r="D788" i="5" s="1"/>
  <c r="G789" i="1"/>
  <c r="D789" i="5" s="1"/>
  <c r="G790" i="1"/>
  <c r="D790" i="5" s="1"/>
  <c r="G791" i="1"/>
  <c r="D791" i="5" s="1"/>
  <c r="G792" i="1"/>
  <c r="D792" i="5" s="1"/>
  <c r="G793" i="1"/>
  <c r="D793" i="5" s="1"/>
  <c r="G794" i="1"/>
  <c r="D794" i="5" s="1"/>
  <c r="G795" i="1"/>
  <c r="D795" i="5" s="1"/>
  <c r="G796" i="1"/>
  <c r="D796" i="5" s="1"/>
  <c r="G797" i="1"/>
  <c r="D797" i="5" s="1"/>
  <c r="G798" i="1"/>
  <c r="D798" i="5" s="1"/>
  <c r="G799" i="1"/>
  <c r="D799" i="5" s="1"/>
  <c r="G800" i="1"/>
  <c r="D800" i="5" s="1"/>
  <c r="G801" i="1"/>
  <c r="D801" i="5" s="1"/>
  <c r="G802" i="1"/>
  <c r="D802" i="5" s="1"/>
  <c r="G803" i="1"/>
  <c r="D803" i="5" s="1"/>
  <c r="G804" i="1"/>
  <c r="D804" i="5" s="1"/>
  <c r="G805" i="1"/>
  <c r="D805" i="5" s="1"/>
  <c r="G806" i="1"/>
  <c r="D806" i="5" s="1"/>
  <c r="G807" i="1"/>
  <c r="D807" i="5" s="1"/>
  <c r="G808" i="1"/>
  <c r="D808" i="5" s="1"/>
  <c r="G809" i="1"/>
  <c r="D809" i="5" s="1"/>
  <c r="G810" i="1"/>
  <c r="D810" i="5" s="1"/>
  <c r="G811" i="1"/>
  <c r="D811" i="5" s="1"/>
  <c r="G812" i="1"/>
  <c r="D812" i="5" s="1"/>
  <c r="G813" i="1"/>
  <c r="D813" i="5" s="1"/>
  <c r="G814" i="1"/>
  <c r="D814" i="5" s="1"/>
  <c r="G815" i="1"/>
  <c r="D815" i="5" s="1"/>
  <c r="G816" i="1"/>
  <c r="D816" i="5" s="1"/>
  <c r="G817" i="1"/>
  <c r="D817" i="5" s="1"/>
  <c r="G818" i="1"/>
  <c r="D818" i="5" s="1"/>
  <c r="G819" i="1"/>
  <c r="D819" i="5" s="1"/>
  <c r="G820" i="1"/>
  <c r="D820" i="5" s="1"/>
  <c r="G821" i="1"/>
  <c r="D821" i="5" s="1"/>
  <c r="G822" i="1"/>
  <c r="D822" i="5" s="1"/>
  <c r="G823" i="1"/>
  <c r="D823" i="5" s="1"/>
  <c r="G824" i="1"/>
  <c r="D824" i="5" s="1"/>
  <c r="G825" i="1"/>
  <c r="D825" i="5" s="1"/>
  <c r="G826" i="1"/>
  <c r="D826" i="5" s="1"/>
  <c r="G827" i="1"/>
  <c r="D827" i="5" s="1"/>
  <c r="G828" i="1"/>
  <c r="D828" i="5" s="1"/>
  <c r="G829" i="1"/>
  <c r="D829" i="5" s="1"/>
  <c r="G830" i="1"/>
  <c r="D830" i="5" s="1"/>
  <c r="G831" i="1"/>
  <c r="D831" i="5" s="1"/>
  <c r="G832" i="1"/>
  <c r="D832" i="5" s="1"/>
  <c r="G833" i="1"/>
  <c r="D833" i="5" s="1"/>
  <c r="G834" i="1"/>
  <c r="D834" i="5" s="1"/>
  <c r="G835" i="1"/>
  <c r="D835" i="5" s="1"/>
  <c r="G836" i="1"/>
  <c r="D836" i="5" s="1"/>
  <c r="G837" i="1"/>
  <c r="D837" i="5" s="1"/>
  <c r="G838" i="1"/>
  <c r="D838" i="5" s="1"/>
  <c r="G839" i="1"/>
  <c r="D839" i="5" s="1"/>
  <c r="G840" i="1"/>
  <c r="D840" i="5" s="1"/>
  <c r="G841" i="1"/>
  <c r="D841" i="5" s="1"/>
  <c r="G842" i="1"/>
  <c r="D842" i="5" s="1"/>
  <c r="G843" i="1"/>
  <c r="D843" i="5" s="1"/>
  <c r="G844" i="1"/>
  <c r="D844" i="5" s="1"/>
  <c r="G845" i="1"/>
  <c r="D845" i="5" s="1"/>
  <c r="G846" i="1"/>
  <c r="D846" i="5" s="1"/>
  <c r="G847" i="1"/>
  <c r="D847" i="5" s="1"/>
  <c r="G848" i="1"/>
  <c r="D848" i="5" s="1"/>
  <c r="G849" i="1"/>
  <c r="D849" i="5" s="1"/>
  <c r="G850" i="1"/>
  <c r="D850" i="5" s="1"/>
  <c r="G851" i="1"/>
  <c r="D851" i="5" s="1"/>
  <c r="G852" i="1"/>
  <c r="D852" i="5" s="1"/>
  <c r="G853" i="1"/>
  <c r="D853" i="5" s="1"/>
  <c r="G854" i="1"/>
  <c r="D854" i="5" s="1"/>
  <c r="G855" i="1"/>
  <c r="D855" i="5" s="1"/>
  <c r="G856" i="1"/>
  <c r="D856" i="5" s="1"/>
  <c r="G857" i="1"/>
  <c r="D857" i="5" s="1"/>
  <c r="G858" i="1"/>
  <c r="D858" i="5" s="1"/>
  <c r="G859" i="1"/>
  <c r="D859" i="5" s="1"/>
  <c r="G860" i="1"/>
  <c r="D860" i="5" s="1"/>
  <c r="G861" i="1"/>
  <c r="D861" i="5" s="1"/>
  <c r="G862" i="1"/>
  <c r="D862" i="5" s="1"/>
  <c r="G863" i="1"/>
  <c r="D863" i="5" s="1"/>
  <c r="G864" i="1"/>
  <c r="D864" i="5" s="1"/>
  <c r="G865" i="1"/>
  <c r="D865" i="5" s="1"/>
  <c r="G866" i="1"/>
  <c r="D866" i="5" s="1"/>
  <c r="G867" i="1"/>
  <c r="D867" i="5" s="1"/>
  <c r="G868" i="1"/>
  <c r="D868" i="5" s="1"/>
  <c r="G869" i="1"/>
  <c r="D869" i="5" s="1"/>
  <c r="G870" i="1"/>
  <c r="D870" i="5" s="1"/>
  <c r="G871" i="1"/>
  <c r="D871" i="5" s="1"/>
  <c r="G872" i="1"/>
  <c r="D872" i="5" s="1"/>
  <c r="G873" i="1"/>
  <c r="D873" i="5" s="1"/>
  <c r="G874" i="1"/>
  <c r="D874" i="5" s="1"/>
  <c r="G875" i="1"/>
  <c r="D875" i="5" s="1"/>
  <c r="G876" i="1"/>
  <c r="D876" i="5" s="1"/>
  <c r="G877" i="1"/>
  <c r="D877" i="5" s="1"/>
  <c r="G878" i="1"/>
  <c r="D878" i="5" s="1"/>
  <c r="G879" i="1"/>
  <c r="D879" i="5" s="1"/>
  <c r="G880" i="1"/>
  <c r="D880" i="5" s="1"/>
  <c r="G881" i="1"/>
  <c r="D881" i="5" s="1"/>
  <c r="G882" i="1"/>
  <c r="D882" i="5" s="1"/>
  <c r="G883" i="1"/>
  <c r="D883" i="5" s="1"/>
  <c r="G884" i="1"/>
  <c r="D884" i="5" s="1"/>
  <c r="G885" i="1"/>
  <c r="D885" i="5" s="1"/>
  <c r="G886" i="1"/>
  <c r="D886" i="5" s="1"/>
  <c r="G887" i="1"/>
  <c r="D887" i="5" s="1"/>
  <c r="G888" i="1"/>
  <c r="D888" i="5" s="1"/>
  <c r="G889" i="1"/>
  <c r="D889" i="5" s="1"/>
  <c r="G890" i="1"/>
  <c r="D890" i="5" s="1"/>
  <c r="G891" i="1"/>
  <c r="D891" i="5" s="1"/>
  <c r="G892" i="1"/>
  <c r="D892" i="5" s="1"/>
  <c r="G893" i="1"/>
  <c r="D893" i="5" s="1"/>
  <c r="G894" i="1"/>
  <c r="D894" i="5" s="1"/>
  <c r="G895" i="1"/>
  <c r="D895" i="5" s="1"/>
  <c r="G896" i="1"/>
  <c r="D896" i="5" s="1"/>
  <c r="G897" i="1"/>
  <c r="D897" i="5" s="1"/>
  <c r="G898" i="1"/>
  <c r="D898" i="5" s="1"/>
  <c r="G899" i="1"/>
  <c r="D899" i="5" s="1"/>
  <c r="G900" i="1"/>
  <c r="D900" i="5" s="1"/>
  <c r="G901" i="1"/>
  <c r="D901" i="5" s="1"/>
  <c r="G902" i="1"/>
  <c r="D902" i="5" s="1"/>
  <c r="G903" i="1"/>
  <c r="D903" i="5" s="1"/>
  <c r="G904" i="1"/>
  <c r="D904" i="5" s="1"/>
  <c r="G905" i="1"/>
  <c r="D905" i="5" s="1"/>
  <c r="G906" i="1"/>
  <c r="D906" i="5" s="1"/>
  <c r="G907" i="1"/>
  <c r="D907" i="5" s="1"/>
  <c r="G908" i="1"/>
  <c r="D908" i="5" s="1"/>
  <c r="G909" i="1"/>
  <c r="D909" i="5" s="1"/>
  <c r="G910" i="1"/>
  <c r="D910" i="5" s="1"/>
  <c r="G911" i="1"/>
  <c r="D911" i="5" s="1"/>
  <c r="G912" i="1"/>
  <c r="D912" i="5" s="1"/>
  <c r="G913" i="1"/>
  <c r="D913" i="5" s="1"/>
  <c r="G914" i="1"/>
  <c r="D914" i="5" s="1"/>
  <c r="G915" i="1"/>
  <c r="D915" i="5" s="1"/>
  <c r="G916" i="1"/>
  <c r="D916" i="5" s="1"/>
  <c r="G917" i="1"/>
  <c r="D917" i="5" s="1"/>
  <c r="G918" i="1"/>
  <c r="D918" i="5" s="1"/>
  <c r="G919" i="1"/>
  <c r="D919" i="5" s="1"/>
  <c r="G920" i="1"/>
  <c r="D920" i="5" s="1"/>
  <c r="G921" i="1"/>
  <c r="D921" i="5" s="1"/>
  <c r="G922" i="1"/>
  <c r="D922" i="5" s="1"/>
  <c r="G923" i="1"/>
  <c r="D923" i="5" s="1"/>
  <c r="G924" i="1"/>
  <c r="D924" i="5" s="1"/>
  <c r="G925" i="1"/>
  <c r="D925" i="5" s="1"/>
  <c r="G926" i="1"/>
  <c r="D926" i="5" s="1"/>
  <c r="G927" i="1"/>
  <c r="D927" i="5" s="1"/>
  <c r="G928" i="1"/>
  <c r="D928" i="5" s="1"/>
  <c r="G929" i="1"/>
  <c r="D929" i="5" s="1"/>
  <c r="G930" i="1"/>
  <c r="D930" i="5" s="1"/>
  <c r="G931" i="1"/>
  <c r="D931" i="5" s="1"/>
  <c r="G932" i="1"/>
  <c r="D932" i="5" s="1"/>
  <c r="G933" i="1"/>
  <c r="D933" i="5" s="1"/>
  <c r="G934" i="1"/>
  <c r="D934" i="5" s="1"/>
  <c r="G935" i="1"/>
  <c r="D935" i="5" s="1"/>
  <c r="G936" i="1"/>
  <c r="D936" i="5" s="1"/>
  <c r="G937" i="1"/>
  <c r="D937" i="5" s="1"/>
  <c r="G938" i="1"/>
  <c r="D938" i="5" s="1"/>
  <c r="G939" i="1"/>
  <c r="D939" i="5" s="1"/>
  <c r="G940" i="1"/>
  <c r="D940" i="5" s="1"/>
  <c r="G941" i="1"/>
  <c r="D941" i="5" s="1"/>
  <c r="G942" i="1"/>
  <c r="D942" i="5" s="1"/>
  <c r="G943" i="1"/>
  <c r="D943" i="5" s="1"/>
  <c r="G944" i="1"/>
  <c r="D944" i="5" s="1"/>
  <c r="G945" i="1"/>
  <c r="D945" i="5" s="1"/>
  <c r="G946" i="1"/>
  <c r="D946" i="5" s="1"/>
  <c r="G947" i="1"/>
  <c r="D947" i="5" s="1"/>
  <c r="G948" i="1"/>
  <c r="D948" i="5" s="1"/>
  <c r="G949" i="1"/>
  <c r="D949" i="5" s="1"/>
  <c r="G950" i="1"/>
  <c r="D950" i="5" s="1"/>
  <c r="G951" i="1"/>
  <c r="D951" i="5" s="1"/>
  <c r="G952" i="1"/>
  <c r="D952" i="5" s="1"/>
  <c r="G953" i="1"/>
  <c r="D953" i="5" s="1"/>
  <c r="G954" i="1"/>
  <c r="D954" i="5" s="1"/>
  <c r="G955" i="1"/>
  <c r="D955" i="5" s="1"/>
  <c r="G956" i="1"/>
  <c r="D956" i="5" s="1"/>
  <c r="G957" i="1"/>
  <c r="D957" i="5" s="1"/>
  <c r="G958" i="1"/>
  <c r="D958" i="5" s="1"/>
  <c r="G959" i="1"/>
  <c r="D959" i="5" s="1"/>
  <c r="G960" i="1"/>
  <c r="D960" i="5" s="1"/>
  <c r="G961" i="1"/>
  <c r="D961" i="5" s="1"/>
  <c r="G962" i="1"/>
  <c r="D962" i="5" s="1"/>
  <c r="G963" i="1"/>
  <c r="D963" i="5" s="1"/>
  <c r="G964" i="1"/>
  <c r="D964" i="5" s="1"/>
  <c r="G965" i="1"/>
  <c r="D965" i="5" s="1"/>
  <c r="G966" i="1"/>
  <c r="D966" i="5" s="1"/>
  <c r="G967" i="1"/>
  <c r="D967" i="5" s="1"/>
  <c r="G968" i="1"/>
  <c r="D968" i="5" s="1"/>
  <c r="G969" i="1"/>
  <c r="D969" i="5" s="1"/>
  <c r="G970" i="1"/>
  <c r="D970" i="5" s="1"/>
  <c r="G971" i="1"/>
  <c r="D971" i="5" s="1"/>
  <c r="G972" i="1"/>
  <c r="D972" i="5" s="1"/>
  <c r="G973" i="1"/>
  <c r="D973" i="5" s="1"/>
  <c r="G974" i="1"/>
  <c r="D974" i="5" s="1"/>
  <c r="G975" i="1"/>
  <c r="D975" i="5" s="1"/>
  <c r="G976" i="1"/>
  <c r="D976" i="5" s="1"/>
  <c r="G977" i="1"/>
  <c r="D977" i="5" s="1"/>
  <c r="G978" i="1"/>
  <c r="D978" i="5" s="1"/>
  <c r="G979" i="1"/>
  <c r="D979" i="5" s="1"/>
  <c r="G980" i="1"/>
  <c r="D980" i="5" s="1"/>
  <c r="G981" i="1"/>
  <c r="D981" i="5" s="1"/>
  <c r="G982" i="1"/>
  <c r="D982" i="5" s="1"/>
  <c r="G983" i="1"/>
  <c r="D983" i="5" s="1"/>
  <c r="G984" i="1"/>
  <c r="D984" i="5" s="1"/>
  <c r="G985" i="1"/>
  <c r="D985" i="5" s="1"/>
  <c r="G986" i="1"/>
  <c r="D986" i="5" s="1"/>
  <c r="G987" i="1"/>
  <c r="D987" i="5" s="1"/>
  <c r="G988" i="1"/>
  <c r="D988" i="5" s="1"/>
  <c r="G989" i="1"/>
  <c r="D989" i="5" s="1"/>
  <c r="G990" i="1"/>
  <c r="D990" i="5" s="1"/>
  <c r="G991" i="1"/>
  <c r="D991" i="5" s="1"/>
  <c r="G992" i="1"/>
  <c r="D992" i="5" s="1"/>
  <c r="G993" i="1"/>
  <c r="D993" i="5" s="1"/>
  <c r="G994" i="1"/>
  <c r="D994" i="5" s="1"/>
  <c r="G995" i="1"/>
  <c r="D995" i="5" s="1"/>
  <c r="G996" i="1"/>
  <c r="D996" i="5" s="1"/>
  <c r="G997" i="1"/>
  <c r="D997" i="5" s="1"/>
  <c r="G998" i="1"/>
  <c r="D998" i="5" s="1"/>
  <c r="G999" i="1"/>
  <c r="D999" i="5" s="1"/>
  <c r="G1000" i="1"/>
  <c r="D1000" i="5" s="1"/>
  <c r="G1001" i="1"/>
  <c r="D1001" i="5" s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Q1004" i="1"/>
  <c r="L1001" i="1"/>
  <c r="H1001" i="5" s="1"/>
  <c r="L1000" i="1"/>
  <c r="H1000" i="5" s="1"/>
  <c r="L999" i="1"/>
  <c r="H999" i="5" s="1"/>
  <c r="L998" i="1"/>
  <c r="H998" i="5" s="1"/>
  <c r="L997" i="1"/>
  <c r="H997" i="5" s="1"/>
  <c r="L996" i="1"/>
  <c r="H996" i="5" s="1"/>
  <c r="L995" i="1"/>
  <c r="H995" i="5" s="1"/>
  <c r="L994" i="1"/>
  <c r="H994" i="5" s="1"/>
  <c r="L993" i="1"/>
  <c r="H993" i="5" s="1"/>
  <c r="L992" i="1"/>
  <c r="H992" i="5" s="1"/>
  <c r="L991" i="1"/>
  <c r="H991" i="5" s="1"/>
  <c r="L990" i="1"/>
  <c r="H990" i="5" s="1"/>
  <c r="L989" i="1"/>
  <c r="H989" i="5" s="1"/>
  <c r="L988" i="1"/>
  <c r="H988" i="5" s="1"/>
  <c r="L987" i="1"/>
  <c r="H987" i="5" s="1"/>
  <c r="L986" i="1"/>
  <c r="H986" i="5" s="1"/>
  <c r="L985" i="1"/>
  <c r="H985" i="5" s="1"/>
  <c r="L984" i="1"/>
  <c r="H984" i="5" s="1"/>
  <c r="L983" i="1"/>
  <c r="H983" i="5" s="1"/>
  <c r="L982" i="1"/>
  <c r="H982" i="5" s="1"/>
  <c r="L981" i="1"/>
  <c r="H981" i="5" s="1"/>
  <c r="L980" i="1"/>
  <c r="H980" i="5" s="1"/>
  <c r="L979" i="1"/>
  <c r="H979" i="5" s="1"/>
  <c r="L978" i="1"/>
  <c r="H978" i="5" s="1"/>
  <c r="L977" i="1"/>
  <c r="H977" i="5" s="1"/>
  <c r="L976" i="1"/>
  <c r="H976" i="5" s="1"/>
  <c r="L975" i="1"/>
  <c r="H975" i="5" s="1"/>
  <c r="L974" i="1"/>
  <c r="H974" i="5" s="1"/>
  <c r="L973" i="1"/>
  <c r="H973" i="5" s="1"/>
  <c r="L972" i="1"/>
  <c r="H972" i="5" s="1"/>
  <c r="L971" i="1"/>
  <c r="H971" i="5" s="1"/>
  <c r="L970" i="1"/>
  <c r="H970" i="5" s="1"/>
  <c r="L969" i="1"/>
  <c r="H969" i="5" s="1"/>
  <c r="L968" i="1"/>
  <c r="H968" i="5" s="1"/>
  <c r="L967" i="1"/>
  <c r="H967" i="5" s="1"/>
  <c r="L966" i="1"/>
  <c r="H966" i="5" s="1"/>
  <c r="L965" i="1"/>
  <c r="H965" i="5" s="1"/>
  <c r="L964" i="1"/>
  <c r="H964" i="5" s="1"/>
  <c r="L963" i="1"/>
  <c r="H963" i="5" s="1"/>
  <c r="L962" i="1"/>
  <c r="H962" i="5" s="1"/>
  <c r="L961" i="1"/>
  <c r="H961" i="5" s="1"/>
  <c r="L960" i="1"/>
  <c r="H960" i="5" s="1"/>
  <c r="L959" i="1"/>
  <c r="H959" i="5" s="1"/>
  <c r="L958" i="1"/>
  <c r="H958" i="5" s="1"/>
  <c r="L957" i="1"/>
  <c r="H957" i="5" s="1"/>
  <c r="L956" i="1"/>
  <c r="H956" i="5" s="1"/>
  <c r="L955" i="1"/>
  <c r="H955" i="5" s="1"/>
  <c r="L954" i="1"/>
  <c r="H954" i="5" s="1"/>
  <c r="L953" i="1"/>
  <c r="H953" i="5" s="1"/>
  <c r="L952" i="1"/>
  <c r="H952" i="5" s="1"/>
  <c r="L951" i="1"/>
  <c r="H951" i="5" s="1"/>
  <c r="L950" i="1"/>
  <c r="H950" i="5" s="1"/>
  <c r="L949" i="1"/>
  <c r="H949" i="5" s="1"/>
  <c r="L948" i="1"/>
  <c r="H948" i="5" s="1"/>
  <c r="L947" i="1"/>
  <c r="H947" i="5" s="1"/>
  <c r="L946" i="1"/>
  <c r="H946" i="5" s="1"/>
  <c r="L945" i="1"/>
  <c r="H945" i="5" s="1"/>
  <c r="L944" i="1"/>
  <c r="H944" i="5" s="1"/>
  <c r="L943" i="1"/>
  <c r="H943" i="5" s="1"/>
  <c r="L942" i="1"/>
  <c r="H942" i="5" s="1"/>
  <c r="L941" i="1"/>
  <c r="H941" i="5" s="1"/>
  <c r="L940" i="1"/>
  <c r="H940" i="5" s="1"/>
  <c r="L939" i="1"/>
  <c r="H939" i="5" s="1"/>
  <c r="L938" i="1"/>
  <c r="H938" i="5" s="1"/>
  <c r="L937" i="1"/>
  <c r="H937" i="5" s="1"/>
  <c r="L936" i="1"/>
  <c r="H936" i="5" s="1"/>
  <c r="L935" i="1"/>
  <c r="H935" i="5" s="1"/>
  <c r="L934" i="1"/>
  <c r="H934" i="5" s="1"/>
  <c r="L933" i="1"/>
  <c r="H933" i="5" s="1"/>
  <c r="L932" i="1"/>
  <c r="H932" i="5" s="1"/>
  <c r="L931" i="1"/>
  <c r="H931" i="5" s="1"/>
  <c r="L930" i="1"/>
  <c r="H930" i="5" s="1"/>
  <c r="L929" i="1"/>
  <c r="H929" i="5" s="1"/>
  <c r="L928" i="1"/>
  <c r="H928" i="5" s="1"/>
  <c r="L927" i="1"/>
  <c r="H927" i="5" s="1"/>
  <c r="L926" i="1"/>
  <c r="H926" i="5" s="1"/>
  <c r="L925" i="1"/>
  <c r="H925" i="5" s="1"/>
  <c r="L924" i="1"/>
  <c r="H924" i="5" s="1"/>
  <c r="L923" i="1"/>
  <c r="H923" i="5" s="1"/>
  <c r="L922" i="1"/>
  <c r="H922" i="5" s="1"/>
  <c r="L921" i="1"/>
  <c r="H921" i="5" s="1"/>
  <c r="L920" i="1"/>
  <c r="H920" i="5" s="1"/>
  <c r="L919" i="1"/>
  <c r="H919" i="5" s="1"/>
  <c r="L918" i="1"/>
  <c r="H918" i="5" s="1"/>
  <c r="L917" i="1"/>
  <c r="H917" i="5" s="1"/>
  <c r="L916" i="1"/>
  <c r="H916" i="5" s="1"/>
  <c r="L915" i="1"/>
  <c r="H915" i="5" s="1"/>
  <c r="L914" i="1"/>
  <c r="H914" i="5" s="1"/>
  <c r="L913" i="1"/>
  <c r="H913" i="5" s="1"/>
  <c r="L912" i="1"/>
  <c r="H912" i="5" s="1"/>
  <c r="L911" i="1"/>
  <c r="H911" i="5" s="1"/>
  <c r="L910" i="1"/>
  <c r="H910" i="5" s="1"/>
  <c r="L909" i="1"/>
  <c r="H909" i="5" s="1"/>
  <c r="L908" i="1"/>
  <c r="H908" i="5" s="1"/>
  <c r="L907" i="1"/>
  <c r="H907" i="5" s="1"/>
  <c r="L906" i="1"/>
  <c r="H906" i="5" s="1"/>
  <c r="L905" i="1"/>
  <c r="H905" i="5" s="1"/>
  <c r="L904" i="1"/>
  <c r="H904" i="5" s="1"/>
  <c r="L903" i="1"/>
  <c r="H903" i="5" s="1"/>
  <c r="L902" i="1"/>
  <c r="H902" i="5" s="1"/>
  <c r="L901" i="1"/>
  <c r="H901" i="5" s="1"/>
  <c r="L900" i="1"/>
  <c r="H900" i="5" s="1"/>
  <c r="L899" i="1"/>
  <c r="H899" i="5" s="1"/>
  <c r="L898" i="1"/>
  <c r="H898" i="5" s="1"/>
  <c r="L897" i="1"/>
  <c r="H897" i="5" s="1"/>
  <c r="L896" i="1"/>
  <c r="H896" i="5" s="1"/>
  <c r="L895" i="1"/>
  <c r="H895" i="5" s="1"/>
  <c r="L894" i="1"/>
  <c r="H894" i="5" s="1"/>
  <c r="L893" i="1"/>
  <c r="H893" i="5" s="1"/>
  <c r="L892" i="1"/>
  <c r="H892" i="5" s="1"/>
  <c r="L891" i="1"/>
  <c r="H891" i="5" s="1"/>
  <c r="L890" i="1"/>
  <c r="H890" i="5" s="1"/>
  <c r="L889" i="1"/>
  <c r="H889" i="5" s="1"/>
  <c r="L888" i="1"/>
  <c r="H888" i="5" s="1"/>
  <c r="L887" i="1"/>
  <c r="H887" i="5" s="1"/>
  <c r="L886" i="1"/>
  <c r="H886" i="5" s="1"/>
  <c r="L885" i="1"/>
  <c r="H885" i="5" s="1"/>
  <c r="L884" i="1"/>
  <c r="H884" i="5" s="1"/>
  <c r="L883" i="1"/>
  <c r="H883" i="5" s="1"/>
  <c r="L882" i="1"/>
  <c r="H882" i="5" s="1"/>
  <c r="L881" i="1"/>
  <c r="H881" i="5" s="1"/>
  <c r="L880" i="1"/>
  <c r="H880" i="5" s="1"/>
  <c r="L879" i="1"/>
  <c r="H879" i="5" s="1"/>
  <c r="L878" i="1"/>
  <c r="H878" i="5" s="1"/>
  <c r="L877" i="1"/>
  <c r="H877" i="5" s="1"/>
  <c r="L876" i="1"/>
  <c r="H876" i="5" s="1"/>
  <c r="L875" i="1"/>
  <c r="H875" i="5" s="1"/>
  <c r="L874" i="1"/>
  <c r="H874" i="5" s="1"/>
  <c r="L873" i="1"/>
  <c r="H873" i="5" s="1"/>
  <c r="L872" i="1"/>
  <c r="H872" i="5" s="1"/>
  <c r="L871" i="1"/>
  <c r="H871" i="5" s="1"/>
  <c r="L870" i="1"/>
  <c r="H870" i="5" s="1"/>
  <c r="L869" i="1"/>
  <c r="H869" i="5" s="1"/>
  <c r="L868" i="1"/>
  <c r="H868" i="5" s="1"/>
  <c r="L867" i="1"/>
  <c r="H867" i="5" s="1"/>
  <c r="L866" i="1"/>
  <c r="H866" i="5" s="1"/>
  <c r="L865" i="1"/>
  <c r="H865" i="5" s="1"/>
  <c r="L864" i="1"/>
  <c r="H864" i="5" s="1"/>
  <c r="L863" i="1"/>
  <c r="H863" i="5" s="1"/>
  <c r="L862" i="1"/>
  <c r="H862" i="5" s="1"/>
  <c r="L861" i="1"/>
  <c r="H861" i="5" s="1"/>
  <c r="L860" i="1"/>
  <c r="H860" i="5" s="1"/>
  <c r="L859" i="1"/>
  <c r="H859" i="5" s="1"/>
  <c r="L858" i="1"/>
  <c r="H858" i="5" s="1"/>
  <c r="L857" i="1"/>
  <c r="H857" i="5" s="1"/>
  <c r="L856" i="1"/>
  <c r="H856" i="5" s="1"/>
  <c r="L855" i="1"/>
  <c r="H855" i="5" s="1"/>
  <c r="L854" i="1"/>
  <c r="H854" i="5" s="1"/>
  <c r="L853" i="1"/>
  <c r="H853" i="5" s="1"/>
  <c r="L852" i="1"/>
  <c r="H852" i="5" s="1"/>
  <c r="L851" i="1"/>
  <c r="H851" i="5" s="1"/>
  <c r="L850" i="1"/>
  <c r="H850" i="5" s="1"/>
  <c r="L849" i="1"/>
  <c r="H849" i="5" s="1"/>
  <c r="L848" i="1"/>
  <c r="H848" i="5" s="1"/>
  <c r="L847" i="1"/>
  <c r="H847" i="5" s="1"/>
  <c r="L846" i="1"/>
  <c r="H846" i="5" s="1"/>
  <c r="L845" i="1"/>
  <c r="H845" i="5" s="1"/>
  <c r="L844" i="1"/>
  <c r="H844" i="5" s="1"/>
  <c r="L843" i="1"/>
  <c r="H843" i="5" s="1"/>
  <c r="L842" i="1"/>
  <c r="H842" i="5" s="1"/>
  <c r="L841" i="1"/>
  <c r="H841" i="5" s="1"/>
  <c r="L840" i="1"/>
  <c r="H840" i="5" s="1"/>
  <c r="L839" i="1"/>
  <c r="H839" i="5" s="1"/>
  <c r="L838" i="1"/>
  <c r="H838" i="5" s="1"/>
  <c r="L837" i="1"/>
  <c r="H837" i="5" s="1"/>
  <c r="L836" i="1"/>
  <c r="H836" i="5" s="1"/>
  <c r="L835" i="1"/>
  <c r="H835" i="5" s="1"/>
  <c r="L834" i="1"/>
  <c r="H834" i="5" s="1"/>
  <c r="L833" i="1"/>
  <c r="H833" i="5" s="1"/>
  <c r="L832" i="1"/>
  <c r="H832" i="5" s="1"/>
  <c r="L831" i="1"/>
  <c r="H831" i="5" s="1"/>
  <c r="L830" i="1"/>
  <c r="H830" i="5" s="1"/>
  <c r="L829" i="1"/>
  <c r="H829" i="5" s="1"/>
  <c r="L828" i="1"/>
  <c r="H828" i="5" s="1"/>
  <c r="L827" i="1"/>
  <c r="H827" i="5" s="1"/>
  <c r="L826" i="1"/>
  <c r="H826" i="5" s="1"/>
  <c r="L825" i="1"/>
  <c r="H825" i="5" s="1"/>
  <c r="L824" i="1"/>
  <c r="H824" i="5" s="1"/>
  <c r="L823" i="1"/>
  <c r="H823" i="5" s="1"/>
  <c r="L822" i="1"/>
  <c r="H822" i="5" s="1"/>
  <c r="L821" i="1"/>
  <c r="H821" i="5" s="1"/>
  <c r="L820" i="1"/>
  <c r="H820" i="5" s="1"/>
  <c r="L819" i="1"/>
  <c r="H819" i="5" s="1"/>
  <c r="L818" i="1"/>
  <c r="H818" i="5" s="1"/>
  <c r="L817" i="1"/>
  <c r="H817" i="5" s="1"/>
  <c r="L816" i="1"/>
  <c r="H816" i="5" s="1"/>
  <c r="L815" i="1"/>
  <c r="H815" i="5" s="1"/>
  <c r="L814" i="1"/>
  <c r="H814" i="5" s="1"/>
  <c r="L813" i="1"/>
  <c r="H813" i="5" s="1"/>
  <c r="L812" i="1"/>
  <c r="H812" i="5" s="1"/>
  <c r="L811" i="1"/>
  <c r="H811" i="5" s="1"/>
  <c r="L810" i="1"/>
  <c r="H810" i="5" s="1"/>
  <c r="L809" i="1"/>
  <c r="H809" i="5" s="1"/>
  <c r="L808" i="1"/>
  <c r="H808" i="5" s="1"/>
  <c r="L807" i="1"/>
  <c r="H807" i="5" s="1"/>
  <c r="L806" i="1"/>
  <c r="H806" i="5" s="1"/>
  <c r="L805" i="1"/>
  <c r="H805" i="5" s="1"/>
  <c r="L804" i="1"/>
  <c r="H804" i="5" s="1"/>
  <c r="L803" i="1"/>
  <c r="H803" i="5" s="1"/>
  <c r="L802" i="1"/>
  <c r="H802" i="5" s="1"/>
  <c r="L801" i="1"/>
  <c r="H801" i="5" s="1"/>
  <c r="L800" i="1"/>
  <c r="H800" i="5" s="1"/>
  <c r="L799" i="1"/>
  <c r="H799" i="5" s="1"/>
  <c r="L798" i="1"/>
  <c r="H798" i="5" s="1"/>
  <c r="L797" i="1"/>
  <c r="H797" i="5" s="1"/>
  <c r="L796" i="1"/>
  <c r="H796" i="5" s="1"/>
  <c r="L795" i="1"/>
  <c r="H795" i="5" s="1"/>
  <c r="L794" i="1"/>
  <c r="H794" i="5" s="1"/>
  <c r="L793" i="1"/>
  <c r="H793" i="5" s="1"/>
  <c r="L792" i="1"/>
  <c r="H792" i="5" s="1"/>
  <c r="L791" i="1"/>
  <c r="H791" i="5" s="1"/>
  <c r="L790" i="1"/>
  <c r="H790" i="5" s="1"/>
  <c r="L789" i="1"/>
  <c r="H789" i="5" s="1"/>
  <c r="L788" i="1"/>
  <c r="H788" i="5" s="1"/>
  <c r="L787" i="1"/>
  <c r="H787" i="5" s="1"/>
  <c r="L786" i="1"/>
  <c r="H786" i="5" s="1"/>
  <c r="L785" i="1"/>
  <c r="H785" i="5" s="1"/>
  <c r="L784" i="1"/>
  <c r="H784" i="5" s="1"/>
  <c r="L783" i="1"/>
  <c r="H783" i="5" s="1"/>
  <c r="L782" i="1"/>
  <c r="H782" i="5" s="1"/>
  <c r="L781" i="1"/>
  <c r="H781" i="5" s="1"/>
  <c r="L780" i="1"/>
  <c r="H780" i="5" s="1"/>
  <c r="L779" i="1"/>
  <c r="H779" i="5" s="1"/>
  <c r="L778" i="1"/>
  <c r="H778" i="5" s="1"/>
  <c r="L777" i="1"/>
  <c r="H777" i="5" s="1"/>
  <c r="L776" i="1"/>
  <c r="H776" i="5" s="1"/>
  <c r="L775" i="1"/>
  <c r="H775" i="5" s="1"/>
  <c r="L774" i="1"/>
  <c r="H774" i="5" s="1"/>
  <c r="L773" i="1"/>
  <c r="H773" i="5" s="1"/>
  <c r="L772" i="1"/>
  <c r="H772" i="5" s="1"/>
  <c r="L771" i="1"/>
  <c r="H771" i="5" s="1"/>
  <c r="L770" i="1"/>
  <c r="H770" i="5" s="1"/>
  <c r="L769" i="1"/>
  <c r="H769" i="5" s="1"/>
  <c r="L768" i="1"/>
  <c r="H768" i="5" s="1"/>
  <c r="L767" i="1"/>
  <c r="H767" i="5" s="1"/>
  <c r="L766" i="1"/>
  <c r="H766" i="5" s="1"/>
  <c r="L765" i="1"/>
  <c r="H765" i="5" s="1"/>
  <c r="L764" i="1"/>
  <c r="H764" i="5" s="1"/>
  <c r="L763" i="1"/>
  <c r="H763" i="5" s="1"/>
  <c r="L762" i="1"/>
  <c r="H762" i="5" s="1"/>
  <c r="L761" i="1"/>
  <c r="H761" i="5" s="1"/>
  <c r="L760" i="1"/>
  <c r="H760" i="5" s="1"/>
  <c r="L759" i="1"/>
  <c r="H759" i="5" s="1"/>
  <c r="L758" i="1"/>
  <c r="H758" i="5" s="1"/>
  <c r="L757" i="1"/>
  <c r="H757" i="5" s="1"/>
  <c r="L756" i="1"/>
  <c r="H756" i="5" s="1"/>
  <c r="L755" i="1"/>
  <c r="H755" i="5" s="1"/>
  <c r="L754" i="1"/>
  <c r="H754" i="5" s="1"/>
  <c r="L753" i="1"/>
  <c r="H753" i="5" s="1"/>
  <c r="L752" i="1"/>
  <c r="H752" i="5" s="1"/>
  <c r="L751" i="1"/>
  <c r="H751" i="5" s="1"/>
  <c r="L750" i="1"/>
  <c r="H750" i="5" s="1"/>
  <c r="L749" i="1"/>
  <c r="H749" i="5" s="1"/>
  <c r="L748" i="1"/>
  <c r="H748" i="5" s="1"/>
  <c r="L747" i="1"/>
  <c r="H747" i="5" s="1"/>
  <c r="L746" i="1"/>
  <c r="H746" i="5" s="1"/>
  <c r="L745" i="1"/>
  <c r="H745" i="5" s="1"/>
  <c r="L744" i="1"/>
  <c r="H744" i="5" s="1"/>
  <c r="L743" i="1"/>
  <c r="H743" i="5" s="1"/>
  <c r="L742" i="1"/>
  <c r="H742" i="5" s="1"/>
  <c r="L741" i="1"/>
  <c r="H741" i="5" s="1"/>
  <c r="L740" i="1"/>
  <c r="H740" i="5" s="1"/>
  <c r="L739" i="1"/>
  <c r="H739" i="5" s="1"/>
  <c r="L738" i="1"/>
  <c r="H738" i="5" s="1"/>
  <c r="L737" i="1"/>
  <c r="H737" i="5" s="1"/>
  <c r="L736" i="1"/>
  <c r="H736" i="5" s="1"/>
  <c r="L735" i="1"/>
  <c r="H735" i="5" s="1"/>
  <c r="L734" i="1"/>
  <c r="H734" i="5" s="1"/>
  <c r="L733" i="1"/>
  <c r="H733" i="5" s="1"/>
  <c r="L732" i="1"/>
  <c r="H732" i="5" s="1"/>
  <c r="L731" i="1"/>
  <c r="H731" i="5" s="1"/>
  <c r="L730" i="1"/>
  <c r="H730" i="5" s="1"/>
  <c r="L729" i="1"/>
  <c r="H729" i="5" s="1"/>
  <c r="L728" i="1"/>
  <c r="H728" i="5" s="1"/>
  <c r="L727" i="1"/>
  <c r="H727" i="5" s="1"/>
  <c r="L726" i="1"/>
  <c r="H726" i="5" s="1"/>
  <c r="L725" i="1"/>
  <c r="H725" i="5" s="1"/>
  <c r="L724" i="1"/>
  <c r="H724" i="5" s="1"/>
  <c r="L723" i="1"/>
  <c r="H723" i="5" s="1"/>
  <c r="L722" i="1"/>
  <c r="H722" i="5" s="1"/>
  <c r="L721" i="1"/>
  <c r="H721" i="5" s="1"/>
  <c r="L720" i="1"/>
  <c r="H720" i="5" s="1"/>
  <c r="L719" i="1"/>
  <c r="H719" i="5" s="1"/>
  <c r="L718" i="1"/>
  <c r="H718" i="5" s="1"/>
  <c r="L717" i="1"/>
  <c r="H717" i="5" s="1"/>
  <c r="L716" i="1"/>
  <c r="H716" i="5" s="1"/>
  <c r="L715" i="1"/>
  <c r="H715" i="5" s="1"/>
  <c r="L714" i="1"/>
  <c r="H714" i="5" s="1"/>
  <c r="L713" i="1"/>
  <c r="H713" i="5" s="1"/>
  <c r="L712" i="1"/>
  <c r="H712" i="5" s="1"/>
  <c r="L711" i="1"/>
  <c r="H711" i="5" s="1"/>
  <c r="L710" i="1"/>
  <c r="H710" i="5" s="1"/>
  <c r="L709" i="1"/>
  <c r="H709" i="5" s="1"/>
  <c r="L708" i="1"/>
  <c r="H708" i="5" s="1"/>
  <c r="L707" i="1"/>
  <c r="H707" i="5" s="1"/>
  <c r="L706" i="1"/>
  <c r="H706" i="5" s="1"/>
  <c r="L705" i="1"/>
  <c r="H705" i="5" s="1"/>
  <c r="L704" i="1"/>
  <c r="H704" i="5" s="1"/>
  <c r="L703" i="1"/>
  <c r="H703" i="5" s="1"/>
  <c r="L702" i="1"/>
  <c r="H702" i="5" s="1"/>
  <c r="L701" i="1"/>
  <c r="H701" i="5" s="1"/>
  <c r="L700" i="1"/>
  <c r="H700" i="5" s="1"/>
  <c r="L699" i="1"/>
  <c r="H699" i="5" s="1"/>
  <c r="L698" i="1"/>
  <c r="H698" i="5" s="1"/>
  <c r="L697" i="1"/>
  <c r="H697" i="5" s="1"/>
  <c r="L696" i="1"/>
  <c r="H696" i="5" s="1"/>
  <c r="L695" i="1"/>
  <c r="H695" i="5" s="1"/>
  <c r="L694" i="1"/>
  <c r="H694" i="5" s="1"/>
  <c r="L693" i="1"/>
  <c r="H693" i="5" s="1"/>
  <c r="L692" i="1"/>
  <c r="H692" i="5" s="1"/>
  <c r="L691" i="1"/>
  <c r="H691" i="5" s="1"/>
  <c r="L690" i="1"/>
  <c r="H690" i="5" s="1"/>
  <c r="L689" i="1"/>
  <c r="H689" i="5" s="1"/>
  <c r="L688" i="1"/>
  <c r="H688" i="5" s="1"/>
  <c r="L687" i="1"/>
  <c r="H687" i="5" s="1"/>
  <c r="L686" i="1"/>
  <c r="H686" i="5" s="1"/>
  <c r="L685" i="1"/>
  <c r="H685" i="5" s="1"/>
  <c r="L684" i="1"/>
  <c r="H684" i="5" s="1"/>
  <c r="L683" i="1"/>
  <c r="H683" i="5" s="1"/>
  <c r="L682" i="1"/>
  <c r="H682" i="5" s="1"/>
  <c r="L681" i="1"/>
  <c r="H681" i="5" s="1"/>
  <c r="L680" i="1"/>
  <c r="H680" i="5" s="1"/>
  <c r="L679" i="1"/>
  <c r="H679" i="5" s="1"/>
  <c r="L678" i="1"/>
  <c r="H678" i="5" s="1"/>
  <c r="L677" i="1"/>
  <c r="H677" i="5" s="1"/>
  <c r="L676" i="1"/>
  <c r="H676" i="5" s="1"/>
  <c r="L675" i="1"/>
  <c r="H675" i="5" s="1"/>
  <c r="L674" i="1"/>
  <c r="H674" i="5" s="1"/>
  <c r="L673" i="1"/>
  <c r="H673" i="5" s="1"/>
  <c r="L672" i="1"/>
  <c r="H672" i="5" s="1"/>
  <c r="L671" i="1"/>
  <c r="H671" i="5" s="1"/>
  <c r="L670" i="1"/>
  <c r="H670" i="5" s="1"/>
  <c r="L669" i="1"/>
  <c r="H669" i="5" s="1"/>
  <c r="L668" i="1"/>
  <c r="H668" i="5" s="1"/>
  <c r="L667" i="1"/>
  <c r="H667" i="5" s="1"/>
  <c r="L666" i="1"/>
  <c r="H666" i="5" s="1"/>
  <c r="L665" i="1"/>
  <c r="H665" i="5" s="1"/>
  <c r="L664" i="1"/>
  <c r="H664" i="5" s="1"/>
  <c r="L663" i="1"/>
  <c r="H663" i="5" s="1"/>
  <c r="L662" i="1"/>
  <c r="H662" i="5" s="1"/>
  <c r="L661" i="1"/>
  <c r="H661" i="5" s="1"/>
  <c r="L660" i="1"/>
  <c r="H660" i="5" s="1"/>
  <c r="L659" i="1"/>
  <c r="H659" i="5" s="1"/>
  <c r="L658" i="1"/>
  <c r="H658" i="5" s="1"/>
  <c r="L657" i="1"/>
  <c r="H657" i="5" s="1"/>
  <c r="L656" i="1"/>
  <c r="H656" i="5" s="1"/>
  <c r="L655" i="1"/>
  <c r="H655" i="5" s="1"/>
  <c r="L654" i="1"/>
  <c r="H654" i="5" s="1"/>
  <c r="L653" i="1"/>
  <c r="H653" i="5" s="1"/>
  <c r="L652" i="1"/>
  <c r="H652" i="5" s="1"/>
  <c r="L651" i="1"/>
  <c r="H651" i="5" s="1"/>
  <c r="L650" i="1"/>
  <c r="H650" i="5" s="1"/>
  <c r="L649" i="1"/>
  <c r="H649" i="5" s="1"/>
  <c r="L648" i="1"/>
  <c r="H648" i="5" s="1"/>
  <c r="L647" i="1"/>
  <c r="H647" i="5" s="1"/>
  <c r="L646" i="1"/>
  <c r="H646" i="5" s="1"/>
  <c r="L645" i="1"/>
  <c r="H645" i="5" s="1"/>
  <c r="L644" i="1"/>
  <c r="H644" i="5" s="1"/>
  <c r="L643" i="1"/>
  <c r="H643" i="5" s="1"/>
  <c r="L642" i="1"/>
  <c r="H642" i="5" s="1"/>
  <c r="L641" i="1"/>
  <c r="H641" i="5" s="1"/>
  <c r="L640" i="1"/>
  <c r="H640" i="5" s="1"/>
  <c r="L639" i="1"/>
  <c r="H639" i="5" s="1"/>
  <c r="L638" i="1"/>
  <c r="H638" i="5" s="1"/>
  <c r="L637" i="1"/>
  <c r="H637" i="5" s="1"/>
  <c r="L636" i="1"/>
  <c r="H636" i="5" s="1"/>
  <c r="L635" i="1"/>
  <c r="H635" i="5" s="1"/>
  <c r="L634" i="1"/>
  <c r="H634" i="5" s="1"/>
  <c r="L633" i="1"/>
  <c r="H633" i="5" s="1"/>
  <c r="L632" i="1"/>
  <c r="H632" i="5" s="1"/>
  <c r="L631" i="1"/>
  <c r="H631" i="5" s="1"/>
  <c r="L630" i="1"/>
  <c r="H630" i="5" s="1"/>
  <c r="L629" i="1"/>
  <c r="H629" i="5" s="1"/>
  <c r="L628" i="1"/>
  <c r="H628" i="5" s="1"/>
  <c r="L627" i="1"/>
  <c r="H627" i="5" s="1"/>
  <c r="L626" i="1"/>
  <c r="H626" i="5" s="1"/>
  <c r="L625" i="1"/>
  <c r="H625" i="5" s="1"/>
  <c r="L624" i="1"/>
  <c r="H624" i="5" s="1"/>
  <c r="L623" i="1"/>
  <c r="H623" i="5" s="1"/>
  <c r="L622" i="1"/>
  <c r="H622" i="5" s="1"/>
  <c r="L621" i="1"/>
  <c r="H621" i="5" s="1"/>
  <c r="L620" i="1"/>
  <c r="H620" i="5" s="1"/>
  <c r="L619" i="1"/>
  <c r="H619" i="5" s="1"/>
  <c r="L618" i="1"/>
  <c r="H618" i="5" s="1"/>
  <c r="L617" i="1"/>
  <c r="H617" i="5" s="1"/>
  <c r="L616" i="1"/>
  <c r="H616" i="5" s="1"/>
  <c r="L615" i="1"/>
  <c r="H615" i="5" s="1"/>
  <c r="L614" i="1"/>
  <c r="H614" i="5" s="1"/>
  <c r="L613" i="1"/>
  <c r="H613" i="5" s="1"/>
  <c r="L612" i="1"/>
  <c r="H612" i="5" s="1"/>
  <c r="L611" i="1"/>
  <c r="H611" i="5" s="1"/>
  <c r="L610" i="1"/>
  <c r="H610" i="5" s="1"/>
  <c r="L609" i="1"/>
  <c r="H609" i="5" s="1"/>
  <c r="L608" i="1"/>
  <c r="H608" i="5" s="1"/>
  <c r="L607" i="1"/>
  <c r="H607" i="5" s="1"/>
  <c r="L606" i="1"/>
  <c r="H606" i="5" s="1"/>
  <c r="L605" i="1"/>
  <c r="H605" i="5" s="1"/>
  <c r="L604" i="1"/>
  <c r="H604" i="5" s="1"/>
  <c r="L603" i="1"/>
  <c r="H603" i="5" s="1"/>
  <c r="L602" i="1"/>
  <c r="H602" i="5" s="1"/>
  <c r="L601" i="1"/>
  <c r="H601" i="5" s="1"/>
  <c r="L600" i="1"/>
  <c r="H600" i="5" s="1"/>
  <c r="L599" i="1"/>
  <c r="H599" i="5" s="1"/>
  <c r="L598" i="1"/>
  <c r="H598" i="5" s="1"/>
  <c r="L597" i="1"/>
  <c r="H597" i="5" s="1"/>
  <c r="L596" i="1"/>
  <c r="H596" i="5" s="1"/>
  <c r="L595" i="1"/>
  <c r="H595" i="5" s="1"/>
  <c r="L594" i="1"/>
  <c r="H594" i="5" s="1"/>
  <c r="L593" i="1"/>
  <c r="H593" i="5" s="1"/>
  <c r="L592" i="1"/>
  <c r="H592" i="5" s="1"/>
  <c r="L591" i="1"/>
  <c r="H591" i="5" s="1"/>
  <c r="L590" i="1"/>
  <c r="H590" i="5" s="1"/>
  <c r="L589" i="1"/>
  <c r="H589" i="5" s="1"/>
  <c r="L588" i="1"/>
  <c r="H588" i="5" s="1"/>
  <c r="L587" i="1"/>
  <c r="H587" i="5" s="1"/>
  <c r="L586" i="1"/>
  <c r="H586" i="5" s="1"/>
  <c r="L585" i="1"/>
  <c r="H585" i="5" s="1"/>
  <c r="L584" i="1"/>
  <c r="H584" i="5" s="1"/>
  <c r="L583" i="1"/>
  <c r="H583" i="5" s="1"/>
  <c r="L582" i="1"/>
  <c r="H582" i="5" s="1"/>
  <c r="L581" i="1"/>
  <c r="H581" i="5" s="1"/>
  <c r="L580" i="1"/>
  <c r="H580" i="5" s="1"/>
  <c r="L579" i="1"/>
  <c r="H579" i="5" s="1"/>
  <c r="L578" i="1"/>
  <c r="H578" i="5" s="1"/>
  <c r="L577" i="1"/>
  <c r="H577" i="5" s="1"/>
  <c r="L576" i="1"/>
  <c r="H576" i="5" s="1"/>
  <c r="L575" i="1"/>
  <c r="H575" i="5" s="1"/>
  <c r="L574" i="1"/>
  <c r="H574" i="5" s="1"/>
  <c r="L573" i="1"/>
  <c r="H573" i="5" s="1"/>
  <c r="L572" i="1"/>
  <c r="H572" i="5" s="1"/>
  <c r="L571" i="1"/>
  <c r="H571" i="5" s="1"/>
  <c r="L570" i="1"/>
  <c r="H570" i="5" s="1"/>
  <c r="L569" i="1"/>
  <c r="H569" i="5" s="1"/>
  <c r="L568" i="1"/>
  <c r="H568" i="5" s="1"/>
  <c r="L567" i="1"/>
  <c r="H567" i="5" s="1"/>
  <c r="L566" i="1"/>
  <c r="H566" i="5" s="1"/>
  <c r="L565" i="1"/>
  <c r="H565" i="5" s="1"/>
  <c r="L564" i="1"/>
  <c r="H564" i="5" s="1"/>
  <c r="L563" i="1"/>
  <c r="H563" i="5" s="1"/>
  <c r="L562" i="1"/>
  <c r="H562" i="5" s="1"/>
  <c r="L561" i="1"/>
  <c r="H561" i="5" s="1"/>
  <c r="L560" i="1"/>
  <c r="H560" i="5" s="1"/>
  <c r="L559" i="1"/>
  <c r="H559" i="5" s="1"/>
  <c r="L558" i="1"/>
  <c r="H558" i="5" s="1"/>
  <c r="L557" i="1"/>
  <c r="H557" i="5" s="1"/>
  <c r="L556" i="1"/>
  <c r="H556" i="5" s="1"/>
  <c r="L555" i="1"/>
  <c r="H555" i="5" s="1"/>
  <c r="L554" i="1"/>
  <c r="H554" i="5" s="1"/>
  <c r="L553" i="1"/>
  <c r="H553" i="5" s="1"/>
  <c r="L552" i="1"/>
  <c r="H552" i="5" s="1"/>
  <c r="L551" i="1"/>
  <c r="H551" i="5" s="1"/>
  <c r="L550" i="1"/>
  <c r="H550" i="5" s="1"/>
  <c r="L549" i="1"/>
  <c r="H549" i="5" s="1"/>
  <c r="L548" i="1"/>
  <c r="H548" i="5" s="1"/>
  <c r="L547" i="1"/>
  <c r="H547" i="5" s="1"/>
  <c r="L546" i="1"/>
  <c r="H546" i="5" s="1"/>
  <c r="L545" i="1"/>
  <c r="H545" i="5" s="1"/>
  <c r="L544" i="1"/>
  <c r="H544" i="5" s="1"/>
  <c r="L543" i="1"/>
  <c r="H543" i="5" s="1"/>
  <c r="L542" i="1"/>
  <c r="H542" i="5" s="1"/>
  <c r="L541" i="1"/>
  <c r="H541" i="5" s="1"/>
  <c r="L540" i="1"/>
  <c r="H540" i="5" s="1"/>
  <c r="L539" i="1"/>
  <c r="H539" i="5" s="1"/>
  <c r="L538" i="1"/>
  <c r="H538" i="5" s="1"/>
  <c r="L537" i="1"/>
  <c r="H537" i="5" s="1"/>
  <c r="L536" i="1"/>
  <c r="H536" i="5" s="1"/>
  <c r="L535" i="1"/>
  <c r="H535" i="5" s="1"/>
  <c r="L534" i="1"/>
  <c r="H534" i="5" s="1"/>
  <c r="L533" i="1"/>
  <c r="H533" i="5" s="1"/>
  <c r="L532" i="1"/>
  <c r="H532" i="5" s="1"/>
  <c r="L531" i="1"/>
  <c r="H531" i="5" s="1"/>
  <c r="L530" i="1"/>
  <c r="H530" i="5" s="1"/>
  <c r="L529" i="1"/>
  <c r="H529" i="5" s="1"/>
  <c r="L528" i="1"/>
  <c r="H528" i="5" s="1"/>
  <c r="L527" i="1"/>
  <c r="H527" i="5" s="1"/>
  <c r="L526" i="1"/>
  <c r="H526" i="5" s="1"/>
  <c r="L525" i="1"/>
  <c r="H525" i="5" s="1"/>
  <c r="L524" i="1"/>
  <c r="H524" i="5" s="1"/>
  <c r="L523" i="1"/>
  <c r="H523" i="5" s="1"/>
  <c r="L522" i="1"/>
  <c r="H522" i="5" s="1"/>
  <c r="L521" i="1"/>
  <c r="H521" i="5" s="1"/>
  <c r="L520" i="1"/>
  <c r="H520" i="5" s="1"/>
  <c r="L519" i="1"/>
  <c r="H519" i="5" s="1"/>
  <c r="L518" i="1"/>
  <c r="H518" i="5" s="1"/>
  <c r="L517" i="1"/>
  <c r="H517" i="5" s="1"/>
  <c r="L516" i="1"/>
  <c r="H516" i="5" s="1"/>
  <c r="L515" i="1"/>
  <c r="H515" i="5" s="1"/>
  <c r="L514" i="1"/>
  <c r="H514" i="5" s="1"/>
  <c r="L513" i="1"/>
  <c r="H513" i="5" s="1"/>
  <c r="L512" i="1"/>
  <c r="H512" i="5" s="1"/>
  <c r="L511" i="1"/>
  <c r="H511" i="5" s="1"/>
  <c r="L510" i="1"/>
  <c r="H510" i="5" s="1"/>
  <c r="L509" i="1"/>
  <c r="H509" i="5" s="1"/>
  <c r="L508" i="1"/>
  <c r="H508" i="5" s="1"/>
  <c r="L507" i="1"/>
  <c r="H507" i="5" s="1"/>
  <c r="L506" i="1"/>
  <c r="H506" i="5" s="1"/>
  <c r="L505" i="1"/>
  <c r="H505" i="5" s="1"/>
  <c r="L504" i="1"/>
  <c r="H504" i="5" s="1"/>
  <c r="L503" i="1"/>
  <c r="H503" i="5" s="1"/>
  <c r="L502" i="1"/>
  <c r="H502" i="5" s="1"/>
  <c r="L501" i="1"/>
  <c r="H501" i="5" s="1"/>
  <c r="L500" i="1"/>
  <c r="H500" i="5" s="1"/>
  <c r="L499" i="1"/>
  <c r="H499" i="5" s="1"/>
  <c r="L498" i="1"/>
  <c r="H498" i="5" s="1"/>
  <c r="L497" i="1"/>
  <c r="H497" i="5" s="1"/>
  <c r="L496" i="1"/>
  <c r="H496" i="5" s="1"/>
  <c r="L495" i="1"/>
  <c r="H495" i="5" s="1"/>
  <c r="L494" i="1"/>
  <c r="H494" i="5" s="1"/>
  <c r="L493" i="1"/>
  <c r="H493" i="5" s="1"/>
  <c r="L492" i="1"/>
  <c r="H492" i="5" s="1"/>
  <c r="L491" i="1"/>
  <c r="H491" i="5" s="1"/>
  <c r="L490" i="1"/>
  <c r="H490" i="5" s="1"/>
  <c r="L489" i="1"/>
  <c r="H489" i="5" s="1"/>
  <c r="L488" i="1"/>
  <c r="H488" i="5" s="1"/>
  <c r="L487" i="1"/>
  <c r="H487" i="5" s="1"/>
  <c r="L486" i="1"/>
  <c r="H486" i="5" s="1"/>
  <c r="L485" i="1"/>
  <c r="H485" i="5" s="1"/>
  <c r="L484" i="1"/>
  <c r="H484" i="5" s="1"/>
  <c r="L483" i="1"/>
  <c r="H483" i="5" s="1"/>
  <c r="L482" i="1"/>
  <c r="H482" i="5" s="1"/>
  <c r="L481" i="1"/>
  <c r="H481" i="5" s="1"/>
  <c r="L480" i="1"/>
  <c r="H480" i="5" s="1"/>
  <c r="L479" i="1"/>
  <c r="H479" i="5" s="1"/>
  <c r="L478" i="1"/>
  <c r="H478" i="5" s="1"/>
  <c r="L477" i="1"/>
  <c r="H477" i="5" s="1"/>
  <c r="L476" i="1"/>
  <c r="H476" i="5" s="1"/>
  <c r="L475" i="1"/>
  <c r="H475" i="5" s="1"/>
  <c r="L474" i="1"/>
  <c r="H474" i="5" s="1"/>
  <c r="L473" i="1"/>
  <c r="H473" i="5" s="1"/>
  <c r="L472" i="1"/>
  <c r="H472" i="5" s="1"/>
  <c r="L471" i="1"/>
  <c r="H471" i="5" s="1"/>
  <c r="L470" i="1"/>
  <c r="H470" i="5" s="1"/>
  <c r="L469" i="1"/>
  <c r="H469" i="5" s="1"/>
  <c r="L468" i="1"/>
  <c r="H468" i="5" s="1"/>
  <c r="L467" i="1"/>
  <c r="H467" i="5" s="1"/>
  <c r="L466" i="1"/>
  <c r="H466" i="5" s="1"/>
  <c r="L465" i="1"/>
  <c r="H465" i="5" s="1"/>
  <c r="L464" i="1"/>
  <c r="H464" i="5" s="1"/>
  <c r="L463" i="1"/>
  <c r="H463" i="5" s="1"/>
  <c r="L462" i="1"/>
  <c r="H462" i="5" s="1"/>
  <c r="L461" i="1"/>
  <c r="H461" i="5" s="1"/>
  <c r="L460" i="1"/>
  <c r="H460" i="5" s="1"/>
  <c r="L459" i="1"/>
  <c r="H459" i="5" s="1"/>
  <c r="L458" i="1"/>
  <c r="H458" i="5" s="1"/>
  <c r="L457" i="1"/>
  <c r="H457" i="5" s="1"/>
  <c r="L456" i="1"/>
  <c r="H456" i="5" s="1"/>
  <c r="L455" i="1"/>
  <c r="H455" i="5" s="1"/>
  <c r="L454" i="1"/>
  <c r="H454" i="5" s="1"/>
  <c r="L453" i="1"/>
  <c r="H453" i="5" s="1"/>
  <c r="L452" i="1"/>
  <c r="H452" i="5" s="1"/>
  <c r="L451" i="1"/>
  <c r="H451" i="5" s="1"/>
  <c r="L450" i="1"/>
  <c r="H450" i="5" s="1"/>
  <c r="L449" i="1"/>
  <c r="H449" i="5" s="1"/>
  <c r="L448" i="1"/>
  <c r="H448" i="5" s="1"/>
  <c r="L447" i="1"/>
  <c r="H447" i="5" s="1"/>
  <c r="L446" i="1"/>
  <c r="H446" i="5" s="1"/>
  <c r="L445" i="1"/>
  <c r="H445" i="5" s="1"/>
  <c r="L444" i="1"/>
  <c r="H444" i="5" s="1"/>
  <c r="L443" i="1"/>
  <c r="H443" i="5" s="1"/>
  <c r="L442" i="1"/>
  <c r="H442" i="5" s="1"/>
  <c r="L441" i="1"/>
  <c r="H441" i="5" s="1"/>
  <c r="L440" i="1"/>
  <c r="H440" i="5" s="1"/>
  <c r="L439" i="1"/>
  <c r="H439" i="5" s="1"/>
  <c r="L438" i="1"/>
  <c r="H438" i="5" s="1"/>
  <c r="L437" i="1"/>
  <c r="H437" i="5" s="1"/>
  <c r="L436" i="1"/>
  <c r="H436" i="5" s="1"/>
  <c r="L435" i="1"/>
  <c r="H435" i="5" s="1"/>
  <c r="L434" i="1"/>
  <c r="H434" i="5" s="1"/>
  <c r="L433" i="1"/>
  <c r="H433" i="5" s="1"/>
  <c r="L432" i="1"/>
  <c r="H432" i="5" s="1"/>
  <c r="L431" i="1"/>
  <c r="H431" i="5" s="1"/>
  <c r="L430" i="1"/>
  <c r="H430" i="5" s="1"/>
  <c r="L429" i="1"/>
  <c r="H429" i="5" s="1"/>
  <c r="L428" i="1"/>
  <c r="H428" i="5" s="1"/>
  <c r="L427" i="1"/>
  <c r="H427" i="5" s="1"/>
  <c r="L426" i="1"/>
  <c r="H426" i="5" s="1"/>
  <c r="L425" i="1"/>
  <c r="H425" i="5" s="1"/>
  <c r="L424" i="1"/>
  <c r="H424" i="5" s="1"/>
  <c r="L423" i="1"/>
  <c r="H423" i="5" s="1"/>
  <c r="L422" i="1"/>
  <c r="H422" i="5" s="1"/>
  <c r="L421" i="1"/>
  <c r="H421" i="5" s="1"/>
  <c r="L420" i="1"/>
  <c r="H420" i="5" s="1"/>
  <c r="L419" i="1"/>
  <c r="H419" i="5" s="1"/>
  <c r="L418" i="1"/>
  <c r="H418" i="5" s="1"/>
  <c r="L417" i="1"/>
  <c r="H417" i="5" s="1"/>
  <c r="L416" i="1"/>
  <c r="H416" i="5" s="1"/>
  <c r="L415" i="1"/>
  <c r="H415" i="5" s="1"/>
  <c r="L414" i="1"/>
  <c r="H414" i="5" s="1"/>
  <c r="L413" i="1"/>
  <c r="H413" i="5" s="1"/>
  <c r="L412" i="1"/>
  <c r="H412" i="5" s="1"/>
  <c r="L411" i="1"/>
  <c r="H411" i="5" s="1"/>
  <c r="L410" i="1"/>
  <c r="H410" i="5" s="1"/>
  <c r="L409" i="1"/>
  <c r="H409" i="5" s="1"/>
  <c r="L408" i="1"/>
  <c r="H408" i="5" s="1"/>
  <c r="L407" i="1"/>
  <c r="H407" i="5" s="1"/>
  <c r="L406" i="1"/>
  <c r="H406" i="5" s="1"/>
  <c r="L405" i="1"/>
  <c r="H405" i="5" s="1"/>
  <c r="L404" i="1"/>
  <c r="H404" i="5" s="1"/>
  <c r="L403" i="1"/>
  <c r="H403" i="5" s="1"/>
  <c r="L402" i="1"/>
  <c r="H402" i="5" s="1"/>
  <c r="L401" i="1"/>
  <c r="H401" i="5" s="1"/>
  <c r="L400" i="1"/>
  <c r="H400" i="5" s="1"/>
  <c r="L399" i="1"/>
  <c r="H399" i="5" s="1"/>
  <c r="L398" i="1"/>
  <c r="H398" i="5" s="1"/>
  <c r="L397" i="1"/>
  <c r="H397" i="5" s="1"/>
  <c r="L396" i="1"/>
  <c r="H396" i="5" s="1"/>
  <c r="L395" i="1"/>
  <c r="H395" i="5" s="1"/>
  <c r="L394" i="1"/>
  <c r="H394" i="5" s="1"/>
  <c r="L393" i="1"/>
  <c r="H393" i="5" s="1"/>
  <c r="L392" i="1"/>
  <c r="H392" i="5" s="1"/>
  <c r="L391" i="1"/>
  <c r="H391" i="5" s="1"/>
  <c r="L390" i="1"/>
  <c r="H390" i="5" s="1"/>
  <c r="L389" i="1"/>
  <c r="H389" i="5" s="1"/>
  <c r="L388" i="1"/>
  <c r="H388" i="5" s="1"/>
  <c r="L387" i="1"/>
  <c r="H387" i="5" s="1"/>
  <c r="L386" i="1"/>
  <c r="H386" i="5" s="1"/>
  <c r="L385" i="1"/>
  <c r="H385" i="5" s="1"/>
  <c r="L384" i="1"/>
  <c r="H384" i="5" s="1"/>
  <c r="L383" i="1"/>
  <c r="H383" i="5" s="1"/>
  <c r="L382" i="1"/>
  <c r="H382" i="5" s="1"/>
  <c r="L381" i="1"/>
  <c r="H381" i="5" s="1"/>
  <c r="L380" i="1"/>
  <c r="H380" i="5" s="1"/>
  <c r="L379" i="1"/>
  <c r="H379" i="5" s="1"/>
  <c r="L378" i="1"/>
  <c r="H378" i="5" s="1"/>
  <c r="L377" i="1"/>
  <c r="H377" i="5" s="1"/>
  <c r="L376" i="1"/>
  <c r="H376" i="5" s="1"/>
  <c r="L375" i="1"/>
  <c r="H375" i="5" s="1"/>
  <c r="L374" i="1"/>
  <c r="H374" i="5" s="1"/>
  <c r="L373" i="1"/>
  <c r="H373" i="5" s="1"/>
  <c r="L372" i="1"/>
  <c r="H372" i="5" s="1"/>
  <c r="L371" i="1"/>
  <c r="H371" i="5" s="1"/>
  <c r="L370" i="1"/>
  <c r="H370" i="5" s="1"/>
  <c r="L369" i="1"/>
  <c r="H369" i="5" s="1"/>
  <c r="L368" i="1"/>
  <c r="H368" i="5" s="1"/>
  <c r="L367" i="1"/>
  <c r="H367" i="5" s="1"/>
  <c r="L366" i="1"/>
  <c r="H366" i="5" s="1"/>
  <c r="L365" i="1"/>
  <c r="H365" i="5" s="1"/>
  <c r="L364" i="1"/>
  <c r="H364" i="5" s="1"/>
  <c r="L363" i="1"/>
  <c r="H363" i="5" s="1"/>
  <c r="L362" i="1"/>
  <c r="H362" i="5" s="1"/>
  <c r="L361" i="1"/>
  <c r="H361" i="5" s="1"/>
  <c r="L360" i="1"/>
  <c r="H360" i="5" s="1"/>
  <c r="L359" i="1"/>
  <c r="H359" i="5" s="1"/>
  <c r="L358" i="1"/>
  <c r="H358" i="5" s="1"/>
  <c r="L357" i="1"/>
  <c r="H357" i="5" s="1"/>
  <c r="L356" i="1"/>
  <c r="H356" i="5" s="1"/>
  <c r="L355" i="1"/>
  <c r="H355" i="5" s="1"/>
  <c r="L354" i="1"/>
  <c r="H354" i="5" s="1"/>
  <c r="L353" i="1"/>
  <c r="H353" i="5" s="1"/>
  <c r="L352" i="1"/>
  <c r="H352" i="5" s="1"/>
  <c r="L351" i="1"/>
  <c r="H351" i="5" s="1"/>
  <c r="L350" i="1"/>
  <c r="H350" i="5" s="1"/>
  <c r="L349" i="1"/>
  <c r="H349" i="5" s="1"/>
  <c r="L348" i="1"/>
  <c r="H348" i="5" s="1"/>
  <c r="L347" i="1"/>
  <c r="H347" i="5" s="1"/>
  <c r="L346" i="1"/>
  <c r="H346" i="5" s="1"/>
  <c r="L345" i="1"/>
  <c r="H345" i="5" s="1"/>
  <c r="L344" i="1"/>
  <c r="H344" i="5" s="1"/>
  <c r="L343" i="1"/>
  <c r="H343" i="5" s="1"/>
  <c r="L342" i="1"/>
  <c r="H342" i="5" s="1"/>
  <c r="L341" i="1"/>
  <c r="H341" i="5" s="1"/>
  <c r="L340" i="1"/>
  <c r="H340" i="5" s="1"/>
  <c r="L339" i="1"/>
  <c r="H339" i="5" s="1"/>
  <c r="L338" i="1"/>
  <c r="H338" i="5" s="1"/>
  <c r="L337" i="1"/>
  <c r="H337" i="5" s="1"/>
  <c r="L336" i="1"/>
  <c r="H336" i="5" s="1"/>
  <c r="L335" i="1"/>
  <c r="H335" i="5" s="1"/>
  <c r="L334" i="1"/>
  <c r="H334" i="5" s="1"/>
  <c r="L333" i="1"/>
  <c r="H333" i="5" s="1"/>
  <c r="L332" i="1"/>
  <c r="H332" i="5" s="1"/>
  <c r="L331" i="1"/>
  <c r="H331" i="5" s="1"/>
  <c r="L330" i="1"/>
  <c r="H330" i="5" s="1"/>
  <c r="L329" i="1"/>
  <c r="H329" i="5" s="1"/>
  <c r="L328" i="1"/>
  <c r="H328" i="5" s="1"/>
  <c r="L327" i="1"/>
  <c r="H327" i="5" s="1"/>
  <c r="L326" i="1"/>
  <c r="H326" i="5" s="1"/>
  <c r="L325" i="1"/>
  <c r="H325" i="5" s="1"/>
  <c r="L324" i="1"/>
  <c r="H324" i="5" s="1"/>
  <c r="L323" i="1"/>
  <c r="H323" i="5" s="1"/>
  <c r="L322" i="1"/>
  <c r="H322" i="5" s="1"/>
  <c r="L321" i="1"/>
  <c r="H321" i="5" s="1"/>
  <c r="L320" i="1"/>
  <c r="H320" i="5" s="1"/>
  <c r="L319" i="1"/>
  <c r="H319" i="5" s="1"/>
  <c r="L318" i="1"/>
  <c r="H318" i="5" s="1"/>
  <c r="L317" i="1"/>
  <c r="H317" i="5" s="1"/>
  <c r="L316" i="1"/>
  <c r="H316" i="5" s="1"/>
  <c r="L315" i="1"/>
  <c r="H315" i="5" s="1"/>
  <c r="L314" i="1"/>
  <c r="H314" i="5" s="1"/>
  <c r="L313" i="1"/>
  <c r="H313" i="5" s="1"/>
  <c r="L312" i="1"/>
  <c r="H312" i="5" s="1"/>
  <c r="L311" i="1"/>
  <c r="H311" i="5" s="1"/>
  <c r="L310" i="1"/>
  <c r="H310" i="5" s="1"/>
  <c r="L309" i="1"/>
  <c r="H309" i="5" s="1"/>
  <c r="L308" i="1"/>
  <c r="H308" i="5" s="1"/>
  <c r="L307" i="1"/>
  <c r="H307" i="5" s="1"/>
  <c r="L306" i="1"/>
  <c r="H306" i="5" s="1"/>
  <c r="L305" i="1"/>
  <c r="H305" i="5" s="1"/>
  <c r="L304" i="1"/>
  <c r="H304" i="5" s="1"/>
  <c r="L303" i="1"/>
  <c r="H303" i="5" s="1"/>
  <c r="L302" i="1"/>
  <c r="H302" i="5" s="1"/>
  <c r="L301" i="1"/>
  <c r="H301" i="5" s="1"/>
  <c r="L300" i="1"/>
  <c r="H300" i="5" s="1"/>
  <c r="L299" i="1"/>
  <c r="H299" i="5" s="1"/>
  <c r="L298" i="1"/>
  <c r="H298" i="5" s="1"/>
  <c r="L297" i="1"/>
  <c r="H297" i="5" s="1"/>
  <c r="L296" i="1"/>
  <c r="H296" i="5" s="1"/>
  <c r="L295" i="1"/>
  <c r="H295" i="5" s="1"/>
  <c r="L294" i="1"/>
  <c r="H294" i="5" s="1"/>
  <c r="L293" i="1"/>
  <c r="H293" i="5" s="1"/>
  <c r="L292" i="1"/>
  <c r="H292" i="5" s="1"/>
  <c r="L291" i="1"/>
  <c r="H291" i="5" s="1"/>
  <c r="L290" i="1"/>
  <c r="H290" i="5" s="1"/>
  <c r="L289" i="1"/>
  <c r="H289" i="5" s="1"/>
  <c r="L288" i="1"/>
  <c r="H288" i="5" s="1"/>
  <c r="L287" i="1"/>
  <c r="H287" i="5" s="1"/>
  <c r="L286" i="1"/>
  <c r="H286" i="5" s="1"/>
  <c r="L285" i="1"/>
  <c r="H285" i="5" s="1"/>
  <c r="L284" i="1"/>
  <c r="H284" i="5" s="1"/>
  <c r="L283" i="1"/>
  <c r="H283" i="5" s="1"/>
  <c r="L282" i="1"/>
  <c r="H282" i="5" s="1"/>
  <c r="L281" i="1"/>
  <c r="H281" i="5" s="1"/>
  <c r="L280" i="1"/>
  <c r="H280" i="5" s="1"/>
  <c r="L279" i="1"/>
  <c r="H279" i="5" s="1"/>
  <c r="L278" i="1"/>
  <c r="H278" i="5" s="1"/>
  <c r="L277" i="1"/>
  <c r="H277" i="5" s="1"/>
  <c r="L276" i="1"/>
  <c r="H276" i="5" s="1"/>
  <c r="L275" i="1"/>
  <c r="H275" i="5" s="1"/>
  <c r="L274" i="1"/>
  <c r="H274" i="5" s="1"/>
  <c r="L273" i="1"/>
  <c r="H273" i="5" s="1"/>
  <c r="L272" i="1"/>
  <c r="H272" i="5" s="1"/>
  <c r="L271" i="1"/>
  <c r="H271" i="5" s="1"/>
  <c r="L270" i="1"/>
  <c r="H270" i="5" s="1"/>
  <c r="L269" i="1"/>
  <c r="H269" i="5" s="1"/>
  <c r="L268" i="1"/>
  <c r="H268" i="5" s="1"/>
  <c r="L267" i="1"/>
  <c r="H267" i="5" s="1"/>
  <c r="L266" i="1"/>
  <c r="H266" i="5" s="1"/>
  <c r="L265" i="1"/>
  <c r="H265" i="5" s="1"/>
  <c r="L264" i="1"/>
  <c r="H264" i="5" s="1"/>
  <c r="L263" i="1"/>
  <c r="H263" i="5" s="1"/>
  <c r="L262" i="1"/>
  <c r="H262" i="5" s="1"/>
  <c r="L261" i="1"/>
  <c r="H261" i="5" s="1"/>
  <c r="L260" i="1"/>
  <c r="H260" i="5" s="1"/>
  <c r="L259" i="1"/>
  <c r="H259" i="5" s="1"/>
  <c r="L258" i="1"/>
  <c r="H258" i="5" s="1"/>
  <c r="L257" i="1"/>
  <c r="H257" i="5" s="1"/>
  <c r="L256" i="1"/>
  <c r="H256" i="5" s="1"/>
  <c r="L255" i="1"/>
  <c r="H255" i="5" s="1"/>
  <c r="L254" i="1"/>
  <c r="H254" i="5" s="1"/>
  <c r="L253" i="1"/>
  <c r="H253" i="5" s="1"/>
  <c r="L252" i="1"/>
  <c r="H252" i="5" s="1"/>
  <c r="L251" i="1"/>
  <c r="H251" i="5" s="1"/>
  <c r="L250" i="1"/>
  <c r="H250" i="5" s="1"/>
  <c r="L249" i="1"/>
  <c r="H249" i="5" s="1"/>
  <c r="L248" i="1"/>
  <c r="H248" i="5" s="1"/>
  <c r="L247" i="1"/>
  <c r="H247" i="5" s="1"/>
  <c r="L246" i="1"/>
  <c r="H246" i="5" s="1"/>
  <c r="L245" i="1"/>
  <c r="H245" i="5" s="1"/>
  <c r="L244" i="1"/>
  <c r="H244" i="5" s="1"/>
  <c r="L243" i="1"/>
  <c r="H243" i="5" s="1"/>
  <c r="L242" i="1"/>
  <c r="H242" i="5" s="1"/>
  <c r="L241" i="1"/>
  <c r="H241" i="5" s="1"/>
  <c r="L240" i="1"/>
  <c r="H240" i="5" s="1"/>
  <c r="L239" i="1"/>
  <c r="H239" i="5" s="1"/>
  <c r="L238" i="1"/>
  <c r="H238" i="5" s="1"/>
  <c r="L237" i="1"/>
  <c r="H237" i="5" s="1"/>
  <c r="L236" i="1"/>
  <c r="H236" i="5" s="1"/>
  <c r="L235" i="1"/>
  <c r="H235" i="5" s="1"/>
  <c r="L234" i="1"/>
  <c r="H234" i="5" s="1"/>
  <c r="L233" i="1"/>
  <c r="H233" i="5" s="1"/>
  <c r="L232" i="1"/>
  <c r="H232" i="5" s="1"/>
  <c r="L231" i="1"/>
  <c r="H231" i="5" s="1"/>
  <c r="L230" i="1"/>
  <c r="H230" i="5" s="1"/>
  <c r="L229" i="1"/>
  <c r="H229" i="5" s="1"/>
  <c r="L228" i="1"/>
  <c r="H228" i="5" s="1"/>
  <c r="L227" i="1"/>
  <c r="H227" i="5" s="1"/>
  <c r="L226" i="1"/>
  <c r="H226" i="5" s="1"/>
  <c r="L225" i="1"/>
  <c r="H225" i="5" s="1"/>
  <c r="L224" i="1"/>
  <c r="H224" i="5" s="1"/>
  <c r="L223" i="1"/>
  <c r="H223" i="5" s="1"/>
  <c r="L222" i="1"/>
  <c r="H222" i="5" s="1"/>
  <c r="L221" i="1"/>
  <c r="H221" i="5" s="1"/>
  <c r="L220" i="1"/>
  <c r="H220" i="5" s="1"/>
  <c r="L219" i="1"/>
  <c r="H219" i="5" s="1"/>
  <c r="L218" i="1"/>
  <c r="H218" i="5" s="1"/>
  <c r="L217" i="1"/>
  <c r="H217" i="5" s="1"/>
  <c r="L216" i="1"/>
  <c r="H216" i="5" s="1"/>
  <c r="L215" i="1"/>
  <c r="H215" i="5" s="1"/>
  <c r="L214" i="1"/>
  <c r="H214" i="5" s="1"/>
  <c r="L213" i="1"/>
  <c r="H213" i="5" s="1"/>
  <c r="L212" i="1"/>
  <c r="H212" i="5" s="1"/>
  <c r="L211" i="1"/>
  <c r="H211" i="5" s="1"/>
  <c r="L210" i="1"/>
  <c r="H210" i="5" s="1"/>
  <c r="L209" i="1"/>
  <c r="H209" i="5" s="1"/>
  <c r="L208" i="1"/>
  <c r="H208" i="5" s="1"/>
  <c r="L207" i="1"/>
  <c r="H207" i="5" s="1"/>
  <c r="L206" i="1"/>
  <c r="H206" i="5" s="1"/>
  <c r="L205" i="1"/>
  <c r="H205" i="5" s="1"/>
  <c r="L204" i="1"/>
  <c r="H204" i="5" s="1"/>
  <c r="L203" i="1"/>
  <c r="H203" i="5" s="1"/>
  <c r="L202" i="1"/>
  <c r="H202" i="5" s="1"/>
  <c r="L201" i="1"/>
  <c r="H201" i="5" s="1"/>
  <c r="L200" i="1"/>
  <c r="H200" i="5" s="1"/>
  <c r="L199" i="1"/>
  <c r="H199" i="5" s="1"/>
  <c r="L198" i="1"/>
  <c r="H198" i="5" s="1"/>
  <c r="L197" i="1"/>
  <c r="H197" i="5" s="1"/>
  <c r="L196" i="1"/>
  <c r="H196" i="5" s="1"/>
  <c r="L195" i="1"/>
  <c r="H195" i="5" s="1"/>
  <c r="L194" i="1"/>
  <c r="H194" i="5" s="1"/>
  <c r="L193" i="1"/>
  <c r="H193" i="5" s="1"/>
  <c r="L192" i="1"/>
  <c r="H192" i="5" s="1"/>
  <c r="L191" i="1"/>
  <c r="H191" i="5" s="1"/>
  <c r="L190" i="1"/>
  <c r="H190" i="5" s="1"/>
  <c r="L189" i="1"/>
  <c r="H189" i="5" s="1"/>
  <c r="L188" i="1"/>
  <c r="H188" i="5" s="1"/>
  <c r="L187" i="1"/>
  <c r="H187" i="5" s="1"/>
  <c r="L186" i="1"/>
  <c r="H186" i="5" s="1"/>
  <c r="L185" i="1"/>
  <c r="H185" i="5" s="1"/>
  <c r="L184" i="1"/>
  <c r="H184" i="5" s="1"/>
  <c r="L183" i="1"/>
  <c r="H183" i="5" s="1"/>
  <c r="L182" i="1"/>
  <c r="H182" i="5" s="1"/>
  <c r="L181" i="1"/>
  <c r="H181" i="5" s="1"/>
  <c r="L180" i="1"/>
  <c r="H180" i="5" s="1"/>
  <c r="L179" i="1"/>
  <c r="H179" i="5" s="1"/>
  <c r="L178" i="1"/>
  <c r="H178" i="5" s="1"/>
  <c r="L177" i="1"/>
  <c r="H177" i="5" s="1"/>
  <c r="L176" i="1"/>
  <c r="H176" i="5" s="1"/>
  <c r="L175" i="1"/>
  <c r="H175" i="5" s="1"/>
  <c r="L174" i="1"/>
  <c r="H174" i="5" s="1"/>
  <c r="L173" i="1"/>
  <c r="H173" i="5" s="1"/>
  <c r="L172" i="1"/>
  <c r="H172" i="5" s="1"/>
  <c r="L171" i="1"/>
  <c r="H171" i="5" s="1"/>
  <c r="L170" i="1"/>
  <c r="H170" i="5" s="1"/>
  <c r="L169" i="1"/>
  <c r="H169" i="5" s="1"/>
  <c r="L168" i="1"/>
  <c r="H168" i="5" s="1"/>
  <c r="L167" i="1"/>
  <c r="H167" i="5" s="1"/>
  <c r="L166" i="1"/>
  <c r="H166" i="5" s="1"/>
  <c r="L165" i="1"/>
  <c r="H165" i="5" s="1"/>
  <c r="L164" i="1"/>
  <c r="H164" i="5" s="1"/>
  <c r="L163" i="1"/>
  <c r="H163" i="5" s="1"/>
  <c r="L162" i="1"/>
  <c r="H162" i="5" s="1"/>
  <c r="L161" i="1"/>
  <c r="H161" i="5" s="1"/>
  <c r="L160" i="1"/>
  <c r="H160" i="5" s="1"/>
  <c r="L159" i="1"/>
  <c r="H159" i="5" s="1"/>
  <c r="L158" i="1"/>
  <c r="H158" i="5" s="1"/>
  <c r="L157" i="1"/>
  <c r="H157" i="5" s="1"/>
  <c r="L156" i="1"/>
  <c r="H156" i="5" s="1"/>
  <c r="L155" i="1"/>
  <c r="H155" i="5" s="1"/>
  <c r="L154" i="1"/>
  <c r="H154" i="5" s="1"/>
  <c r="L153" i="1"/>
  <c r="H153" i="5" s="1"/>
  <c r="L152" i="1"/>
  <c r="H152" i="5" s="1"/>
  <c r="L151" i="1"/>
  <c r="H151" i="5" s="1"/>
  <c r="L150" i="1"/>
  <c r="H150" i="5" s="1"/>
  <c r="L149" i="1"/>
  <c r="H149" i="5" s="1"/>
  <c r="L148" i="1"/>
  <c r="H148" i="5" s="1"/>
  <c r="L147" i="1"/>
  <c r="H147" i="5" s="1"/>
  <c r="L146" i="1"/>
  <c r="H146" i="5" s="1"/>
  <c r="L145" i="1"/>
  <c r="H145" i="5" s="1"/>
  <c r="L144" i="1"/>
  <c r="H144" i="5" s="1"/>
  <c r="L143" i="1"/>
  <c r="H143" i="5" s="1"/>
  <c r="L142" i="1"/>
  <c r="H142" i="5" s="1"/>
  <c r="L141" i="1"/>
  <c r="H141" i="5" s="1"/>
  <c r="L140" i="1"/>
  <c r="H140" i="5" s="1"/>
  <c r="L139" i="1"/>
  <c r="H139" i="5" s="1"/>
  <c r="L138" i="1"/>
  <c r="H138" i="5" s="1"/>
  <c r="L137" i="1"/>
  <c r="H137" i="5" s="1"/>
  <c r="L136" i="1"/>
  <c r="H136" i="5" s="1"/>
  <c r="L135" i="1"/>
  <c r="H135" i="5" s="1"/>
  <c r="L134" i="1"/>
  <c r="H134" i="5" s="1"/>
  <c r="L133" i="1"/>
  <c r="H133" i="5" s="1"/>
  <c r="L132" i="1"/>
  <c r="H132" i="5" s="1"/>
  <c r="L131" i="1"/>
  <c r="H131" i="5" s="1"/>
  <c r="L130" i="1"/>
  <c r="H130" i="5" s="1"/>
  <c r="L129" i="1"/>
  <c r="H129" i="5" s="1"/>
  <c r="L128" i="1"/>
  <c r="H128" i="5" s="1"/>
  <c r="L127" i="1"/>
  <c r="H127" i="5" s="1"/>
  <c r="L126" i="1"/>
  <c r="H126" i="5" s="1"/>
  <c r="L125" i="1"/>
  <c r="H125" i="5" s="1"/>
  <c r="L124" i="1"/>
  <c r="H124" i="5" s="1"/>
  <c r="L123" i="1"/>
  <c r="H123" i="5" s="1"/>
  <c r="L122" i="1"/>
  <c r="H122" i="5" s="1"/>
  <c r="L121" i="1"/>
  <c r="H121" i="5" s="1"/>
  <c r="L120" i="1"/>
  <c r="H120" i="5" s="1"/>
  <c r="L119" i="1"/>
  <c r="H119" i="5" s="1"/>
  <c r="L118" i="1"/>
  <c r="H118" i="5" s="1"/>
  <c r="L117" i="1"/>
  <c r="H117" i="5" s="1"/>
  <c r="L116" i="1"/>
  <c r="H116" i="5" s="1"/>
  <c r="L115" i="1"/>
  <c r="H115" i="5" s="1"/>
  <c r="L114" i="1"/>
  <c r="H114" i="5" s="1"/>
  <c r="L113" i="1"/>
  <c r="H113" i="5" s="1"/>
  <c r="L112" i="1"/>
  <c r="H112" i="5" s="1"/>
  <c r="L111" i="1"/>
  <c r="H111" i="5" s="1"/>
  <c r="L110" i="1"/>
  <c r="H110" i="5" s="1"/>
  <c r="L109" i="1"/>
  <c r="H109" i="5" s="1"/>
  <c r="L108" i="1"/>
  <c r="H108" i="5" s="1"/>
  <c r="L107" i="1"/>
  <c r="H107" i="5" s="1"/>
  <c r="L106" i="1"/>
  <c r="H106" i="5" s="1"/>
  <c r="L105" i="1"/>
  <c r="H105" i="5" s="1"/>
  <c r="L104" i="1"/>
  <c r="H104" i="5" s="1"/>
  <c r="L103" i="1"/>
  <c r="H103" i="5" s="1"/>
  <c r="L102" i="1"/>
  <c r="H102" i="5" s="1"/>
  <c r="L101" i="1"/>
  <c r="H101" i="5" s="1"/>
  <c r="L100" i="1"/>
  <c r="H100" i="5" s="1"/>
  <c r="L99" i="1"/>
  <c r="H99" i="5" s="1"/>
  <c r="L98" i="1"/>
  <c r="H98" i="5" s="1"/>
  <c r="L97" i="1"/>
  <c r="H97" i="5" s="1"/>
  <c r="L96" i="1"/>
  <c r="H96" i="5" s="1"/>
  <c r="L95" i="1"/>
  <c r="H95" i="5" s="1"/>
  <c r="L94" i="1"/>
  <c r="H94" i="5" s="1"/>
  <c r="L93" i="1"/>
  <c r="H93" i="5" s="1"/>
  <c r="L92" i="1"/>
  <c r="H92" i="5" s="1"/>
  <c r="L91" i="1"/>
  <c r="H91" i="5" s="1"/>
  <c r="L90" i="1"/>
  <c r="H90" i="5" s="1"/>
  <c r="L89" i="1"/>
  <c r="H89" i="5" s="1"/>
  <c r="L88" i="1"/>
  <c r="H88" i="5" s="1"/>
  <c r="L87" i="1"/>
  <c r="H87" i="5" s="1"/>
  <c r="L86" i="1"/>
  <c r="H86" i="5" s="1"/>
  <c r="L85" i="1"/>
  <c r="H85" i="5" s="1"/>
  <c r="L84" i="1"/>
  <c r="H84" i="5" s="1"/>
  <c r="L83" i="1"/>
  <c r="H83" i="5" s="1"/>
  <c r="L82" i="1"/>
  <c r="H82" i="5" s="1"/>
  <c r="L81" i="1"/>
  <c r="H81" i="5" s="1"/>
  <c r="L80" i="1"/>
  <c r="H80" i="5" s="1"/>
  <c r="L79" i="1"/>
  <c r="H79" i="5" s="1"/>
  <c r="L78" i="1"/>
  <c r="H78" i="5" s="1"/>
  <c r="L77" i="1"/>
  <c r="H77" i="5" s="1"/>
  <c r="L76" i="1"/>
  <c r="H76" i="5" s="1"/>
  <c r="L75" i="1"/>
  <c r="H75" i="5" s="1"/>
  <c r="L74" i="1"/>
  <c r="H74" i="5" s="1"/>
  <c r="L73" i="1"/>
  <c r="H73" i="5" s="1"/>
  <c r="L72" i="1"/>
  <c r="H72" i="5" s="1"/>
  <c r="L71" i="1"/>
  <c r="H71" i="5" s="1"/>
  <c r="L70" i="1"/>
  <c r="H70" i="5" s="1"/>
  <c r="L69" i="1"/>
  <c r="H69" i="5" s="1"/>
  <c r="L68" i="1"/>
  <c r="H68" i="5" s="1"/>
  <c r="L67" i="1"/>
  <c r="H67" i="5" s="1"/>
  <c r="L66" i="1"/>
  <c r="H66" i="5" s="1"/>
  <c r="L65" i="1"/>
  <c r="H65" i="5" s="1"/>
  <c r="L64" i="1"/>
  <c r="H64" i="5" s="1"/>
  <c r="L63" i="1"/>
  <c r="H63" i="5" s="1"/>
  <c r="L62" i="1"/>
  <c r="H62" i="5" s="1"/>
  <c r="L61" i="1"/>
  <c r="H61" i="5" s="1"/>
  <c r="L60" i="1"/>
  <c r="H60" i="5" s="1"/>
  <c r="L59" i="1"/>
  <c r="H59" i="5" s="1"/>
  <c r="L58" i="1"/>
  <c r="H58" i="5" s="1"/>
  <c r="L57" i="1"/>
  <c r="H57" i="5" s="1"/>
  <c r="L56" i="1"/>
  <c r="H56" i="5" s="1"/>
  <c r="L55" i="1"/>
  <c r="H55" i="5" s="1"/>
  <c r="L54" i="1"/>
  <c r="H54" i="5" s="1"/>
  <c r="L53" i="1"/>
  <c r="H53" i="5" s="1"/>
  <c r="L52" i="1"/>
  <c r="H52" i="5" s="1"/>
  <c r="L51" i="1"/>
  <c r="H51" i="5" s="1"/>
  <c r="L50" i="1"/>
  <c r="H50" i="5" s="1"/>
  <c r="L49" i="1"/>
  <c r="H49" i="5" s="1"/>
  <c r="L48" i="1"/>
  <c r="H48" i="5" s="1"/>
  <c r="L47" i="1"/>
  <c r="H47" i="5" s="1"/>
  <c r="L46" i="1"/>
  <c r="H46" i="5" s="1"/>
  <c r="L45" i="1"/>
  <c r="H45" i="5" s="1"/>
  <c r="L44" i="1"/>
  <c r="H44" i="5" s="1"/>
  <c r="L43" i="1"/>
  <c r="H43" i="5" s="1"/>
  <c r="L42" i="1"/>
  <c r="H42" i="5" s="1"/>
  <c r="L41" i="1"/>
  <c r="H41" i="5" s="1"/>
  <c r="L40" i="1"/>
  <c r="H40" i="5" s="1"/>
  <c r="L39" i="1"/>
  <c r="H39" i="5" s="1"/>
  <c r="L38" i="1"/>
  <c r="H38" i="5" s="1"/>
  <c r="L37" i="1"/>
  <c r="H37" i="5" s="1"/>
  <c r="L36" i="1"/>
  <c r="H36" i="5" s="1"/>
  <c r="L35" i="1"/>
  <c r="H35" i="5" s="1"/>
  <c r="L34" i="1"/>
  <c r="H34" i="5" s="1"/>
  <c r="L33" i="1"/>
  <c r="H33" i="5" s="1"/>
  <c r="L32" i="1"/>
  <c r="H32" i="5" s="1"/>
  <c r="L31" i="1"/>
  <c r="H31" i="5" s="1"/>
  <c r="L30" i="1"/>
  <c r="H30" i="5" s="1"/>
  <c r="L29" i="1"/>
  <c r="H29" i="5" s="1"/>
  <c r="L28" i="1"/>
  <c r="H28" i="5" s="1"/>
  <c r="L27" i="1"/>
  <c r="H27" i="5" s="1"/>
  <c r="L26" i="1"/>
  <c r="H26" i="5" s="1"/>
  <c r="L25" i="1"/>
  <c r="H25" i="5" s="1"/>
  <c r="L24" i="1"/>
  <c r="H24" i="5" s="1"/>
  <c r="L23" i="1"/>
  <c r="H23" i="5" s="1"/>
  <c r="L22" i="1"/>
  <c r="H22" i="5" s="1"/>
  <c r="L21" i="1"/>
  <c r="H21" i="5" s="1"/>
  <c r="L20" i="1"/>
  <c r="H20" i="5" s="1"/>
  <c r="L19" i="1"/>
  <c r="H19" i="5" s="1"/>
  <c r="L18" i="1"/>
  <c r="H18" i="5" s="1"/>
  <c r="L17" i="1"/>
  <c r="H17" i="5" s="1"/>
  <c r="L16" i="1"/>
  <c r="H16" i="5" s="1"/>
  <c r="L15" i="1"/>
  <c r="H15" i="5" s="1"/>
  <c r="L14" i="1"/>
  <c r="H14" i="5" s="1"/>
  <c r="L13" i="1"/>
  <c r="H13" i="5" s="1"/>
  <c r="L12" i="1"/>
  <c r="H12" i="5" s="1"/>
  <c r="L11" i="1"/>
  <c r="H11" i="5" s="1"/>
  <c r="L10" i="1"/>
  <c r="H10" i="5" s="1"/>
  <c r="L9" i="1"/>
  <c r="H9" i="5" s="1"/>
  <c r="L8" i="1"/>
  <c r="H8" i="5" s="1"/>
  <c r="L7" i="1"/>
  <c r="H7" i="5" s="1"/>
  <c r="L6" i="1"/>
  <c r="H6" i="5" s="1"/>
  <c r="L5" i="1"/>
  <c r="H5" i="5" s="1"/>
  <c r="L4" i="1"/>
  <c r="H4" i="5" s="1"/>
  <c r="L3" i="1"/>
  <c r="H3" i="5" s="1"/>
  <c r="L2" i="1"/>
  <c r="H2" i="5" s="1"/>
  <c r="F1004" i="1"/>
  <c r="G1004" i="1" l="1"/>
  <c r="L1004" i="1"/>
  <c r="Y2" i="1"/>
  <c r="L2" i="5" s="1"/>
  <c r="Y3" i="1"/>
  <c r="L3" i="5" s="1"/>
  <c r="Y4" i="1"/>
  <c r="L4" i="5" s="1"/>
  <c r="Y5" i="1"/>
  <c r="L5" i="5" s="1"/>
  <c r="Y6" i="1"/>
  <c r="L6" i="5" s="1"/>
  <c r="Y7" i="1"/>
  <c r="L7" i="5" s="1"/>
  <c r="Y8" i="1"/>
  <c r="L8" i="5" s="1"/>
  <c r="Y9" i="1"/>
  <c r="L9" i="5" s="1"/>
  <c r="Y10" i="1"/>
  <c r="L10" i="5" s="1"/>
  <c r="Y11" i="1"/>
  <c r="L11" i="5" s="1"/>
  <c r="Y12" i="1"/>
  <c r="L12" i="5" s="1"/>
  <c r="Y13" i="1"/>
  <c r="L13" i="5" s="1"/>
  <c r="Y14" i="1"/>
  <c r="L14" i="5" s="1"/>
  <c r="Y15" i="1"/>
  <c r="L15" i="5" s="1"/>
  <c r="Y16" i="1"/>
  <c r="L16" i="5" s="1"/>
  <c r="Y17" i="1"/>
  <c r="L17" i="5" s="1"/>
  <c r="Y18" i="1"/>
  <c r="L18" i="5" s="1"/>
  <c r="Y19" i="1"/>
  <c r="L19" i="5" s="1"/>
  <c r="Y20" i="1"/>
  <c r="L20" i="5" s="1"/>
  <c r="Y21" i="1"/>
  <c r="L21" i="5" s="1"/>
  <c r="Y22" i="1"/>
  <c r="L22" i="5" s="1"/>
  <c r="Y23" i="1"/>
  <c r="L23" i="5" s="1"/>
  <c r="Y24" i="1"/>
  <c r="L24" i="5" s="1"/>
  <c r="Y25" i="1"/>
  <c r="L25" i="5" s="1"/>
  <c r="Y26" i="1"/>
  <c r="L26" i="5" s="1"/>
  <c r="Y27" i="1"/>
  <c r="L27" i="5" s="1"/>
  <c r="Y28" i="1"/>
  <c r="L28" i="5" s="1"/>
  <c r="Y29" i="1"/>
  <c r="L29" i="5" s="1"/>
  <c r="Y30" i="1"/>
  <c r="L30" i="5" s="1"/>
  <c r="Y31" i="1"/>
  <c r="L31" i="5" s="1"/>
  <c r="Y32" i="1"/>
  <c r="L32" i="5" s="1"/>
  <c r="Y33" i="1"/>
  <c r="L33" i="5" s="1"/>
  <c r="Y34" i="1"/>
  <c r="L34" i="5" s="1"/>
  <c r="Y35" i="1"/>
  <c r="L35" i="5" s="1"/>
  <c r="Y36" i="1"/>
  <c r="L36" i="5" s="1"/>
  <c r="Y37" i="1"/>
  <c r="L37" i="5" s="1"/>
  <c r="Y38" i="1"/>
  <c r="L38" i="5" s="1"/>
  <c r="Y39" i="1"/>
  <c r="L39" i="5" s="1"/>
  <c r="Y40" i="1"/>
  <c r="L40" i="5" s="1"/>
  <c r="Y41" i="1"/>
  <c r="L41" i="5" s="1"/>
  <c r="Y42" i="1"/>
  <c r="L42" i="5" s="1"/>
  <c r="Y43" i="1"/>
  <c r="L43" i="5" s="1"/>
  <c r="Y44" i="1"/>
  <c r="L44" i="5" s="1"/>
  <c r="Y45" i="1"/>
  <c r="L45" i="5" s="1"/>
  <c r="Y46" i="1"/>
  <c r="L46" i="5" s="1"/>
  <c r="Y47" i="1"/>
  <c r="L47" i="5" s="1"/>
  <c r="Y48" i="1"/>
  <c r="L48" i="5" s="1"/>
  <c r="Y49" i="1"/>
  <c r="L49" i="5" s="1"/>
  <c r="Y50" i="1"/>
  <c r="L50" i="5" s="1"/>
  <c r="Y51" i="1"/>
  <c r="L51" i="5" s="1"/>
  <c r="Y52" i="1"/>
  <c r="L52" i="5" s="1"/>
  <c r="Y53" i="1"/>
  <c r="L53" i="5" s="1"/>
  <c r="Y54" i="1"/>
  <c r="L54" i="5" s="1"/>
  <c r="Y55" i="1"/>
  <c r="L55" i="5" s="1"/>
  <c r="Y56" i="1"/>
  <c r="L56" i="5" s="1"/>
  <c r="Y57" i="1"/>
  <c r="L57" i="5" s="1"/>
  <c r="Y58" i="1"/>
  <c r="L58" i="5" s="1"/>
  <c r="Y59" i="1"/>
  <c r="L59" i="5" s="1"/>
  <c r="Y60" i="1"/>
  <c r="L60" i="5" s="1"/>
  <c r="Y61" i="1"/>
  <c r="L61" i="5" s="1"/>
  <c r="Y62" i="1"/>
  <c r="L62" i="5" s="1"/>
  <c r="Y63" i="1"/>
  <c r="L63" i="5" s="1"/>
  <c r="Y64" i="1"/>
  <c r="L64" i="5" s="1"/>
  <c r="Y65" i="1"/>
  <c r="L65" i="5" s="1"/>
  <c r="Y66" i="1"/>
  <c r="L66" i="5" s="1"/>
  <c r="Y67" i="1"/>
  <c r="L67" i="5" s="1"/>
  <c r="Y68" i="1"/>
  <c r="L68" i="5" s="1"/>
  <c r="Y69" i="1"/>
  <c r="L69" i="5" s="1"/>
  <c r="Y70" i="1"/>
  <c r="L70" i="5" s="1"/>
  <c r="Y71" i="1"/>
  <c r="L71" i="5" s="1"/>
  <c r="Y72" i="1"/>
  <c r="L72" i="5" s="1"/>
  <c r="Y73" i="1"/>
  <c r="L73" i="5" s="1"/>
  <c r="Y74" i="1"/>
  <c r="L74" i="5" s="1"/>
  <c r="Y75" i="1"/>
  <c r="L75" i="5" s="1"/>
  <c r="Y76" i="1"/>
  <c r="L76" i="5" s="1"/>
  <c r="Y77" i="1"/>
  <c r="L77" i="5" s="1"/>
  <c r="Y78" i="1"/>
  <c r="L78" i="5" s="1"/>
  <c r="Y79" i="1"/>
  <c r="L79" i="5" s="1"/>
  <c r="Y80" i="1"/>
  <c r="L80" i="5" s="1"/>
  <c r="Y81" i="1"/>
  <c r="L81" i="5" s="1"/>
  <c r="Y82" i="1"/>
  <c r="L82" i="5" s="1"/>
  <c r="Y83" i="1"/>
  <c r="L83" i="5" s="1"/>
  <c r="Y84" i="1"/>
  <c r="L84" i="5" s="1"/>
  <c r="Y85" i="1"/>
  <c r="L85" i="5" s="1"/>
  <c r="Y86" i="1"/>
  <c r="L86" i="5" s="1"/>
  <c r="Y87" i="1"/>
  <c r="L87" i="5" s="1"/>
  <c r="Y88" i="1"/>
  <c r="L88" i="5" s="1"/>
  <c r="Y89" i="1"/>
  <c r="L89" i="5" s="1"/>
  <c r="Y90" i="1"/>
  <c r="L90" i="5" s="1"/>
  <c r="Y91" i="1"/>
  <c r="L91" i="5" s="1"/>
  <c r="Y92" i="1"/>
  <c r="L92" i="5" s="1"/>
  <c r="Y93" i="1"/>
  <c r="L93" i="5" s="1"/>
  <c r="Y94" i="1"/>
  <c r="L94" i="5" s="1"/>
  <c r="Y95" i="1"/>
  <c r="L95" i="5" s="1"/>
  <c r="Y96" i="1"/>
  <c r="L96" i="5" s="1"/>
  <c r="Y97" i="1"/>
  <c r="L97" i="5" s="1"/>
  <c r="Y98" i="1"/>
  <c r="L98" i="5" s="1"/>
  <c r="Y99" i="1"/>
  <c r="L99" i="5" s="1"/>
  <c r="Y100" i="1"/>
  <c r="L100" i="5" s="1"/>
  <c r="Y101" i="1"/>
  <c r="L101" i="5" s="1"/>
  <c r="Y102" i="1"/>
  <c r="L102" i="5" s="1"/>
  <c r="Y103" i="1"/>
  <c r="L103" i="5" s="1"/>
  <c r="Y104" i="1"/>
  <c r="L104" i="5" s="1"/>
  <c r="Y105" i="1"/>
  <c r="L105" i="5" s="1"/>
  <c r="Y106" i="1"/>
  <c r="L106" i="5" s="1"/>
  <c r="Y107" i="1"/>
  <c r="L107" i="5" s="1"/>
  <c r="Y108" i="1"/>
  <c r="L108" i="5" s="1"/>
  <c r="Y109" i="1"/>
  <c r="L109" i="5" s="1"/>
  <c r="Y110" i="1"/>
  <c r="L110" i="5" s="1"/>
  <c r="Y111" i="1"/>
  <c r="L111" i="5" s="1"/>
  <c r="Y112" i="1"/>
  <c r="L112" i="5" s="1"/>
  <c r="Y113" i="1"/>
  <c r="L113" i="5" s="1"/>
  <c r="Y114" i="1"/>
  <c r="L114" i="5" s="1"/>
  <c r="Y115" i="1"/>
  <c r="L115" i="5" s="1"/>
  <c r="Y116" i="1"/>
  <c r="L116" i="5" s="1"/>
  <c r="Y117" i="1"/>
  <c r="L117" i="5" s="1"/>
  <c r="Y118" i="1"/>
  <c r="L118" i="5" s="1"/>
  <c r="Y119" i="1"/>
  <c r="L119" i="5" s="1"/>
  <c r="Y120" i="1"/>
  <c r="L120" i="5" s="1"/>
  <c r="Y121" i="1"/>
  <c r="L121" i="5" s="1"/>
  <c r="Y122" i="1"/>
  <c r="L122" i="5" s="1"/>
  <c r="Y123" i="1"/>
  <c r="L123" i="5" s="1"/>
  <c r="Y124" i="1"/>
  <c r="L124" i="5" s="1"/>
  <c r="Y125" i="1"/>
  <c r="L125" i="5" s="1"/>
  <c r="Y126" i="1"/>
  <c r="L126" i="5" s="1"/>
  <c r="Y127" i="1"/>
  <c r="L127" i="5" s="1"/>
  <c r="Y128" i="1"/>
  <c r="L128" i="5" s="1"/>
  <c r="Y129" i="1"/>
  <c r="L129" i="5" s="1"/>
  <c r="Y130" i="1"/>
  <c r="L130" i="5" s="1"/>
  <c r="Y131" i="1"/>
  <c r="L131" i="5" s="1"/>
  <c r="Y132" i="1"/>
  <c r="L132" i="5" s="1"/>
  <c r="Y133" i="1"/>
  <c r="L133" i="5" s="1"/>
  <c r="Y134" i="1"/>
  <c r="L134" i="5" s="1"/>
  <c r="Y135" i="1"/>
  <c r="L135" i="5" s="1"/>
  <c r="Y136" i="1"/>
  <c r="L136" i="5" s="1"/>
  <c r="Y137" i="1"/>
  <c r="L137" i="5" s="1"/>
  <c r="Y138" i="1"/>
  <c r="L138" i="5" s="1"/>
  <c r="Y139" i="1"/>
  <c r="L139" i="5" s="1"/>
  <c r="Y140" i="1"/>
  <c r="L140" i="5" s="1"/>
  <c r="Y141" i="1"/>
  <c r="L141" i="5" s="1"/>
  <c r="Y142" i="1"/>
  <c r="L142" i="5" s="1"/>
  <c r="Y143" i="1"/>
  <c r="L143" i="5" s="1"/>
  <c r="Y144" i="1"/>
  <c r="L144" i="5" s="1"/>
  <c r="Y145" i="1"/>
  <c r="L145" i="5" s="1"/>
  <c r="Y146" i="1"/>
  <c r="L146" i="5" s="1"/>
  <c r="Y147" i="1"/>
  <c r="L147" i="5" s="1"/>
  <c r="Y148" i="1"/>
  <c r="L148" i="5" s="1"/>
  <c r="Y149" i="1"/>
  <c r="L149" i="5" s="1"/>
  <c r="Y150" i="1"/>
  <c r="L150" i="5" s="1"/>
  <c r="Y151" i="1"/>
  <c r="L151" i="5" s="1"/>
  <c r="Y152" i="1"/>
  <c r="L152" i="5" s="1"/>
  <c r="Y153" i="1"/>
  <c r="L153" i="5" s="1"/>
  <c r="Y154" i="1"/>
  <c r="L154" i="5" s="1"/>
  <c r="Y155" i="1"/>
  <c r="L155" i="5" s="1"/>
  <c r="Y156" i="1"/>
  <c r="L156" i="5" s="1"/>
  <c r="Y157" i="1"/>
  <c r="L157" i="5" s="1"/>
  <c r="Y158" i="1"/>
  <c r="L158" i="5" s="1"/>
  <c r="Y159" i="1"/>
  <c r="L159" i="5" s="1"/>
  <c r="Y160" i="1"/>
  <c r="L160" i="5" s="1"/>
  <c r="Y161" i="1"/>
  <c r="L161" i="5" s="1"/>
  <c r="Y162" i="1"/>
  <c r="L162" i="5" s="1"/>
  <c r="Y163" i="1"/>
  <c r="L163" i="5" s="1"/>
  <c r="Y164" i="1"/>
  <c r="L164" i="5" s="1"/>
  <c r="Y165" i="1"/>
  <c r="L165" i="5" s="1"/>
  <c r="Y166" i="1"/>
  <c r="L166" i="5" s="1"/>
  <c r="Y167" i="1"/>
  <c r="L167" i="5" s="1"/>
  <c r="Y168" i="1"/>
  <c r="L168" i="5" s="1"/>
  <c r="Y169" i="1"/>
  <c r="L169" i="5" s="1"/>
  <c r="Y170" i="1"/>
  <c r="L170" i="5" s="1"/>
  <c r="Y171" i="1"/>
  <c r="L171" i="5" s="1"/>
  <c r="Y172" i="1"/>
  <c r="L172" i="5" s="1"/>
  <c r="Y173" i="1"/>
  <c r="L173" i="5" s="1"/>
  <c r="Y174" i="1"/>
  <c r="L174" i="5" s="1"/>
  <c r="Y175" i="1"/>
  <c r="L175" i="5" s="1"/>
  <c r="Y176" i="1"/>
  <c r="L176" i="5" s="1"/>
  <c r="Y177" i="1"/>
  <c r="L177" i="5" s="1"/>
  <c r="Y178" i="1"/>
  <c r="L178" i="5" s="1"/>
  <c r="Y179" i="1"/>
  <c r="L179" i="5" s="1"/>
  <c r="Y180" i="1"/>
  <c r="L180" i="5" s="1"/>
  <c r="Y181" i="1"/>
  <c r="L181" i="5" s="1"/>
  <c r="Y182" i="1"/>
  <c r="L182" i="5" s="1"/>
  <c r="Y183" i="1"/>
  <c r="L183" i="5" s="1"/>
  <c r="Y184" i="1"/>
  <c r="L184" i="5" s="1"/>
  <c r="Y185" i="1"/>
  <c r="L185" i="5" s="1"/>
  <c r="Y186" i="1"/>
  <c r="L186" i="5" s="1"/>
  <c r="Y187" i="1"/>
  <c r="L187" i="5" s="1"/>
  <c r="Y188" i="1"/>
  <c r="L188" i="5" s="1"/>
  <c r="Y189" i="1"/>
  <c r="L189" i="5" s="1"/>
  <c r="Y190" i="1"/>
  <c r="L190" i="5" s="1"/>
  <c r="Y191" i="1"/>
  <c r="L191" i="5" s="1"/>
  <c r="Y192" i="1"/>
  <c r="L192" i="5" s="1"/>
  <c r="Y193" i="1"/>
  <c r="L193" i="5" s="1"/>
  <c r="Y194" i="1"/>
  <c r="L194" i="5" s="1"/>
  <c r="Y195" i="1"/>
  <c r="L195" i="5" s="1"/>
  <c r="Y196" i="1"/>
  <c r="L196" i="5" s="1"/>
  <c r="Y197" i="1"/>
  <c r="L197" i="5" s="1"/>
  <c r="Y198" i="1"/>
  <c r="L198" i="5" s="1"/>
  <c r="Y199" i="1"/>
  <c r="L199" i="5" s="1"/>
  <c r="Y200" i="1"/>
  <c r="L200" i="5" s="1"/>
  <c r="Y201" i="1"/>
  <c r="L201" i="5" s="1"/>
  <c r="Y202" i="1"/>
  <c r="L202" i="5" s="1"/>
  <c r="Y203" i="1"/>
  <c r="L203" i="5" s="1"/>
  <c r="Y204" i="1"/>
  <c r="L204" i="5" s="1"/>
  <c r="Y205" i="1"/>
  <c r="L205" i="5" s="1"/>
  <c r="Y206" i="1"/>
  <c r="L206" i="5" s="1"/>
  <c r="Y207" i="1"/>
  <c r="L207" i="5" s="1"/>
  <c r="Y208" i="1"/>
  <c r="L208" i="5" s="1"/>
  <c r="Y209" i="1"/>
  <c r="L209" i="5" s="1"/>
  <c r="Y210" i="1"/>
  <c r="L210" i="5" s="1"/>
  <c r="Y211" i="1"/>
  <c r="L211" i="5" s="1"/>
  <c r="Y212" i="1"/>
  <c r="L212" i="5" s="1"/>
  <c r="Y213" i="1"/>
  <c r="L213" i="5" s="1"/>
  <c r="Y214" i="1"/>
  <c r="L214" i="5" s="1"/>
  <c r="Y215" i="1"/>
  <c r="L215" i="5" s="1"/>
  <c r="Y216" i="1"/>
  <c r="L216" i="5" s="1"/>
  <c r="Y217" i="1"/>
  <c r="L217" i="5" s="1"/>
  <c r="Y218" i="1"/>
  <c r="L218" i="5" s="1"/>
  <c r="Y219" i="1"/>
  <c r="L219" i="5" s="1"/>
  <c r="Y220" i="1"/>
  <c r="L220" i="5" s="1"/>
  <c r="Y221" i="1"/>
  <c r="L221" i="5" s="1"/>
  <c r="Y222" i="1"/>
  <c r="L222" i="5" s="1"/>
  <c r="Y223" i="1"/>
  <c r="L223" i="5" s="1"/>
  <c r="Y224" i="1"/>
  <c r="L224" i="5" s="1"/>
  <c r="Y225" i="1"/>
  <c r="L225" i="5" s="1"/>
  <c r="Y226" i="1"/>
  <c r="L226" i="5" s="1"/>
  <c r="Y227" i="1"/>
  <c r="L227" i="5" s="1"/>
  <c r="Y228" i="1"/>
  <c r="L228" i="5" s="1"/>
  <c r="Y229" i="1"/>
  <c r="L229" i="5" s="1"/>
  <c r="Y230" i="1"/>
  <c r="L230" i="5" s="1"/>
  <c r="Y231" i="1"/>
  <c r="L231" i="5" s="1"/>
  <c r="Y232" i="1"/>
  <c r="L232" i="5" s="1"/>
  <c r="Y233" i="1"/>
  <c r="L233" i="5" s="1"/>
  <c r="Y234" i="1"/>
  <c r="L234" i="5" s="1"/>
  <c r="Y235" i="1"/>
  <c r="L235" i="5" s="1"/>
  <c r="Y236" i="1"/>
  <c r="L236" i="5" s="1"/>
  <c r="Y237" i="1"/>
  <c r="L237" i="5" s="1"/>
  <c r="Y238" i="1"/>
  <c r="L238" i="5" s="1"/>
  <c r="Y239" i="1"/>
  <c r="L239" i="5" s="1"/>
  <c r="Y240" i="1"/>
  <c r="L240" i="5" s="1"/>
  <c r="Y241" i="1"/>
  <c r="L241" i="5" s="1"/>
  <c r="Y242" i="1"/>
  <c r="L242" i="5" s="1"/>
  <c r="Y243" i="1"/>
  <c r="L243" i="5" s="1"/>
  <c r="Y244" i="1"/>
  <c r="L244" i="5" s="1"/>
  <c r="Y245" i="1"/>
  <c r="L245" i="5" s="1"/>
  <c r="Y246" i="1"/>
  <c r="L246" i="5" s="1"/>
  <c r="Y247" i="1"/>
  <c r="L247" i="5" s="1"/>
  <c r="Y248" i="1"/>
  <c r="L248" i="5" s="1"/>
  <c r="Y249" i="1"/>
  <c r="L249" i="5" s="1"/>
  <c r="Y250" i="1"/>
  <c r="L250" i="5" s="1"/>
  <c r="Y251" i="1"/>
  <c r="L251" i="5" s="1"/>
  <c r="Y252" i="1"/>
  <c r="L252" i="5" s="1"/>
  <c r="Y253" i="1"/>
  <c r="L253" i="5" s="1"/>
  <c r="Y254" i="1"/>
  <c r="L254" i="5" s="1"/>
  <c r="Y255" i="1"/>
  <c r="L255" i="5" s="1"/>
  <c r="Y256" i="1"/>
  <c r="L256" i="5" s="1"/>
  <c r="Y257" i="1"/>
  <c r="L257" i="5" s="1"/>
  <c r="Y258" i="1"/>
  <c r="L258" i="5" s="1"/>
  <c r="Y259" i="1"/>
  <c r="L259" i="5" s="1"/>
  <c r="Y260" i="1"/>
  <c r="L260" i="5" s="1"/>
  <c r="Y261" i="1"/>
  <c r="L261" i="5" s="1"/>
  <c r="Y262" i="1"/>
  <c r="L262" i="5" s="1"/>
  <c r="Y263" i="1"/>
  <c r="L263" i="5" s="1"/>
  <c r="Y264" i="1"/>
  <c r="L264" i="5" s="1"/>
  <c r="Y265" i="1"/>
  <c r="L265" i="5" s="1"/>
  <c r="Y266" i="1"/>
  <c r="L266" i="5" s="1"/>
  <c r="Y267" i="1"/>
  <c r="L267" i="5" s="1"/>
  <c r="Y268" i="1"/>
  <c r="L268" i="5" s="1"/>
  <c r="Y269" i="1"/>
  <c r="L269" i="5" s="1"/>
  <c r="Y270" i="1"/>
  <c r="L270" i="5" s="1"/>
  <c r="Y271" i="1"/>
  <c r="L271" i="5" s="1"/>
  <c r="Y272" i="1"/>
  <c r="L272" i="5" s="1"/>
  <c r="Y273" i="1"/>
  <c r="L273" i="5" s="1"/>
  <c r="Y274" i="1"/>
  <c r="L274" i="5" s="1"/>
  <c r="Y275" i="1"/>
  <c r="L275" i="5" s="1"/>
  <c r="Y276" i="1"/>
  <c r="L276" i="5" s="1"/>
  <c r="Y277" i="1"/>
  <c r="L277" i="5" s="1"/>
  <c r="Y278" i="1"/>
  <c r="L278" i="5" s="1"/>
  <c r="Y279" i="1"/>
  <c r="L279" i="5" s="1"/>
  <c r="Y280" i="1"/>
  <c r="L280" i="5" s="1"/>
  <c r="Y281" i="1"/>
  <c r="L281" i="5" s="1"/>
  <c r="Y282" i="1"/>
  <c r="L282" i="5" s="1"/>
  <c r="Y283" i="1"/>
  <c r="L283" i="5" s="1"/>
  <c r="Y284" i="1"/>
  <c r="L284" i="5" s="1"/>
  <c r="Y285" i="1"/>
  <c r="L285" i="5" s="1"/>
  <c r="Y286" i="1"/>
  <c r="L286" i="5" s="1"/>
  <c r="Y287" i="1"/>
  <c r="L287" i="5" s="1"/>
  <c r="Y288" i="1"/>
  <c r="L288" i="5" s="1"/>
  <c r="Y289" i="1"/>
  <c r="L289" i="5" s="1"/>
  <c r="Y290" i="1"/>
  <c r="L290" i="5" s="1"/>
  <c r="Y291" i="1"/>
  <c r="L291" i="5" s="1"/>
  <c r="Y292" i="1"/>
  <c r="L292" i="5" s="1"/>
  <c r="Y293" i="1"/>
  <c r="L293" i="5" s="1"/>
  <c r="Y294" i="1"/>
  <c r="L294" i="5" s="1"/>
  <c r="Y295" i="1"/>
  <c r="L295" i="5" s="1"/>
  <c r="Y296" i="1"/>
  <c r="L296" i="5" s="1"/>
  <c r="Y297" i="1"/>
  <c r="L297" i="5" s="1"/>
  <c r="Y298" i="1"/>
  <c r="L298" i="5" s="1"/>
  <c r="Y299" i="1"/>
  <c r="L299" i="5" s="1"/>
  <c r="Y300" i="1"/>
  <c r="L300" i="5" s="1"/>
  <c r="Y301" i="1"/>
  <c r="L301" i="5" s="1"/>
  <c r="Y302" i="1"/>
  <c r="L302" i="5" s="1"/>
  <c r="Y303" i="1"/>
  <c r="L303" i="5" s="1"/>
  <c r="Y304" i="1"/>
  <c r="L304" i="5" s="1"/>
  <c r="Y305" i="1"/>
  <c r="L305" i="5" s="1"/>
  <c r="Y306" i="1"/>
  <c r="L306" i="5" s="1"/>
  <c r="Y307" i="1"/>
  <c r="L307" i="5" s="1"/>
  <c r="Y308" i="1"/>
  <c r="L308" i="5" s="1"/>
  <c r="Y309" i="1"/>
  <c r="L309" i="5" s="1"/>
  <c r="Y310" i="1"/>
  <c r="L310" i="5" s="1"/>
  <c r="Y311" i="1"/>
  <c r="L311" i="5" s="1"/>
  <c r="Y312" i="1"/>
  <c r="L312" i="5" s="1"/>
  <c r="Y313" i="1"/>
  <c r="L313" i="5" s="1"/>
  <c r="Y314" i="1"/>
  <c r="L314" i="5" s="1"/>
  <c r="Y315" i="1"/>
  <c r="L315" i="5" s="1"/>
  <c r="Y316" i="1"/>
  <c r="L316" i="5" s="1"/>
  <c r="Y317" i="1"/>
  <c r="L317" i="5" s="1"/>
  <c r="Y318" i="1"/>
  <c r="L318" i="5" s="1"/>
  <c r="Y319" i="1"/>
  <c r="L319" i="5" s="1"/>
  <c r="Y320" i="1"/>
  <c r="L320" i="5" s="1"/>
  <c r="Y321" i="1"/>
  <c r="L321" i="5" s="1"/>
  <c r="Y322" i="1"/>
  <c r="L322" i="5" s="1"/>
  <c r="Y323" i="1"/>
  <c r="L323" i="5" s="1"/>
  <c r="Y324" i="1"/>
  <c r="L324" i="5" s="1"/>
  <c r="Y325" i="1"/>
  <c r="L325" i="5" s="1"/>
  <c r="Y326" i="1"/>
  <c r="L326" i="5" s="1"/>
  <c r="Y327" i="1"/>
  <c r="L327" i="5" s="1"/>
  <c r="Y328" i="1"/>
  <c r="L328" i="5" s="1"/>
  <c r="Y329" i="1"/>
  <c r="L329" i="5" s="1"/>
  <c r="Y330" i="1"/>
  <c r="L330" i="5" s="1"/>
  <c r="Y331" i="1"/>
  <c r="L331" i="5" s="1"/>
  <c r="Y332" i="1"/>
  <c r="L332" i="5" s="1"/>
  <c r="Y333" i="1"/>
  <c r="L333" i="5" s="1"/>
  <c r="Y334" i="1"/>
  <c r="L334" i="5" s="1"/>
  <c r="Y335" i="1"/>
  <c r="L335" i="5" s="1"/>
  <c r="Y336" i="1"/>
  <c r="L336" i="5" s="1"/>
  <c r="Y337" i="1"/>
  <c r="L337" i="5" s="1"/>
  <c r="Y338" i="1"/>
  <c r="L338" i="5" s="1"/>
  <c r="Y339" i="1"/>
  <c r="L339" i="5" s="1"/>
  <c r="Y340" i="1"/>
  <c r="L340" i="5" s="1"/>
  <c r="Y341" i="1"/>
  <c r="L341" i="5" s="1"/>
  <c r="Y342" i="1"/>
  <c r="L342" i="5" s="1"/>
  <c r="Y343" i="1"/>
  <c r="L343" i="5" s="1"/>
  <c r="Y344" i="1"/>
  <c r="L344" i="5" s="1"/>
  <c r="Y345" i="1"/>
  <c r="L345" i="5" s="1"/>
  <c r="Y346" i="1"/>
  <c r="L346" i="5" s="1"/>
  <c r="Y347" i="1"/>
  <c r="L347" i="5" s="1"/>
  <c r="Y348" i="1"/>
  <c r="L348" i="5" s="1"/>
  <c r="Y349" i="1"/>
  <c r="L349" i="5" s="1"/>
  <c r="Y350" i="1"/>
  <c r="L350" i="5" s="1"/>
  <c r="Y351" i="1"/>
  <c r="L351" i="5" s="1"/>
  <c r="Y352" i="1"/>
  <c r="L352" i="5" s="1"/>
  <c r="Y353" i="1"/>
  <c r="L353" i="5" s="1"/>
  <c r="Y354" i="1"/>
  <c r="L354" i="5" s="1"/>
  <c r="Y355" i="1"/>
  <c r="L355" i="5" s="1"/>
  <c r="Y356" i="1"/>
  <c r="L356" i="5" s="1"/>
  <c r="Y357" i="1"/>
  <c r="L357" i="5" s="1"/>
  <c r="Y358" i="1"/>
  <c r="L358" i="5" s="1"/>
  <c r="Y359" i="1"/>
  <c r="L359" i="5" s="1"/>
  <c r="Y360" i="1"/>
  <c r="L360" i="5" s="1"/>
  <c r="Y361" i="1"/>
  <c r="L361" i="5" s="1"/>
  <c r="Y362" i="1"/>
  <c r="L362" i="5" s="1"/>
  <c r="Y363" i="1"/>
  <c r="L363" i="5" s="1"/>
  <c r="Y364" i="1"/>
  <c r="L364" i="5" s="1"/>
  <c r="Y365" i="1"/>
  <c r="L365" i="5" s="1"/>
  <c r="Y366" i="1"/>
  <c r="L366" i="5" s="1"/>
  <c r="Y367" i="1"/>
  <c r="L367" i="5" s="1"/>
  <c r="Y368" i="1"/>
  <c r="L368" i="5" s="1"/>
  <c r="Y369" i="1"/>
  <c r="L369" i="5" s="1"/>
  <c r="Y370" i="1"/>
  <c r="L370" i="5" s="1"/>
  <c r="Y371" i="1"/>
  <c r="L371" i="5" s="1"/>
  <c r="Y372" i="1"/>
  <c r="L372" i="5" s="1"/>
  <c r="Y373" i="1"/>
  <c r="L373" i="5" s="1"/>
  <c r="Y374" i="1"/>
  <c r="L374" i="5" s="1"/>
  <c r="Y375" i="1"/>
  <c r="L375" i="5" s="1"/>
  <c r="Y376" i="1"/>
  <c r="L376" i="5" s="1"/>
  <c r="Y377" i="1"/>
  <c r="L377" i="5" s="1"/>
  <c r="Y378" i="1"/>
  <c r="L378" i="5" s="1"/>
  <c r="Y379" i="1"/>
  <c r="L379" i="5" s="1"/>
  <c r="Y380" i="1"/>
  <c r="L380" i="5" s="1"/>
  <c r="Y381" i="1"/>
  <c r="L381" i="5" s="1"/>
  <c r="Y382" i="1"/>
  <c r="L382" i="5" s="1"/>
  <c r="Y383" i="1"/>
  <c r="L383" i="5" s="1"/>
  <c r="Y384" i="1"/>
  <c r="L384" i="5" s="1"/>
  <c r="Y385" i="1"/>
  <c r="L385" i="5" s="1"/>
  <c r="Y386" i="1"/>
  <c r="L386" i="5" s="1"/>
  <c r="Y387" i="1"/>
  <c r="L387" i="5" s="1"/>
  <c r="Y388" i="1"/>
  <c r="L388" i="5" s="1"/>
  <c r="Y389" i="1"/>
  <c r="L389" i="5" s="1"/>
  <c r="Y390" i="1"/>
  <c r="L390" i="5" s="1"/>
  <c r="Y391" i="1"/>
  <c r="L391" i="5" s="1"/>
  <c r="Y392" i="1"/>
  <c r="L392" i="5" s="1"/>
  <c r="Y393" i="1"/>
  <c r="L393" i="5" s="1"/>
  <c r="Y394" i="1"/>
  <c r="L394" i="5" s="1"/>
  <c r="Y395" i="1"/>
  <c r="L395" i="5" s="1"/>
  <c r="Y396" i="1"/>
  <c r="L396" i="5" s="1"/>
  <c r="Y397" i="1"/>
  <c r="L397" i="5" s="1"/>
  <c r="Y398" i="1"/>
  <c r="L398" i="5" s="1"/>
  <c r="Y399" i="1"/>
  <c r="L399" i="5" s="1"/>
  <c r="Y400" i="1"/>
  <c r="L400" i="5" s="1"/>
  <c r="Y401" i="1"/>
  <c r="L401" i="5" s="1"/>
  <c r="Y402" i="1"/>
  <c r="L402" i="5" s="1"/>
  <c r="Y403" i="1"/>
  <c r="L403" i="5" s="1"/>
  <c r="Y404" i="1"/>
  <c r="L404" i="5" s="1"/>
  <c r="Y405" i="1"/>
  <c r="L405" i="5" s="1"/>
  <c r="Y406" i="1"/>
  <c r="L406" i="5" s="1"/>
  <c r="Y407" i="1"/>
  <c r="L407" i="5" s="1"/>
  <c r="Y408" i="1"/>
  <c r="L408" i="5" s="1"/>
  <c r="Y409" i="1"/>
  <c r="L409" i="5" s="1"/>
  <c r="Y410" i="1"/>
  <c r="L410" i="5" s="1"/>
  <c r="Y411" i="1"/>
  <c r="L411" i="5" s="1"/>
  <c r="Y412" i="1"/>
  <c r="L412" i="5" s="1"/>
  <c r="Y413" i="1"/>
  <c r="L413" i="5" s="1"/>
  <c r="Y414" i="1"/>
  <c r="L414" i="5" s="1"/>
  <c r="Y415" i="1"/>
  <c r="L415" i="5" s="1"/>
  <c r="Y416" i="1"/>
  <c r="L416" i="5" s="1"/>
  <c r="Y417" i="1"/>
  <c r="L417" i="5" s="1"/>
  <c r="Y418" i="1"/>
  <c r="L418" i="5" s="1"/>
  <c r="Y419" i="1"/>
  <c r="L419" i="5" s="1"/>
  <c r="Y420" i="1"/>
  <c r="L420" i="5" s="1"/>
  <c r="Y421" i="1"/>
  <c r="L421" i="5" s="1"/>
  <c r="Y422" i="1"/>
  <c r="L422" i="5" s="1"/>
  <c r="Y423" i="1"/>
  <c r="L423" i="5" s="1"/>
  <c r="Y424" i="1"/>
  <c r="L424" i="5" s="1"/>
  <c r="Y425" i="1"/>
  <c r="L425" i="5" s="1"/>
  <c r="Y426" i="1"/>
  <c r="L426" i="5" s="1"/>
  <c r="Y427" i="1"/>
  <c r="L427" i="5" s="1"/>
  <c r="Y428" i="1"/>
  <c r="L428" i="5" s="1"/>
  <c r="Y429" i="1"/>
  <c r="L429" i="5" s="1"/>
  <c r="Y430" i="1"/>
  <c r="L430" i="5" s="1"/>
  <c r="Y431" i="1"/>
  <c r="L431" i="5" s="1"/>
  <c r="Y432" i="1"/>
  <c r="L432" i="5" s="1"/>
  <c r="Y433" i="1"/>
  <c r="L433" i="5" s="1"/>
  <c r="Y434" i="1"/>
  <c r="L434" i="5" s="1"/>
  <c r="Y435" i="1"/>
  <c r="L435" i="5" s="1"/>
  <c r="Y436" i="1"/>
  <c r="L436" i="5" s="1"/>
  <c r="Y437" i="1"/>
  <c r="L437" i="5" s="1"/>
  <c r="Y438" i="1"/>
  <c r="L438" i="5" s="1"/>
  <c r="Y439" i="1"/>
  <c r="L439" i="5" s="1"/>
  <c r="Y440" i="1"/>
  <c r="L440" i="5" s="1"/>
  <c r="Y441" i="1"/>
  <c r="L441" i="5" s="1"/>
  <c r="Y442" i="1"/>
  <c r="L442" i="5" s="1"/>
  <c r="Y443" i="1"/>
  <c r="L443" i="5" s="1"/>
  <c r="Y444" i="1"/>
  <c r="L444" i="5" s="1"/>
  <c r="Y445" i="1"/>
  <c r="L445" i="5" s="1"/>
  <c r="Y446" i="1"/>
  <c r="L446" i="5" s="1"/>
  <c r="Y447" i="1"/>
  <c r="L447" i="5" s="1"/>
  <c r="Y448" i="1"/>
  <c r="L448" i="5" s="1"/>
  <c r="Y449" i="1"/>
  <c r="L449" i="5" s="1"/>
  <c r="Y450" i="1"/>
  <c r="L450" i="5" s="1"/>
  <c r="Y451" i="1"/>
  <c r="L451" i="5" s="1"/>
  <c r="Y452" i="1"/>
  <c r="L452" i="5" s="1"/>
  <c r="Y453" i="1"/>
  <c r="L453" i="5" s="1"/>
  <c r="Y454" i="1"/>
  <c r="L454" i="5" s="1"/>
  <c r="Y455" i="1"/>
  <c r="L455" i="5" s="1"/>
  <c r="Y456" i="1"/>
  <c r="L456" i="5" s="1"/>
  <c r="Y457" i="1"/>
  <c r="L457" i="5" s="1"/>
  <c r="Y458" i="1"/>
  <c r="L458" i="5" s="1"/>
  <c r="Y459" i="1"/>
  <c r="L459" i="5" s="1"/>
  <c r="Y460" i="1"/>
  <c r="L460" i="5" s="1"/>
  <c r="Y461" i="1"/>
  <c r="L461" i="5" s="1"/>
  <c r="Y462" i="1"/>
  <c r="L462" i="5" s="1"/>
  <c r="Y463" i="1"/>
  <c r="L463" i="5" s="1"/>
  <c r="Y464" i="1"/>
  <c r="L464" i="5" s="1"/>
  <c r="Y465" i="1"/>
  <c r="L465" i="5" s="1"/>
  <c r="Y466" i="1"/>
  <c r="L466" i="5" s="1"/>
  <c r="Y467" i="1"/>
  <c r="L467" i="5" s="1"/>
  <c r="Y468" i="1"/>
  <c r="L468" i="5" s="1"/>
  <c r="Y469" i="1"/>
  <c r="L469" i="5" s="1"/>
  <c r="Y470" i="1"/>
  <c r="L470" i="5" s="1"/>
  <c r="Y471" i="1"/>
  <c r="L471" i="5" s="1"/>
  <c r="Y472" i="1"/>
  <c r="L472" i="5" s="1"/>
  <c r="Y473" i="1"/>
  <c r="L473" i="5" s="1"/>
  <c r="Y474" i="1"/>
  <c r="L474" i="5" s="1"/>
  <c r="Y475" i="1"/>
  <c r="L475" i="5" s="1"/>
  <c r="Y476" i="1"/>
  <c r="L476" i="5" s="1"/>
  <c r="Y477" i="1"/>
  <c r="L477" i="5" s="1"/>
  <c r="Y478" i="1"/>
  <c r="L478" i="5" s="1"/>
  <c r="Y479" i="1"/>
  <c r="L479" i="5" s="1"/>
  <c r="Y480" i="1"/>
  <c r="L480" i="5" s="1"/>
  <c r="Y481" i="1"/>
  <c r="L481" i="5" s="1"/>
  <c r="Y482" i="1"/>
  <c r="L482" i="5" s="1"/>
  <c r="Y483" i="1"/>
  <c r="L483" i="5" s="1"/>
  <c r="Y484" i="1"/>
  <c r="L484" i="5" s="1"/>
  <c r="Y485" i="1"/>
  <c r="L485" i="5" s="1"/>
  <c r="Y486" i="1"/>
  <c r="L486" i="5" s="1"/>
  <c r="Y487" i="1"/>
  <c r="L487" i="5" s="1"/>
  <c r="Y488" i="1"/>
  <c r="L488" i="5" s="1"/>
  <c r="Y489" i="1"/>
  <c r="L489" i="5" s="1"/>
  <c r="Y490" i="1"/>
  <c r="L490" i="5" s="1"/>
  <c r="Y491" i="1"/>
  <c r="L491" i="5" s="1"/>
  <c r="Y492" i="1"/>
  <c r="L492" i="5" s="1"/>
  <c r="Y493" i="1"/>
  <c r="L493" i="5" s="1"/>
  <c r="Y494" i="1"/>
  <c r="L494" i="5" s="1"/>
  <c r="Y495" i="1"/>
  <c r="L495" i="5" s="1"/>
  <c r="Y496" i="1"/>
  <c r="L496" i="5" s="1"/>
  <c r="Y497" i="1"/>
  <c r="L497" i="5" s="1"/>
  <c r="Y498" i="1"/>
  <c r="L498" i="5" s="1"/>
  <c r="Y499" i="1"/>
  <c r="L499" i="5" s="1"/>
  <c r="Y500" i="1"/>
  <c r="L500" i="5" s="1"/>
  <c r="Y501" i="1"/>
  <c r="L501" i="5" s="1"/>
  <c r="Y502" i="1"/>
  <c r="L502" i="5" s="1"/>
  <c r="Y503" i="1"/>
  <c r="L503" i="5" s="1"/>
  <c r="Y504" i="1"/>
  <c r="L504" i="5" s="1"/>
  <c r="Y505" i="1"/>
  <c r="L505" i="5" s="1"/>
  <c r="Y506" i="1"/>
  <c r="L506" i="5" s="1"/>
  <c r="Y507" i="1"/>
  <c r="L507" i="5" s="1"/>
  <c r="Y508" i="1"/>
  <c r="L508" i="5" s="1"/>
  <c r="Y509" i="1"/>
  <c r="L509" i="5" s="1"/>
  <c r="Y510" i="1"/>
  <c r="L510" i="5" s="1"/>
  <c r="Y511" i="1"/>
  <c r="L511" i="5" s="1"/>
  <c r="Y512" i="1"/>
  <c r="L512" i="5" s="1"/>
  <c r="Y513" i="1"/>
  <c r="L513" i="5" s="1"/>
  <c r="Y514" i="1"/>
  <c r="L514" i="5" s="1"/>
  <c r="Y515" i="1"/>
  <c r="L515" i="5" s="1"/>
  <c r="Y516" i="1"/>
  <c r="L516" i="5" s="1"/>
  <c r="Y517" i="1"/>
  <c r="L517" i="5" s="1"/>
  <c r="Y518" i="1"/>
  <c r="L518" i="5" s="1"/>
  <c r="Y519" i="1"/>
  <c r="L519" i="5" s="1"/>
  <c r="Y520" i="1"/>
  <c r="L520" i="5" s="1"/>
  <c r="Y521" i="1"/>
  <c r="L521" i="5" s="1"/>
  <c r="Y522" i="1"/>
  <c r="L522" i="5" s="1"/>
  <c r="Y523" i="1"/>
  <c r="L523" i="5" s="1"/>
  <c r="Y524" i="1"/>
  <c r="L524" i="5" s="1"/>
  <c r="Y525" i="1"/>
  <c r="L525" i="5" s="1"/>
  <c r="Y526" i="1"/>
  <c r="L526" i="5" s="1"/>
  <c r="Y527" i="1"/>
  <c r="L527" i="5" s="1"/>
  <c r="Y528" i="1"/>
  <c r="L528" i="5" s="1"/>
  <c r="Y529" i="1"/>
  <c r="L529" i="5" s="1"/>
  <c r="Y530" i="1"/>
  <c r="L530" i="5" s="1"/>
  <c r="Y531" i="1"/>
  <c r="L531" i="5" s="1"/>
  <c r="Y532" i="1"/>
  <c r="L532" i="5" s="1"/>
  <c r="Y533" i="1"/>
  <c r="L533" i="5" s="1"/>
  <c r="Y534" i="1"/>
  <c r="L534" i="5" s="1"/>
  <c r="Y535" i="1"/>
  <c r="L535" i="5" s="1"/>
  <c r="Y536" i="1"/>
  <c r="L536" i="5" s="1"/>
  <c r="Y537" i="1"/>
  <c r="L537" i="5" s="1"/>
  <c r="Y538" i="1"/>
  <c r="L538" i="5" s="1"/>
  <c r="Y539" i="1"/>
  <c r="L539" i="5" s="1"/>
  <c r="Y540" i="1"/>
  <c r="L540" i="5" s="1"/>
  <c r="Y541" i="1"/>
  <c r="L541" i="5" s="1"/>
  <c r="Y542" i="1"/>
  <c r="L542" i="5" s="1"/>
  <c r="Y543" i="1"/>
  <c r="L543" i="5" s="1"/>
  <c r="Y544" i="1"/>
  <c r="L544" i="5" s="1"/>
  <c r="Y545" i="1"/>
  <c r="L545" i="5" s="1"/>
  <c r="Y546" i="1"/>
  <c r="L546" i="5" s="1"/>
  <c r="Y547" i="1"/>
  <c r="L547" i="5" s="1"/>
  <c r="Y548" i="1"/>
  <c r="L548" i="5" s="1"/>
  <c r="Y549" i="1"/>
  <c r="L549" i="5" s="1"/>
  <c r="Y550" i="1"/>
  <c r="L550" i="5" s="1"/>
  <c r="Y551" i="1"/>
  <c r="L551" i="5" s="1"/>
  <c r="Y552" i="1"/>
  <c r="L552" i="5" s="1"/>
  <c r="Y553" i="1"/>
  <c r="L553" i="5" s="1"/>
  <c r="Y554" i="1"/>
  <c r="L554" i="5" s="1"/>
  <c r="Y555" i="1"/>
  <c r="L555" i="5" s="1"/>
  <c r="Y556" i="1"/>
  <c r="L556" i="5" s="1"/>
  <c r="Y557" i="1"/>
  <c r="L557" i="5" s="1"/>
  <c r="Y558" i="1"/>
  <c r="L558" i="5" s="1"/>
  <c r="Y559" i="1"/>
  <c r="L559" i="5" s="1"/>
  <c r="Y560" i="1"/>
  <c r="L560" i="5" s="1"/>
  <c r="Y561" i="1"/>
  <c r="L561" i="5" s="1"/>
  <c r="Y562" i="1"/>
  <c r="L562" i="5" s="1"/>
  <c r="Y563" i="1"/>
  <c r="L563" i="5" s="1"/>
  <c r="Y564" i="1"/>
  <c r="L564" i="5" s="1"/>
  <c r="Y565" i="1"/>
  <c r="L565" i="5" s="1"/>
  <c r="Y566" i="1"/>
  <c r="L566" i="5" s="1"/>
  <c r="Y567" i="1"/>
  <c r="L567" i="5" s="1"/>
  <c r="Y568" i="1"/>
  <c r="L568" i="5" s="1"/>
  <c r="Y569" i="1"/>
  <c r="L569" i="5" s="1"/>
  <c r="Y570" i="1"/>
  <c r="L570" i="5" s="1"/>
  <c r="Y571" i="1"/>
  <c r="L571" i="5" s="1"/>
  <c r="Y572" i="1"/>
  <c r="L572" i="5" s="1"/>
  <c r="Y573" i="1"/>
  <c r="L573" i="5" s="1"/>
  <c r="Y574" i="1"/>
  <c r="L574" i="5" s="1"/>
  <c r="Y575" i="1"/>
  <c r="L575" i="5" s="1"/>
  <c r="Y576" i="1"/>
  <c r="L576" i="5" s="1"/>
  <c r="Y577" i="1"/>
  <c r="L577" i="5" s="1"/>
  <c r="Y578" i="1"/>
  <c r="L578" i="5" s="1"/>
  <c r="Y579" i="1"/>
  <c r="L579" i="5" s="1"/>
  <c r="Y580" i="1"/>
  <c r="L580" i="5" s="1"/>
  <c r="Y581" i="1"/>
  <c r="L581" i="5" s="1"/>
  <c r="Y582" i="1"/>
  <c r="L582" i="5" s="1"/>
  <c r="Y583" i="1"/>
  <c r="L583" i="5" s="1"/>
  <c r="Y584" i="1"/>
  <c r="L584" i="5" s="1"/>
  <c r="Y585" i="1"/>
  <c r="L585" i="5" s="1"/>
  <c r="Y586" i="1"/>
  <c r="L586" i="5" s="1"/>
  <c r="Y587" i="1"/>
  <c r="L587" i="5" s="1"/>
  <c r="Y588" i="1"/>
  <c r="L588" i="5" s="1"/>
  <c r="Y589" i="1"/>
  <c r="L589" i="5" s="1"/>
  <c r="Y590" i="1"/>
  <c r="L590" i="5" s="1"/>
  <c r="Y591" i="1"/>
  <c r="L591" i="5" s="1"/>
  <c r="Y592" i="1"/>
  <c r="L592" i="5" s="1"/>
  <c r="Y593" i="1"/>
  <c r="L593" i="5" s="1"/>
  <c r="Y594" i="1"/>
  <c r="L594" i="5" s="1"/>
  <c r="Y595" i="1"/>
  <c r="L595" i="5" s="1"/>
  <c r="Y596" i="1"/>
  <c r="L596" i="5" s="1"/>
  <c r="Y597" i="1"/>
  <c r="L597" i="5" s="1"/>
  <c r="Y598" i="1"/>
  <c r="L598" i="5" s="1"/>
  <c r="Y599" i="1"/>
  <c r="L599" i="5" s="1"/>
  <c r="Y600" i="1"/>
  <c r="L600" i="5" s="1"/>
  <c r="Y601" i="1"/>
  <c r="L601" i="5" s="1"/>
  <c r="Y602" i="1"/>
  <c r="L602" i="5" s="1"/>
  <c r="Y603" i="1"/>
  <c r="L603" i="5" s="1"/>
  <c r="Y604" i="1"/>
  <c r="L604" i="5" s="1"/>
  <c r="Y605" i="1"/>
  <c r="L605" i="5" s="1"/>
  <c r="Y606" i="1"/>
  <c r="L606" i="5" s="1"/>
  <c r="Y607" i="1"/>
  <c r="L607" i="5" s="1"/>
  <c r="Y608" i="1"/>
  <c r="L608" i="5" s="1"/>
  <c r="Y609" i="1"/>
  <c r="L609" i="5" s="1"/>
  <c r="Y610" i="1"/>
  <c r="L610" i="5" s="1"/>
  <c r="Y611" i="1"/>
  <c r="L611" i="5" s="1"/>
  <c r="Y612" i="1"/>
  <c r="L612" i="5" s="1"/>
  <c r="Y613" i="1"/>
  <c r="L613" i="5" s="1"/>
  <c r="Y614" i="1"/>
  <c r="L614" i="5" s="1"/>
  <c r="Y615" i="1"/>
  <c r="L615" i="5" s="1"/>
  <c r="Y616" i="1"/>
  <c r="L616" i="5" s="1"/>
  <c r="Y617" i="1"/>
  <c r="L617" i="5" s="1"/>
  <c r="Y618" i="1"/>
  <c r="L618" i="5" s="1"/>
  <c r="Y619" i="1"/>
  <c r="L619" i="5" s="1"/>
  <c r="Y620" i="1"/>
  <c r="L620" i="5" s="1"/>
  <c r="Y621" i="1"/>
  <c r="L621" i="5" s="1"/>
  <c r="Y622" i="1"/>
  <c r="L622" i="5" s="1"/>
  <c r="Y623" i="1"/>
  <c r="L623" i="5" s="1"/>
  <c r="Y624" i="1"/>
  <c r="L624" i="5" s="1"/>
  <c r="Y625" i="1"/>
  <c r="L625" i="5" s="1"/>
  <c r="Y626" i="1"/>
  <c r="L626" i="5" s="1"/>
  <c r="Y627" i="1"/>
  <c r="L627" i="5" s="1"/>
  <c r="Y628" i="1"/>
  <c r="L628" i="5" s="1"/>
  <c r="Y629" i="1"/>
  <c r="L629" i="5" s="1"/>
  <c r="Y630" i="1"/>
  <c r="L630" i="5" s="1"/>
  <c r="Y631" i="1"/>
  <c r="L631" i="5" s="1"/>
  <c r="Y632" i="1"/>
  <c r="L632" i="5" s="1"/>
  <c r="Y633" i="1"/>
  <c r="L633" i="5" s="1"/>
  <c r="Y634" i="1"/>
  <c r="L634" i="5" s="1"/>
  <c r="Y635" i="1"/>
  <c r="L635" i="5" s="1"/>
  <c r="Y636" i="1"/>
  <c r="L636" i="5" s="1"/>
  <c r="Y637" i="1"/>
  <c r="L637" i="5" s="1"/>
  <c r="Y638" i="1"/>
  <c r="L638" i="5" s="1"/>
  <c r="Y639" i="1"/>
  <c r="L639" i="5" s="1"/>
  <c r="Y640" i="1"/>
  <c r="L640" i="5" s="1"/>
  <c r="Y641" i="1"/>
  <c r="L641" i="5" s="1"/>
  <c r="Y642" i="1"/>
  <c r="L642" i="5" s="1"/>
  <c r="Y643" i="1"/>
  <c r="L643" i="5" s="1"/>
  <c r="Y644" i="1"/>
  <c r="L644" i="5" s="1"/>
  <c r="Y645" i="1"/>
  <c r="L645" i="5" s="1"/>
  <c r="Y646" i="1"/>
  <c r="L646" i="5" s="1"/>
  <c r="Y647" i="1"/>
  <c r="L647" i="5" s="1"/>
  <c r="Y648" i="1"/>
  <c r="L648" i="5" s="1"/>
  <c r="Y649" i="1"/>
  <c r="L649" i="5" s="1"/>
  <c r="Y650" i="1"/>
  <c r="L650" i="5" s="1"/>
  <c r="Y651" i="1"/>
  <c r="L651" i="5" s="1"/>
  <c r="Y652" i="1"/>
  <c r="L652" i="5" s="1"/>
  <c r="Y653" i="1"/>
  <c r="L653" i="5" s="1"/>
  <c r="Y654" i="1"/>
  <c r="L654" i="5" s="1"/>
  <c r="Y655" i="1"/>
  <c r="L655" i="5" s="1"/>
  <c r="Y656" i="1"/>
  <c r="L656" i="5" s="1"/>
  <c r="Y657" i="1"/>
  <c r="L657" i="5" s="1"/>
  <c r="Y658" i="1"/>
  <c r="L658" i="5" s="1"/>
  <c r="Y659" i="1"/>
  <c r="L659" i="5" s="1"/>
  <c r="Y660" i="1"/>
  <c r="L660" i="5" s="1"/>
  <c r="Y661" i="1"/>
  <c r="L661" i="5" s="1"/>
  <c r="Y662" i="1"/>
  <c r="L662" i="5" s="1"/>
  <c r="Y663" i="1"/>
  <c r="L663" i="5" s="1"/>
  <c r="Y664" i="1"/>
  <c r="L664" i="5" s="1"/>
  <c r="Y665" i="1"/>
  <c r="L665" i="5" s="1"/>
  <c r="Y666" i="1"/>
  <c r="L666" i="5" s="1"/>
  <c r="Y667" i="1"/>
  <c r="L667" i="5" s="1"/>
  <c r="Y668" i="1"/>
  <c r="L668" i="5" s="1"/>
  <c r="Y669" i="1"/>
  <c r="L669" i="5" s="1"/>
  <c r="Y670" i="1"/>
  <c r="L670" i="5" s="1"/>
  <c r="Y671" i="1"/>
  <c r="L671" i="5" s="1"/>
  <c r="Y672" i="1"/>
  <c r="L672" i="5" s="1"/>
  <c r="Y673" i="1"/>
  <c r="L673" i="5" s="1"/>
  <c r="Y674" i="1"/>
  <c r="L674" i="5" s="1"/>
  <c r="Y675" i="1"/>
  <c r="L675" i="5" s="1"/>
  <c r="Y676" i="1"/>
  <c r="L676" i="5" s="1"/>
  <c r="Y677" i="1"/>
  <c r="L677" i="5" s="1"/>
  <c r="Y678" i="1"/>
  <c r="L678" i="5" s="1"/>
  <c r="Y679" i="1"/>
  <c r="L679" i="5" s="1"/>
  <c r="Y680" i="1"/>
  <c r="L680" i="5" s="1"/>
  <c r="Y681" i="1"/>
  <c r="L681" i="5" s="1"/>
  <c r="Y682" i="1"/>
  <c r="L682" i="5" s="1"/>
  <c r="Y683" i="1"/>
  <c r="L683" i="5" s="1"/>
  <c r="Y684" i="1"/>
  <c r="L684" i="5" s="1"/>
  <c r="Y685" i="1"/>
  <c r="L685" i="5" s="1"/>
  <c r="Y686" i="1"/>
  <c r="L686" i="5" s="1"/>
  <c r="Y687" i="1"/>
  <c r="L687" i="5" s="1"/>
  <c r="Y688" i="1"/>
  <c r="L688" i="5" s="1"/>
  <c r="Y689" i="1"/>
  <c r="L689" i="5" s="1"/>
  <c r="Y690" i="1"/>
  <c r="L690" i="5" s="1"/>
  <c r="Y691" i="1"/>
  <c r="L691" i="5" s="1"/>
  <c r="Y692" i="1"/>
  <c r="L692" i="5" s="1"/>
  <c r="Y693" i="1"/>
  <c r="L693" i="5" s="1"/>
  <c r="Y694" i="1"/>
  <c r="L694" i="5" s="1"/>
  <c r="Y695" i="1"/>
  <c r="L695" i="5" s="1"/>
  <c r="Y696" i="1"/>
  <c r="L696" i="5" s="1"/>
  <c r="Y697" i="1"/>
  <c r="L697" i="5" s="1"/>
  <c r="Y698" i="1"/>
  <c r="L698" i="5" s="1"/>
  <c r="Y699" i="1"/>
  <c r="L699" i="5" s="1"/>
  <c r="Y700" i="1"/>
  <c r="L700" i="5" s="1"/>
  <c r="Y701" i="1"/>
  <c r="L701" i="5" s="1"/>
  <c r="Y702" i="1"/>
  <c r="L702" i="5" s="1"/>
  <c r="Y703" i="1"/>
  <c r="L703" i="5" s="1"/>
  <c r="Y704" i="1"/>
  <c r="L704" i="5" s="1"/>
  <c r="Y705" i="1"/>
  <c r="L705" i="5" s="1"/>
  <c r="Y706" i="1"/>
  <c r="L706" i="5" s="1"/>
  <c r="Y707" i="1"/>
  <c r="L707" i="5" s="1"/>
  <c r="Y708" i="1"/>
  <c r="L708" i="5" s="1"/>
  <c r="Y709" i="1"/>
  <c r="L709" i="5" s="1"/>
  <c r="Y710" i="1"/>
  <c r="L710" i="5" s="1"/>
  <c r="Y711" i="1"/>
  <c r="L711" i="5" s="1"/>
  <c r="Y712" i="1"/>
  <c r="L712" i="5" s="1"/>
  <c r="Y713" i="1"/>
  <c r="L713" i="5" s="1"/>
  <c r="Y714" i="1"/>
  <c r="L714" i="5" s="1"/>
  <c r="Y715" i="1"/>
  <c r="L715" i="5" s="1"/>
  <c r="Y716" i="1"/>
  <c r="L716" i="5" s="1"/>
  <c r="Y717" i="1"/>
  <c r="L717" i="5" s="1"/>
  <c r="Y718" i="1"/>
  <c r="L718" i="5" s="1"/>
  <c r="Y719" i="1"/>
  <c r="L719" i="5" s="1"/>
  <c r="Y720" i="1"/>
  <c r="L720" i="5" s="1"/>
  <c r="Y721" i="1"/>
  <c r="L721" i="5" s="1"/>
  <c r="Y722" i="1"/>
  <c r="L722" i="5" s="1"/>
  <c r="Y723" i="1"/>
  <c r="L723" i="5" s="1"/>
  <c r="Y724" i="1"/>
  <c r="L724" i="5" s="1"/>
  <c r="Y725" i="1"/>
  <c r="L725" i="5" s="1"/>
  <c r="Y726" i="1"/>
  <c r="L726" i="5" s="1"/>
  <c r="Y727" i="1"/>
  <c r="L727" i="5" s="1"/>
  <c r="Y728" i="1"/>
  <c r="L728" i="5" s="1"/>
  <c r="Y729" i="1"/>
  <c r="L729" i="5" s="1"/>
  <c r="Y730" i="1"/>
  <c r="L730" i="5" s="1"/>
  <c r="Y731" i="1"/>
  <c r="L731" i="5" s="1"/>
  <c r="Y732" i="1"/>
  <c r="L732" i="5" s="1"/>
  <c r="Y733" i="1"/>
  <c r="L733" i="5" s="1"/>
  <c r="Y734" i="1"/>
  <c r="L734" i="5" s="1"/>
  <c r="Y735" i="1"/>
  <c r="L735" i="5" s="1"/>
  <c r="Y736" i="1"/>
  <c r="L736" i="5" s="1"/>
  <c r="Y737" i="1"/>
  <c r="L737" i="5" s="1"/>
  <c r="Y738" i="1"/>
  <c r="L738" i="5" s="1"/>
  <c r="Y739" i="1"/>
  <c r="L739" i="5" s="1"/>
  <c r="Y740" i="1"/>
  <c r="L740" i="5" s="1"/>
  <c r="Y741" i="1"/>
  <c r="L741" i="5" s="1"/>
  <c r="Y742" i="1"/>
  <c r="L742" i="5" s="1"/>
  <c r="Y743" i="1"/>
  <c r="L743" i="5" s="1"/>
  <c r="Y744" i="1"/>
  <c r="L744" i="5" s="1"/>
  <c r="Y745" i="1"/>
  <c r="L745" i="5" s="1"/>
  <c r="Y746" i="1"/>
  <c r="L746" i="5" s="1"/>
  <c r="Y747" i="1"/>
  <c r="L747" i="5" s="1"/>
  <c r="Y748" i="1"/>
  <c r="L748" i="5" s="1"/>
  <c r="Y749" i="1"/>
  <c r="L749" i="5" s="1"/>
  <c r="Y750" i="1"/>
  <c r="L750" i="5" s="1"/>
  <c r="Y751" i="1"/>
  <c r="L751" i="5" s="1"/>
  <c r="Y752" i="1"/>
  <c r="L752" i="5" s="1"/>
  <c r="Y753" i="1"/>
  <c r="L753" i="5" s="1"/>
  <c r="Y754" i="1"/>
  <c r="L754" i="5" s="1"/>
  <c r="Y755" i="1"/>
  <c r="L755" i="5" s="1"/>
  <c r="Y756" i="1"/>
  <c r="L756" i="5" s="1"/>
  <c r="Y757" i="1"/>
  <c r="L757" i="5" s="1"/>
  <c r="Y758" i="1"/>
  <c r="L758" i="5" s="1"/>
  <c r="Y759" i="1"/>
  <c r="L759" i="5" s="1"/>
  <c r="Y760" i="1"/>
  <c r="L760" i="5" s="1"/>
  <c r="Y761" i="1"/>
  <c r="L761" i="5" s="1"/>
  <c r="Y762" i="1"/>
  <c r="L762" i="5" s="1"/>
  <c r="Y763" i="1"/>
  <c r="L763" i="5" s="1"/>
  <c r="Y764" i="1"/>
  <c r="L764" i="5" s="1"/>
  <c r="Y765" i="1"/>
  <c r="L765" i="5" s="1"/>
  <c r="Y766" i="1"/>
  <c r="L766" i="5" s="1"/>
  <c r="Y767" i="1"/>
  <c r="L767" i="5" s="1"/>
  <c r="Y768" i="1"/>
  <c r="L768" i="5" s="1"/>
  <c r="Y769" i="1"/>
  <c r="L769" i="5" s="1"/>
  <c r="Y770" i="1"/>
  <c r="L770" i="5" s="1"/>
  <c r="Y771" i="1"/>
  <c r="L771" i="5" s="1"/>
  <c r="Y772" i="1"/>
  <c r="L772" i="5" s="1"/>
  <c r="Y773" i="1"/>
  <c r="L773" i="5" s="1"/>
  <c r="Y774" i="1"/>
  <c r="L774" i="5" s="1"/>
  <c r="Y775" i="1"/>
  <c r="L775" i="5" s="1"/>
  <c r="Y776" i="1"/>
  <c r="L776" i="5" s="1"/>
  <c r="Y777" i="1"/>
  <c r="L777" i="5" s="1"/>
  <c r="Y778" i="1"/>
  <c r="L778" i="5" s="1"/>
  <c r="Y779" i="1"/>
  <c r="L779" i="5" s="1"/>
  <c r="Y780" i="1"/>
  <c r="L780" i="5" s="1"/>
  <c r="Y781" i="1"/>
  <c r="L781" i="5" s="1"/>
  <c r="Y782" i="1"/>
  <c r="L782" i="5" s="1"/>
  <c r="Y783" i="1"/>
  <c r="L783" i="5" s="1"/>
  <c r="Y784" i="1"/>
  <c r="L784" i="5" s="1"/>
  <c r="Y785" i="1"/>
  <c r="L785" i="5" s="1"/>
  <c r="Y786" i="1"/>
  <c r="L786" i="5" s="1"/>
  <c r="Y787" i="1"/>
  <c r="L787" i="5" s="1"/>
  <c r="Y788" i="1"/>
  <c r="L788" i="5" s="1"/>
  <c r="Y789" i="1"/>
  <c r="L789" i="5" s="1"/>
  <c r="Y790" i="1"/>
  <c r="L790" i="5" s="1"/>
  <c r="Y791" i="1"/>
  <c r="L791" i="5" s="1"/>
  <c r="Y792" i="1"/>
  <c r="L792" i="5" s="1"/>
  <c r="Y793" i="1"/>
  <c r="L793" i="5" s="1"/>
  <c r="Y794" i="1"/>
  <c r="L794" i="5" s="1"/>
  <c r="Y795" i="1"/>
  <c r="L795" i="5" s="1"/>
  <c r="Y796" i="1"/>
  <c r="L796" i="5" s="1"/>
  <c r="Y797" i="1"/>
  <c r="L797" i="5" s="1"/>
  <c r="Y798" i="1"/>
  <c r="L798" i="5" s="1"/>
  <c r="Y799" i="1"/>
  <c r="L799" i="5" s="1"/>
  <c r="Y800" i="1"/>
  <c r="L800" i="5" s="1"/>
  <c r="Y801" i="1"/>
  <c r="L801" i="5" s="1"/>
  <c r="Y802" i="1"/>
  <c r="L802" i="5" s="1"/>
  <c r="Y803" i="1"/>
  <c r="L803" i="5" s="1"/>
  <c r="Y804" i="1"/>
  <c r="L804" i="5" s="1"/>
  <c r="Y805" i="1"/>
  <c r="L805" i="5" s="1"/>
  <c r="Y806" i="1"/>
  <c r="L806" i="5" s="1"/>
  <c r="Y807" i="1"/>
  <c r="L807" i="5" s="1"/>
  <c r="Y808" i="1"/>
  <c r="L808" i="5" s="1"/>
  <c r="Y809" i="1"/>
  <c r="L809" i="5" s="1"/>
  <c r="Y810" i="1"/>
  <c r="L810" i="5" s="1"/>
  <c r="Y811" i="1"/>
  <c r="L811" i="5" s="1"/>
  <c r="Y812" i="1"/>
  <c r="L812" i="5" s="1"/>
  <c r="Y813" i="1"/>
  <c r="L813" i="5" s="1"/>
  <c r="Y814" i="1"/>
  <c r="L814" i="5" s="1"/>
  <c r="Y815" i="1"/>
  <c r="L815" i="5" s="1"/>
  <c r="Y816" i="1"/>
  <c r="L816" i="5" s="1"/>
  <c r="Y817" i="1"/>
  <c r="L817" i="5" s="1"/>
  <c r="Y818" i="1"/>
  <c r="L818" i="5" s="1"/>
  <c r="Y819" i="1"/>
  <c r="L819" i="5" s="1"/>
  <c r="Y820" i="1"/>
  <c r="L820" i="5" s="1"/>
  <c r="Y821" i="1"/>
  <c r="L821" i="5" s="1"/>
  <c r="Y822" i="1"/>
  <c r="L822" i="5" s="1"/>
  <c r="Y823" i="1"/>
  <c r="L823" i="5" s="1"/>
  <c r="Y824" i="1"/>
  <c r="L824" i="5" s="1"/>
  <c r="Y825" i="1"/>
  <c r="L825" i="5" s="1"/>
  <c r="Y826" i="1"/>
  <c r="L826" i="5" s="1"/>
  <c r="Y827" i="1"/>
  <c r="L827" i="5" s="1"/>
  <c r="Y828" i="1"/>
  <c r="L828" i="5" s="1"/>
  <c r="Y829" i="1"/>
  <c r="L829" i="5" s="1"/>
  <c r="Y830" i="1"/>
  <c r="L830" i="5" s="1"/>
  <c r="Y831" i="1"/>
  <c r="L831" i="5" s="1"/>
  <c r="Y832" i="1"/>
  <c r="L832" i="5" s="1"/>
  <c r="Y833" i="1"/>
  <c r="L833" i="5" s="1"/>
  <c r="Y834" i="1"/>
  <c r="L834" i="5" s="1"/>
  <c r="Y835" i="1"/>
  <c r="L835" i="5" s="1"/>
  <c r="Y836" i="1"/>
  <c r="L836" i="5" s="1"/>
  <c r="Y837" i="1"/>
  <c r="L837" i="5" s="1"/>
  <c r="Y838" i="1"/>
  <c r="L838" i="5" s="1"/>
  <c r="Y839" i="1"/>
  <c r="L839" i="5" s="1"/>
  <c r="Y840" i="1"/>
  <c r="L840" i="5" s="1"/>
  <c r="Y841" i="1"/>
  <c r="L841" i="5" s="1"/>
  <c r="Y842" i="1"/>
  <c r="L842" i="5" s="1"/>
  <c r="Y843" i="1"/>
  <c r="L843" i="5" s="1"/>
  <c r="Y844" i="1"/>
  <c r="L844" i="5" s="1"/>
  <c r="Y845" i="1"/>
  <c r="L845" i="5" s="1"/>
  <c r="Y846" i="1"/>
  <c r="L846" i="5" s="1"/>
  <c r="Y847" i="1"/>
  <c r="L847" i="5" s="1"/>
  <c r="Y848" i="1"/>
  <c r="L848" i="5" s="1"/>
  <c r="Y849" i="1"/>
  <c r="L849" i="5" s="1"/>
  <c r="Y850" i="1"/>
  <c r="L850" i="5" s="1"/>
  <c r="Y851" i="1"/>
  <c r="L851" i="5" s="1"/>
  <c r="Y852" i="1"/>
  <c r="L852" i="5" s="1"/>
  <c r="Y853" i="1"/>
  <c r="L853" i="5" s="1"/>
  <c r="Y854" i="1"/>
  <c r="L854" i="5" s="1"/>
  <c r="Y855" i="1"/>
  <c r="L855" i="5" s="1"/>
  <c r="Y856" i="1"/>
  <c r="L856" i="5" s="1"/>
  <c r="Y857" i="1"/>
  <c r="L857" i="5" s="1"/>
  <c r="Y858" i="1"/>
  <c r="L858" i="5" s="1"/>
  <c r="Y859" i="1"/>
  <c r="L859" i="5" s="1"/>
  <c r="Y860" i="1"/>
  <c r="L860" i="5" s="1"/>
  <c r="Y861" i="1"/>
  <c r="L861" i="5" s="1"/>
  <c r="Y862" i="1"/>
  <c r="L862" i="5" s="1"/>
  <c r="Y863" i="1"/>
  <c r="L863" i="5" s="1"/>
  <c r="Y864" i="1"/>
  <c r="L864" i="5" s="1"/>
  <c r="Y865" i="1"/>
  <c r="L865" i="5" s="1"/>
  <c r="Y866" i="1"/>
  <c r="L866" i="5" s="1"/>
  <c r="Y867" i="1"/>
  <c r="L867" i="5" s="1"/>
  <c r="Y868" i="1"/>
  <c r="L868" i="5" s="1"/>
  <c r="Y869" i="1"/>
  <c r="L869" i="5" s="1"/>
  <c r="Y870" i="1"/>
  <c r="L870" i="5" s="1"/>
  <c r="Y871" i="1"/>
  <c r="L871" i="5" s="1"/>
  <c r="Y872" i="1"/>
  <c r="L872" i="5" s="1"/>
  <c r="Y873" i="1"/>
  <c r="L873" i="5" s="1"/>
  <c r="Y874" i="1"/>
  <c r="L874" i="5" s="1"/>
  <c r="Y875" i="1"/>
  <c r="L875" i="5" s="1"/>
  <c r="Y876" i="1"/>
  <c r="L876" i="5" s="1"/>
  <c r="Y877" i="1"/>
  <c r="L877" i="5" s="1"/>
  <c r="Y878" i="1"/>
  <c r="L878" i="5" s="1"/>
  <c r="Y879" i="1"/>
  <c r="L879" i="5" s="1"/>
  <c r="Y880" i="1"/>
  <c r="L880" i="5" s="1"/>
  <c r="Y881" i="1"/>
  <c r="L881" i="5" s="1"/>
  <c r="Y882" i="1"/>
  <c r="L882" i="5" s="1"/>
  <c r="Y883" i="1"/>
  <c r="L883" i="5" s="1"/>
  <c r="Y884" i="1"/>
  <c r="L884" i="5" s="1"/>
  <c r="Y885" i="1"/>
  <c r="L885" i="5" s="1"/>
  <c r="Y886" i="1"/>
  <c r="L886" i="5" s="1"/>
  <c r="Y887" i="1"/>
  <c r="L887" i="5" s="1"/>
  <c r="Y888" i="1"/>
  <c r="L888" i="5" s="1"/>
  <c r="Y889" i="1"/>
  <c r="L889" i="5" s="1"/>
  <c r="Y890" i="1"/>
  <c r="L890" i="5" s="1"/>
  <c r="Y891" i="1"/>
  <c r="L891" i="5" s="1"/>
  <c r="Y892" i="1"/>
  <c r="L892" i="5" s="1"/>
  <c r="Y893" i="1"/>
  <c r="L893" i="5" s="1"/>
  <c r="Y894" i="1"/>
  <c r="L894" i="5" s="1"/>
  <c r="Y895" i="1"/>
  <c r="L895" i="5" s="1"/>
  <c r="Y896" i="1"/>
  <c r="L896" i="5" s="1"/>
  <c r="Y897" i="1"/>
  <c r="L897" i="5" s="1"/>
  <c r="Y898" i="1"/>
  <c r="L898" i="5" s="1"/>
  <c r="Y899" i="1"/>
  <c r="L899" i="5" s="1"/>
  <c r="Y900" i="1"/>
  <c r="L900" i="5" s="1"/>
  <c r="Y901" i="1"/>
  <c r="L901" i="5" s="1"/>
  <c r="Y902" i="1"/>
  <c r="L902" i="5" s="1"/>
  <c r="Y903" i="1"/>
  <c r="L903" i="5" s="1"/>
  <c r="Y904" i="1"/>
  <c r="L904" i="5" s="1"/>
  <c r="Y905" i="1"/>
  <c r="L905" i="5" s="1"/>
  <c r="Y906" i="1"/>
  <c r="L906" i="5" s="1"/>
  <c r="Y907" i="1"/>
  <c r="L907" i="5" s="1"/>
  <c r="Y908" i="1"/>
  <c r="L908" i="5" s="1"/>
  <c r="Y909" i="1"/>
  <c r="L909" i="5" s="1"/>
  <c r="Y910" i="1"/>
  <c r="L910" i="5" s="1"/>
  <c r="Y911" i="1"/>
  <c r="L911" i="5" s="1"/>
  <c r="Y912" i="1"/>
  <c r="L912" i="5" s="1"/>
  <c r="Y913" i="1"/>
  <c r="L913" i="5" s="1"/>
  <c r="Y914" i="1"/>
  <c r="L914" i="5" s="1"/>
  <c r="Y915" i="1"/>
  <c r="L915" i="5" s="1"/>
  <c r="Y916" i="1"/>
  <c r="L916" i="5" s="1"/>
  <c r="Y917" i="1"/>
  <c r="L917" i="5" s="1"/>
  <c r="Y918" i="1"/>
  <c r="L918" i="5" s="1"/>
  <c r="Y919" i="1"/>
  <c r="L919" i="5" s="1"/>
  <c r="Y920" i="1"/>
  <c r="L920" i="5" s="1"/>
  <c r="Y921" i="1"/>
  <c r="L921" i="5" s="1"/>
  <c r="Y922" i="1"/>
  <c r="L922" i="5" s="1"/>
  <c r="Y923" i="1"/>
  <c r="L923" i="5" s="1"/>
  <c r="Y924" i="1"/>
  <c r="L924" i="5" s="1"/>
  <c r="Y925" i="1"/>
  <c r="L925" i="5" s="1"/>
  <c r="Y926" i="1"/>
  <c r="L926" i="5" s="1"/>
  <c r="Y927" i="1"/>
  <c r="L927" i="5" s="1"/>
  <c r="Y928" i="1"/>
  <c r="L928" i="5" s="1"/>
  <c r="Y929" i="1"/>
  <c r="L929" i="5" s="1"/>
  <c r="Y930" i="1"/>
  <c r="L930" i="5" s="1"/>
  <c r="Y931" i="1"/>
  <c r="L931" i="5" s="1"/>
  <c r="Y932" i="1"/>
  <c r="L932" i="5" s="1"/>
  <c r="Y933" i="1"/>
  <c r="L933" i="5" s="1"/>
  <c r="Y934" i="1"/>
  <c r="L934" i="5" s="1"/>
  <c r="Y935" i="1"/>
  <c r="L935" i="5" s="1"/>
  <c r="Y936" i="1"/>
  <c r="L936" i="5" s="1"/>
  <c r="Y937" i="1"/>
  <c r="L937" i="5" s="1"/>
  <c r="Y938" i="1"/>
  <c r="L938" i="5" s="1"/>
  <c r="Y939" i="1"/>
  <c r="L939" i="5" s="1"/>
  <c r="Y940" i="1"/>
  <c r="L940" i="5" s="1"/>
  <c r="Y941" i="1"/>
  <c r="L941" i="5" s="1"/>
  <c r="Y942" i="1"/>
  <c r="L942" i="5" s="1"/>
  <c r="Y943" i="1"/>
  <c r="L943" i="5" s="1"/>
  <c r="Y944" i="1"/>
  <c r="L944" i="5" s="1"/>
  <c r="Y945" i="1"/>
  <c r="L945" i="5" s="1"/>
  <c r="Y946" i="1"/>
  <c r="L946" i="5" s="1"/>
  <c r="Y947" i="1"/>
  <c r="L947" i="5" s="1"/>
  <c r="Y948" i="1"/>
  <c r="L948" i="5" s="1"/>
  <c r="Y949" i="1"/>
  <c r="L949" i="5" s="1"/>
  <c r="Y950" i="1"/>
  <c r="L950" i="5" s="1"/>
  <c r="Y951" i="1"/>
  <c r="L951" i="5" s="1"/>
  <c r="Y952" i="1"/>
  <c r="L952" i="5" s="1"/>
  <c r="Y953" i="1"/>
  <c r="L953" i="5" s="1"/>
  <c r="Y954" i="1"/>
  <c r="L954" i="5" s="1"/>
  <c r="Y955" i="1"/>
  <c r="L955" i="5" s="1"/>
  <c r="Y956" i="1"/>
  <c r="L956" i="5" s="1"/>
  <c r="Y957" i="1"/>
  <c r="L957" i="5" s="1"/>
  <c r="Y958" i="1"/>
  <c r="L958" i="5" s="1"/>
  <c r="Y959" i="1"/>
  <c r="L959" i="5" s="1"/>
  <c r="Y960" i="1"/>
  <c r="L960" i="5" s="1"/>
  <c r="Y961" i="1"/>
  <c r="L961" i="5" s="1"/>
  <c r="Y962" i="1"/>
  <c r="L962" i="5" s="1"/>
  <c r="Y963" i="1"/>
  <c r="L963" i="5" s="1"/>
  <c r="Y964" i="1"/>
  <c r="L964" i="5" s="1"/>
  <c r="Y965" i="1"/>
  <c r="L965" i="5" s="1"/>
  <c r="Y966" i="1"/>
  <c r="L966" i="5" s="1"/>
  <c r="Y967" i="1"/>
  <c r="L967" i="5" s="1"/>
  <c r="Y968" i="1"/>
  <c r="L968" i="5" s="1"/>
  <c r="Y969" i="1"/>
  <c r="L969" i="5" s="1"/>
  <c r="Y970" i="1"/>
  <c r="L970" i="5" s="1"/>
  <c r="Y971" i="1"/>
  <c r="L971" i="5" s="1"/>
  <c r="Y972" i="1"/>
  <c r="L972" i="5" s="1"/>
  <c r="Y973" i="1"/>
  <c r="L973" i="5" s="1"/>
  <c r="Y974" i="1"/>
  <c r="L974" i="5" s="1"/>
  <c r="Y975" i="1"/>
  <c r="L975" i="5" s="1"/>
  <c r="Y976" i="1"/>
  <c r="L976" i="5" s="1"/>
  <c r="Y977" i="1"/>
  <c r="L977" i="5" s="1"/>
  <c r="Y978" i="1"/>
  <c r="L978" i="5" s="1"/>
  <c r="Y979" i="1"/>
  <c r="L979" i="5" s="1"/>
  <c r="Y980" i="1"/>
  <c r="L980" i="5" s="1"/>
  <c r="Y981" i="1"/>
  <c r="L981" i="5" s="1"/>
  <c r="Y982" i="1"/>
  <c r="L982" i="5" s="1"/>
  <c r="Y983" i="1"/>
  <c r="L983" i="5" s="1"/>
  <c r="Y984" i="1"/>
  <c r="L984" i="5" s="1"/>
  <c r="Y985" i="1"/>
  <c r="L985" i="5" s="1"/>
  <c r="Y986" i="1"/>
  <c r="L986" i="5" s="1"/>
  <c r="Y987" i="1"/>
  <c r="L987" i="5" s="1"/>
  <c r="Y988" i="1"/>
  <c r="L988" i="5" s="1"/>
  <c r="Y989" i="1"/>
  <c r="L989" i="5" s="1"/>
  <c r="Y990" i="1"/>
  <c r="L990" i="5" s="1"/>
  <c r="Y991" i="1"/>
  <c r="L991" i="5" s="1"/>
  <c r="Y992" i="1"/>
  <c r="L992" i="5" s="1"/>
  <c r="Y993" i="1"/>
  <c r="L993" i="5" s="1"/>
  <c r="Y994" i="1"/>
  <c r="L994" i="5" s="1"/>
  <c r="Y995" i="1"/>
  <c r="L995" i="5" s="1"/>
  <c r="Y996" i="1"/>
  <c r="L996" i="5" s="1"/>
  <c r="Y997" i="1"/>
  <c r="L997" i="5" s="1"/>
  <c r="Y998" i="1"/>
  <c r="L998" i="5" s="1"/>
  <c r="Y999" i="1"/>
  <c r="L999" i="5" s="1"/>
  <c r="Y1000" i="1"/>
  <c r="L1000" i="5" s="1"/>
  <c r="Y1001" i="1"/>
  <c r="L1001" i="5" s="1"/>
  <c r="W1004" i="1"/>
  <c r="T2" i="1"/>
  <c r="U2" i="1" s="1"/>
  <c r="V2" i="1" s="1"/>
  <c r="K2" i="5" s="1"/>
  <c r="T3" i="1"/>
  <c r="U3" i="1" s="1"/>
  <c r="V3" i="1" s="1"/>
  <c r="K3" i="5" s="1"/>
  <c r="T4" i="1"/>
  <c r="U4" i="1" s="1"/>
  <c r="V4" i="1" s="1"/>
  <c r="K4" i="5" s="1"/>
  <c r="T5" i="1"/>
  <c r="U5" i="1" s="1"/>
  <c r="V5" i="1" s="1"/>
  <c r="K5" i="5" s="1"/>
  <c r="T6" i="1"/>
  <c r="U6" i="1" s="1"/>
  <c r="V6" i="1" s="1"/>
  <c r="K6" i="5" s="1"/>
  <c r="T7" i="1"/>
  <c r="U7" i="1" s="1"/>
  <c r="V7" i="1" s="1"/>
  <c r="K7" i="5" s="1"/>
  <c r="T8" i="1"/>
  <c r="U8" i="1" s="1"/>
  <c r="V8" i="1" s="1"/>
  <c r="K8" i="5" s="1"/>
  <c r="T9" i="1"/>
  <c r="U9" i="1" s="1"/>
  <c r="V9" i="1" s="1"/>
  <c r="K9" i="5" s="1"/>
  <c r="T10" i="1"/>
  <c r="U10" i="1" s="1"/>
  <c r="V10" i="1" s="1"/>
  <c r="K10" i="5" s="1"/>
  <c r="T11" i="1"/>
  <c r="U11" i="1" s="1"/>
  <c r="V11" i="1" s="1"/>
  <c r="K11" i="5" s="1"/>
  <c r="T12" i="1"/>
  <c r="U12" i="1" s="1"/>
  <c r="V12" i="1" s="1"/>
  <c r="K12" i="5" s="1"/>
  <c r="T13" i="1"/>
  <c r="U13" i="1" s="1"/>
  <c r="V13" i="1" s="1"/>
  <c r="K13" i="5" s="1"/>
  <c r="T14" i="1"/>
  <c r="U14" i="1" s="1"/>
  <c r="V14" i="1" s="1"/>
  <c r="K14" i="5" s="1"/>
  <c r="T15" i="1"/>
  <c r="U15" i="1" s="1"/>
  <c r="V15" i="1" s="1"/>
  <c r="K15" i="5" s="1"/>
  <c r="T16" i="1"/>
  <c r="U16" i="1" s="1"/>
  <c r="V16" i="1" s="1"/>
  <c r="K16" i="5" s="1"/>
  <c r="T17" i="1"/>
  <c r="U17" i="1" s="1"/>
  <c r="V17" i="1" s="1"/>
  <c r="K17" i="5" s="1"/>
  <c r="T18" i="1"/>
  <c r="U18" i="1" s="1"/>
  <c r="V18" i="1" s="1"/>
  <c r="K18" i="5" s="1"/>
  <c r="T19" i="1"/>
  <c r="U19" i="1" s="1"/>
  <c r="V19" i="1" s="1"/>
  <c r="K19" i="5" s="1"/>
  <c r="T20" i="1"/>
  <c r="U20" i="1" s="1"/>
  <c r="V20" i="1" s="1"/>
  <c r="K20" i="5" s="1"/>
  <c r="T21" i="1"/>
  <c r="U21" i="1" s="1"/>
  <c r="V21" i="1" s="1"/>
  <c r="K21" i="5" s="1"/>
  <c r="T22" i="1"/>
  <c r="U22" i="1" s="1"/>
  <c r="V22" i="1" s="1"/>
  <c r="K22" i="5" s="1"/>
  <c r="T23" i="1"/>
  <c r="U23" i="1" s="1"/>
  <c r="V23" i="1" s="1"/>
  <c r="K23" i="5" s="1"/>
  <c r="T24" i="1"/>
  <c r="U24" i="1" s="1"/>
  <c r="V24" i="1" s="1"/>
  <c r="K24" i="5" s="1"/>
  <c r="T25" i="1"/>
  <c r="U25" i="1" s="1"/>
  <c r="V25" i="1" s="1"/>
  <c r="K25" i="5" s="1"/>
  <c r="T26" i="1"/>
  <c r="U26" i="1" s="1"/>
  <c r="V26" i="1" s="1"/>
  <c r="K26" i="5" s="1"/>
  <c r="T27" i="1"/>
  <c r="U27" i="1" s="1"/>
  <c r="V27" i="1" s="1"/>
  <c r="K27" i="5" s="1"/>
  <c r="T28" i="1"/>
  <c r="U28" i="1" s="1"/>
  <c r="V28" i="1" s="1"/>
  <c r="K28" i="5" s="1"/>
  <c r="T29" i="1"/>
  <c r="U29" i="1" s="1"/>
  <c r="V29" i="1" s="1"/>
  <c r="K29" i="5" s="1"/>
  <c r="T30" i="1"/>
  <c r="U30" i="1" s="1"/>
  <c r="V30" i="1" s="1"/>
  <c r="K30" i="5" s="1"/>
  <c r="T31" i="1"/>
  <c r="U31" i="1" s="1"/>
  <c r="V31" i="1" s="1"/>
  <c r="K31" i="5" s="1"/>
  <c r="T32" i="1"/>
  <c r="U32" i="1" s="1"/>
  <c r="V32" i="1" s="1"/>
  <c r="K32" i="5" s="1"/>
  <c r="T33" i="1"/>
  <c r="U33" i="1" s="1"/>
  <c r="V33" i="1" s="1"/>
  <c r="K33" i="5" s="1"/>
  <c r="T34" i="1"/>
  <c r="U34" i="1" s="1"/>
  <c r="V34" i="1" s="1"/>
  <c r="K34" i="5" s="1"/>
  <c r="T35" i="1"/>
  <c r="U35" i="1" s="1"/>
  <c r="V35" i="1" s="1"/>
  <c r="K35" i="5" s="1"/>
  <c r="T36" i="1"/>
  <c r="U36" i="1" s="1"/>
  <c r="V36" i="1" s="1"/>
  <c r="K36" i="5" s="1"/>
  <c r="T37" i="1"/>
  <c r="U37" i="1" s="1"/>
  <c r="V37" i="1" s="1"/>
  <c r="K37" i="5" s="1"/>
  <c r="T38" i="1"/>
  <c r="U38" i="1" s="1"/>
  <c r="V38" i="1" s="1"/>
  <c r="K38" i="5" s="1"/>
  <c r="T39" i="1"/>
  <c r="U39" i="1" s="1"/>
  <c r="V39" i="1" s="1"/>
  <c r="K39" i="5" s="1"/>
  <c r="T40" i="1"/>
  <c r="U40" i="1" s="1"/>
  <c r="V40" i="1" s="1"/>
  <c r="K40" i="5" s="1"/>
  <c r="T41" i="1"/>
  <c r="U41" i="1" s="1"/>
  <c r="V41" i="1" s="1"/>
  <c r="K41" i="5" s="1"/>
  <c r="T42" i="1"/>
  <c r="U42" i="1" s="1"/>
  <c r="V42" i="1" s="1"/>
  <c r="K42" i="5" s="1"/>
  <c r="T43" i="1"/>
  <c r="U43" i="1" s="1"/>
  <c r="V43" i="1" s="1"/>
  <c r="K43" i="5" s="1"/>
  <c r="T44" i="1"/>
  <c r="U44" i="1" s="1"/>
  <c r="V44" i="1" s="1"/>
  <c r="K44" i="5" s="1"/>
  <c r="T45" i="1"/>
  <c r="U45" i="1" s="1"/>
  <c r="V45" i="1" s="1"/>
  <c r="K45" i="5" s="1"/>
  <c r="T46" i="1"/>
  <c r="U46" i="1" s="1"/>
  <c r="V46" i="1" s="1"/>
  <c r="K46" i="5" s="1"/>
  <c r="T47" i="1"/>
  <c r="U47" i="1" s="1"/>
  <c r="V47" i="1" s="1"/>
  <c r="K47" i="5" s="1"/>
  <c r="T48" i="1"/>
  <c r="U48" i="1" s="1"/>
  <c r="V48" i="1" s="1"/>
  <c r="K48" i="5" s="1"/>
  <c r="T49" i="1"/>
  <c r="U49" i="1" s="1"/>
  <c r="V49" i="1" s="1"/>
  <c r="K49" i="5" s="1"/>
  <c r="T50" i="1"/>
  <c r="U50" i="1" s="1"/>
  <c r="V50" i="1" s="1"/>
  <c r="K50" i="5" s="1"/>
  <c r="T51" i="1"/>
  <c r="U51" i="1" s="1"/>
  <c r="V51" i="1" s="1"/>
  <c r="K51" i="5" s="1"/>
  <c r="T52" i="1"/>
  <c r="U52" i="1" s="1"/>
  <c r="V52" i="1" s="1"/>
  <c r="K52" i="5" s="1"/>
  <c r="T53" i="1"/>
  <c r="U53" i="1" s="1"/>
  <c r="V53" i="1" s="1"/>
  <c r="K53" i="5" s="1"/>
  <c r="T54" i="1"/>
  <c r="U54" i="1" s="1"/>
  <c r="V54" i="1" s="1"/>
  <c r="K54" i="5" s="1"/>
  <c r="T55" i="1"/>
  <c r="U55" i="1" s="1"/>
  <c r="V55" i="1" s="1"/>
  <c r="K55" i="5" s="1"/>
  <c r="T56" i="1"/>
  <c r="U56" i="1" s="1"/>
  <c r="V56" i="1" s="1"/>
  <c r="K56" i="5" s="1"/>
  <c r="T57" i="1"/>
  <c r="U57" i="1" s="1"/>
  <c r="V57" i="1" s="1"/>
  <c r="K57" i="5" s="1"/>
  <c r="T58" i="1"/>
  <c r="U58" i="1" s="1"/>
  <c r="V58" i="1" s="1"/>
  <c r="K58" i="5" s="1"/>
  <c r="T59" i="1"/>
  <c r="U59" i="1" s="1"/>
  <c r="V59" i="1" s="1"/>
  <c r="K59" i="5" s="1"/>
  <c r="T60" i="1"/>
  <c r="U60" i="1" s="1"/>
  <c r="V60" i="1" s="1"/>
  <c r="K60" i="5" s="1"/>
  <c r="T61" i="1"/>
  <c r="U61" i="1" s="1"/>
  <c r="V61" i="1" s="1"/>
  <c r="K61" i="5" s="1"/>
  <c r="T62" i="1"/>
  <c r="U62" i="1" s="1"/>
  <c r="V62" i="1" s="1"/>
  <c r="K62" i="5" s="1"/>
  <c r="T63" i="1"/>
  <c r="U63" i="1" s="1"/>
  <c r="V63" i="1" s="1"/>
  <c r="K63" i="5" s="1"/>
  <c r="T64" i="1"/>
  <c r="U64" i="1" s="1"/>
  <c r="V64" i="1" s="1"/>
  <c r="K64" i="5" s="1"/>
  <c r="T65" i="1"/>
  <c r="U65" i="1" s="1"/>
  <c r="V65" i="1" s="1"/>
  <c r="K65" i="5" s="1"/>
  <c r="T66" i="1"/>
  <c r="U66" i="1" s="1"/>
  <c r="V66" i="1" s="1"/>
  <c r="K66" i="5" s="1"/>
  <c r="T67" i="1"/>
  <c r="U67" i="1" s="1"/>
  <c r="V67" i="1" s="1"/>
  <c r="K67" i="5" s="1"/>
  <c r="T68" i="1"/>
  <c r="U68" i="1" s="1"/>
  <c r="V68" i="1" s="1"/>
  <c r="K68" i="5" s="1"/>
  <c r="T69" i="1"/>
  <c r="U69" i="1" s="1"/>
  <c r="V69" i="1" s="1"/>
  <c r="K69" i="5" s="1"/>
  <c r="T70" i="1"/>
  <c r="U70" i="1" s="1"/>
  <c r="V70" i="1" s="1"/>
  <c r="K70" i="5" s="1"/>
  <c r="T71" i="1"/>
  <c r="U71" i="1" s="1"/>
  <c r="V71" i="1" s="1"/>
  <c r="K71" i="5" s="1"/>
  <c r="T72" i="1"/>
  <c r="U72" i="1" s="1"/>
  <c r="V72" i="1" s="1"/>
  <c r="K72" i="5" s="1"/>
  <c r="T73" i="1"/>
  <c r="U73" i="1" s="1"/>
  <c r="V73" i="1" s="1"/>
  <c r="K73" i="5" s="1"/>
  <c r="T74" i="1"/>
  <c r="U74" i="1" s="1"/>
  <c r="V74" i="1" s="1"/>
  <c r="K74" i="5" s="1"/>
  <c r="T75" i="1"/>
  <c r="U75" i="1" s="1"/>
  <c r="V75" i="1" s="1"/>
  <c r="K75" i="5" s="1"/>
  <c r="T76" i="1"/>
  <c r="U76" i="1" s="1"/>
  <c r="V76" i="1" s="1"/>
  <c r="K76" i="5" s="1"/>
  <c r="T77" i="1"/>
  <c r="U77" i="1" s="1"/>
  <c r="V77" i="1" s="1"/>
  <c r="K77" i="5" s="1"/>
  <c r="T78" i="1"/>
  <c r="U78" i="1" s="1"/>
  <c r="V78" i="1" s="1"/>
  <c r="K78" i="5" s="1"/>
  <c r="T79" i="1"/>
  <c r="U79" i="1" s="1"/>
  <c r="V79" i="1" s="1"/>
  <c r="K79" i="5" s="1"/>
  <c r="T80" i="1"/>
  <c r="U80" i="1" s="1"/>
  <c r="V80" i="1" s="1"/>
  <c r="K80" i="5" s="1"/>
  <c r="T81" i="1"/>
  <c r="U81" i="1" s="1"/>
  <c r="V81" i="1" s="1"/>
  <c r="K81" i="5" s="1"/>
  <c r="T82" i="1"/>
  <c r="U82" i="1" s="1"/>
  <c r="V82" i="1" s="1"/>
  <c r="K82" i="5" s="1"/>
  <c r="T83" i="1"/>
  <c r="U83" i="1" s="1"/>
  <c r="V83" i="1" s="1"/>
  <c r="K83" i="5" s="1"/>
  <c r="T84" i="1"/>
  <c r="U84" i="1" s="1"/>
  <c r="V84" i="1" s="1"/>
  <c r="K84" i="5" s="1"/>
  <c r="T85" i="1"/>
  <c r="U85" i="1" s="1"/>
  <c r="V85" i="1" s="1"/>
  <c r="K85" i="5" s="1"/>
  <c r="T86" i="1"/>
  <c r="U86" i="1" s="1"/>
  <c r="V86" i="1" s="1"/>
  <c r="K86" i="5" s="1"/>
  <c r="T87" i="1"/>
  <c r="U87" i="1" s="1"/>
  <c r="V87" i="1" s="1"/>
  <c r="K87" i="5" s="1"/>
  <c r="T88" i="1"/>
  <c r="U88" i="1" s="1"/>
  <c r="V88" i="1" s="1"/>
  <c r="K88" i="5" s="1"/>
  <c r="T89" i="1"/>
  <c r="U89" i="1" s="1"/>
  <c r="V89" i="1" s="1"/>
  <c r="K89" i="5" s="1"/>
  <c r="T90" i="1"/>
  <c r="U90" i="1" s="1"/>
  <c r="V90" i="1" s="1"/>
  <c r="K90" i="5" s="1"/>
  <c r="T91" i="1"/>
  <c r="U91" i="1" s="1"/>
  <c r="V91" i="1" s="1"/>
  <c r="K91" i="5" s="1"/>
  <c r="T92" i="1"/>
  <c r="U92" i="1" s="1"/>
  <c r="V92" i="1" s="1"/>
  <c r="K92" i="5" s="1"/>
  <c r="T93" i="1"/>
  <c r="U93" i="1" s="1"/>
  <c r="V93" i="1" s="1"/>
  <c r="K93" i="5" s="1"/>
  <c r="T94" i="1"/>
  <c r="U94" i="1" s="1"/>
  <c r="V94" i="1" s="1"/>
  <c r="K94" i="5" s="1"/>
  <c r="T95" i="1"/>
  <c r="U95" i="1" s="1"/>
  <c r="V95" i="1" s="1"/>
  <c r="K95" i="5" s="1"/>
  <c r="T96" i="1"/>
  <c r="U96" i="1" s="1"/>
  <c r="V96" i="1" s="1"/>
  <c r="K96" i="5" s="1"/>
  <c r="T97" i="1"/>
  <c r="U97" i="1" s="1"/>
  <c r="V97" i="1" s="1"/>
  <c r="K97" i="5" s="1"/>
  <c r="T98" i="1"/>
  <c r="U98" i="1" s="1"/>
  <c r="V98" i="1" s="1"/>
  <c r="K98" i="5" s="1"/>
  <c r="T99" i="1"/>
  <c r="U99" i="1" s="1"/>
  <c r="V99" i="1" s="1"/>
  <c r="K99" i="5" s="1"/>
  <c r="T100" i="1"/>
  <c r="U100" i="1" s="1"/>
  <c r="V100" i="1" s="1"/>
  <c r="K100" i="5" s="1"/>
  <c r="T101" i="1"/>
  <c r="U101" i="1" s="1"/>
  <c r="V101" i="1" s="1"/>
  <c r="K101" i="5" s="1"/>
  <c r="T102" i="1"/>
  <c r="U102" i="1" s="1"/>
  <c r="V102" i="1" s="1"/>
  <c r="K102" i="5" s="1"/>
  <c r="T103" i="1"/>
  <c r="U103" i="1" s="1"/>
  <c r="V103" i="1" s="1"/>
  <c r="K103" i="5" s="1"/>
  <c r="T104" i="1"/>
  <c r="U104" i="1" s="1"/>
  <c r="V104" i="1" s="1"/>
  <c r="K104" i="5" s="1"/>
  <c r="T105" i="1"/>
  <c r="U105" i="1" s="1"/>
  <c r="V105" i="1" s="1"/>
  <c r="K105" i="5" s="1"/>
  <c r="T106" i="1"/>
  <c r="U106" i="1" s="1"/>
  <c r="V106" i="1" s="1"/>
  <c r="K106" i="5" s="1"/>
  <c r="T107" i="1"/>
  <c r="U107" i="1" s="1"/>
  <c r="V107" i="1" s="1"/>
  <c r="K107" i="5" s="1"/>
  <c r="T108" i="1"/>
  <c r="U108" i="1" s="1"/>
  <c r="V108" i="1" s="1"/>
  <c r="K108" i="5" s="1"/>
  <c r="T109" i="1"/>
  <c r="U109" i="1" s="1"/>
  <c r="V109" i="1" s="1"/>
  <c r="K109" i="5" s="1"/>
  <c r="T110" i="1"/>
  <c r="U110" i="1" s="1"/>
  <c r="V110" i="1" s="1"/>
  <c r="K110" i="5" s="1"/>
  <c r="T111" i="1"/>
  <c r="U111" i="1" s="1"/>
  <c r="V111" i="1" s="1"/>
  <c r="K111" i="5" s="1"/>
  <c r="T112" i="1"/>
  <c r="U112" i="1" s="1"/>
  <c r="V112" i="1" s="1"/>
  <c r="K112" i="5" s="1"/>
  <c r="T113" i="1"/>
  <c r="U113" i="1" s="1"/>
  <c r="V113" i="1" s="1"/>
  <c r="K113" i="5" s="1"/>
  <c r="T114" i="1"/>
  <c r="U114" i="1" s="1"/>
  <c r="V114" i="1" s="1"/>
  <c r="K114" i="5" s="1"/>
  <c r="T115" i="1"/>
  <c r="U115" i="1" s="1"/>
  <c r="V115" i="1" s="1"/>
  <c r="K115" i="5" s="1"/>
  <c r="T116" i="1"/>
  <c r="U116" i="1" s="1"/>
  <c r="V116" i="1" s="1"/>
  <c r="K116" i="5" s="1"/>
  <c r="T117" i="1"/>
  <c r="U117" i="1" s="1"/>
  <c r="V117" i="1" s="1"/>
  <c r="K117" i="5" s="1"/>
  <c r="T118" i="1"/>
  <c r="U118" i="1" s="1"/>
  <c r="V118" i="1" s="1"/>
  <c r="K118" i="5" s="1"/>
  <c r="T119" i="1"/>
  <c r="U119" i="1" s="1"/>
  <c r="V119" i="1" s="1"/>
  <c r="K119" i="5" s="1"/>
  <c r="T120" i="1"/>
  <c r="U120" i="1" s="1"/>
  <c r="V120" i="1" s="1"/>
  <c r="K120" i="5" s="1"/>
  <c r="T121" i="1"/>
  <c r="U121" i="1" s="1"/>
  <c r="V121" i="1" s="1"/>
  <c r="K121" i="5" s="1"/>
  <c r="T122" i="1"/>
  <c r="U122" i="1" s="1"/>
  <c r="V122" i="1" s="1"/>
  <c r="K122" i="5" s="1"/>
  <c r="T123" i="1"/>
  <c r="U123" i="1" s="1"/>
  <c r="V123" i="1" s="1"/>
  <c r="K123" i="5" s="1"/>
  <c r="T124" i="1"/>
  <c r="U124" i="1" s="1"/>
  <c r="V124" i="1" s="1"/>
  <c r="K124" i="5" s="1"/>
  <c r="T125" i="1"/>
  <c r="U125" i="1" s="1"/>
  <c r="V125" i="1" s="1"/>
  <c r="K125" i="5" s="1"/>
  <c r="T126" i="1"/>
  <c r="U126" i="1" s="1"/>
  <c r="V126" i="1" s="1"/>
  <c r="K126" i="5" s="1"/>
  <c r="T127" i="1"/>
  <c r="U127" i="1" s="1"/>
  <c r="V127" i="1" s="1"/>
  <c r="K127" i="5" s="1"/>
  <c r="T128" i="1"/>
  <c r="U128" i="1" s="1"/>
  <c r="V128" i="1" s="1"/>
  <c r="K128" i="5" s="1"/>
  <c r="T129" i="1"/>
  <c r="U129" i="1" s="1"/>
  <c r="V129" i="1" s="1"/>
  <c r="K129" i="5" s="1"/>
  <c r="T130" i="1"/>
  <c r="U130" i="1" s="1"/>
  <c r="V130" i="1" s="1"/>
  <c r="K130" i="5" s="1"/>
  <c r="T131" i="1"/>
  <c r="U131" i="1" s="1"/>
  <c r="V131" i="1" s="1"/>
  <c r="K131" i="5" s="1"/>
  <c r="T132" i="1"/>
  <c r="U132" i="1" s="1"/>
  <c r="V132" i="1" s="1"/>
  <c r="K132" i="5" s="1"/>
  <c r="T133" i="1"/>
  <c r="U133" i="1" s="1"/>
  <c r="V133" i="1" s="1"/>
  <c r="K133" i="5" s="1"/>
  <c r="T134" i="1"/>
  <c r="U134" i="1" s="1"/>
  <c r="V134" i="1" s="1"/>
  <c r="K134" i="5" s="1"/>
  <c r="T135" i="1"/>
  <c r="U135" i="1" s="1"/>
  <c r="V135" i="1" s="1"/>
  <c r="K135" i="5" s="1"/>
  <c r="T136" i="1"/>
  <c r="U136" i="1" s="1"/>
  <c r="V136" i="1" s="1"/>
  <c r="K136" i="5" s="1"/>
  <c r="T137" i="1"/>
  <c r="U137" i="1" s="1"/>
  <c r="V137" i="1" s="1"/>
  <c r="K137" i="5" s="1"/>
  <c r="T138" i="1"/>
  <c r="U138" i="1" s="1"/>
  <c r="V138" i="1" s="1"/>
  <c r="K138" i="5" s="1"/>
  <c r="T139" i="1"/>
  <c r="U139" i="1" s="1"/>
  <c r="V139" i="1" s="1"/>
  <c r="K139" i="5" s="1"/>
  <c r="T140" i="1"/>
  <c r="U140" i="1" s="1"/>
  <c r="V140" i="1" s="1"/>
  <c r="K140" i="5" s="1"/>
  <c r="T141" i="1"/>
  <c r="U141" i="1" s="1"/>
  <c r="V141" i="1" s="1"/>
  <c r="K141" i="5" s="1"/>
  <c r="T142" i="1"/>
  <c r="U142" i="1" s="1"/>
  <c r="V142" i="1" s="1"/>
  <c r="K142" i="5" s="1"/>
  <c r="T143" i="1"/>
  <c r="U143" i="1" s="1"/>
  <c r="V143" i="1" s="1"/>
  <c r="K143" i="5" s="1"/>
  <c r="T144" i="1"/>
  <c r="U144" i="1" s="1"/>
  <c r="V144" i="1" s="1"/>
  <c r="K144" i="5" s="1"/>
  <c r="T145" i="1"/>
  <c r="U145" i="1" s="1"/>
  <c r="V145" i="1" s="1"/>
  <c r="K145" i="5" s="1"/>
  <c r="T146" i="1"/>
  <c r="U146" i="1" s="1"/>
  <c r="V146" i="1" s="1"/>
  <c r="K146" i="5" s="1"/>
  <c r="T147" i="1"/>
  <c r="U147" i="1" s="1"/>
  <c r="V147" i="1" s="1"/>
  <c r="K147" i="5" s="1"/>
  <c r="T148" i="1"/>
  <c r="U148" i="1" s="1"/>
  <c r="V148" i="1" s="1"/>
  <c r="K148" i="5" s="1"/>
  <c r="T149" i="1"/>
  <c r="U149" i="1" s="1"/>
  <c r="V149" i="1" s="1"/>
  <c r="K149" i="5" s="1"/>
  <c r="T150" i="1"/>
  <c r="U150" i="1" s="1"/>
  <c r="V150" i="1" s="1"/>
  <c r="K150" i="5" s="1"/>
  <c r="T151" i="1"/>
  <c r="U151" i="1" s="1"/>
  <c r="V151" i="1" s="1"/>
  <c r="K151" i="5" s="1"/>
  <c r="T152" i="1"/>
  <c r="U152" i="1" s="1"/>
  <c r="V152" i="1" s="1"/>
  <c r="K152" i="5" s="1"/>
  <c r="T153" i="1"/>
  <c r="U153" i="1" s="1"/>
  <c r="V153" i="1" s="1"/>
  <c r="K153" i="5" s="1"/>
  <c r="T154" i="1"/>
  <c r="U154" i="1" s="1"/>
  <c r="V154" i="1" s="1"/>
  <c r="K154" i="5" s="1"/>
  <c r="T155" i="1"/>
  <c r="U155" i="1" s="1"/>
  <c r="V155" i="1" s="1"/>
  <c r="K155" i="5" s="1"/>
  <c r="T156" i="1"/>
  <c r="U156" i="1" s="1"/>
  <c r="V156" i="1" s="1"/>
  <c r="K156" i="5" s="1"/>
  <c r="T157" i="1"/>
  <c r="U157" i="1" s="1"/>
  <c r="V157" i="1" s="1"/>
  <c r="K157" i="5" s="1"/>
  <c r="T158" i="1"/>
  <c r="U158" i="1" s="1"/>
  <c r="V158" i="1" s="1"/>
  <c r="K158" i="5" s="1"/>
  <c r="T159" i="1"/>
  <c r="U159" i="1" s="1"/>
  <c r="V159" i="1" s="1"/>
  <c r="K159" i="5" s="1"/>
  <c r="T160" i="1"/>
  <c r="U160" i="1" s="1"/>
  <c r="V160" i="1" s="1"/>
  <c r="K160" i="5" s="1"/>
  <c r="T161" i="1"/>
  <c r="U161" i="1" s="1"/>
  <c r="V161" i="1" s="1"/>
  <c r="K161" i="5" s="1"/>
  <c r="T162" i="1"/>
  <c r="U162" i="1" s="1"/>
  <c r="V162" i="1" s="1"/>
  <c r="K162" i="5" s="1"/>
  <c r="T163" i="1"/>
  <c r="U163" i="1" s="1"/>
  <c r="V163" i="1" s="1"/>
  <c r="K163" i="5" s="1"/>
  <c r="T164" i="1"/>
  <c r="U164" i="1" s="1"/>
  <c r="V164" i="1" s="1"/>
  <c r="K164" i="5" s="1"/>
  <c r="T165" i="1"/>
  <c r="U165" i="1" s="1"/>
  <c r="V165" i="1" s="1"/>
  <c r="K165" i="5" s="1"/>
  <c r="T166" i="1"/>
  <c r="U166" i="1" s="1"/>
  <c r="V166" i="1" s="1"/>
  <c r="K166" i="5" s="1"/>
  <c r="T167" i="1"/>
  <c r="U167" i="1" s="1"/>
  <c r="V167" i="1" s="1"/>
  <c r="K167" i="5" s="1"/>
  <c r="T168" i="1"/>
  <c r="U168" i="1" s="1"/>
  <c r="V168" i="1" s="1"/>
  <c r="K168" i="5" s="1"/>
  <c r="T169" i="1"/>
  <c r="U169" i="1" s="1"/>
  <c r="V169" i="1" s="1"/>
  <c r="K169" i="5" s="1"/>
  <c r="T170" i="1"/>
  <c r="U170" i="1" s="1"/>
  <c r="V170" i="1" s="1"/>
  <c r="K170" i="5" s="1"/>
  <c r="T171" i="1"/>
  <c r="U171" i="1" s="1"/>
  <c r="V171" i="1" s="1"/>
  <c r="K171" i="5" s="1"/>
  <c r="T172" i="1"/>
  <c r="U172" i="1" s="1"/>
  <c r="V172" i="1" s="1"/>
  <c r="K172" i="5" s="1"/>
  <c r="T173" i="1"/>
  <c r="U173" i="1" s="1"/>
  <c r="V173" i="1" s="1"/>
  <c r="K173" i="5" s="1"/>
  <c r="T174" i="1"/>
  <c r="U174" i="1" s="1"/>
  <c r="V174" i="1" s="1"/>
  <c r="K174" i="5" s="1"/>
  <c r="T175" i="1"/>
  <c r="U175" i="1" s="1"/>
  <c r="V175" i="1" s="1"/>
  <c r="K175" i="5" s="1"/>
  <c r="T176" i="1"/>
  <c r="U176" i="1" s="1"/>
  <c r="V176" i="1" s="1"/>
  <c r="K176" i="5" s="1"/>
  <c r="T177" i="1"/>
  <c r="U177" i="1" s="1"/>
  <c r="V177" i="1" s="1"/>
  <c r="K177" i="5" s="1"/>
  <c r="T178" i="1"/>
  <c r="U178" i="1" s="1"/>
  <c r="V178" i="1" s="1"/>
  <c r="K178" i="5" s="1"/>
  <c r="T179" i="1"/>
  <c r="U179" i="1" s="1"/>
  <c r="V179" i="1" s="1"/>
  <c r="K179" i="5" s="1"/>
  <c r="T180" i="1"/>
  <c r="U180" i="1" s="1"/>
  <c r="V180" i="1" s="1"/>
  <c r="K180" i="5" s="1"/>
  <c r="T181" i="1"/>
  <c r="U181" i="1" s="1"/>
  <c r="V181" i="1" s="1"/>
  <c r="K181" i="5" s="1"/>
  <c r="T182" i="1"/>
  <c r="U182" i="1" s="1"/>
  <c r="V182" i="1" s="1"/>
  <c r="K182" i="5" s="1"/>
  <c r="T183" i="1"/>
  <c r="U183" i="1" s="1"/>
  <c r="V183" i="1" s="1"/>
  <c r="K183" i="5" s="1"/>
  <c r="T184" i="1"/>
  <c r="U184" i="1" s="1"/>
  <c r="V184" i="1" s="1"/>
  <c r="K184" i="5" s="1"/>
  <c r="T185" i="1"/>
  <c r="U185" i="1" s="1"/>
  <c r="V185" i="1" s="1"/>
  <c r="K185" i="5" s="1"/>
  <c r="T186" i="1"/>
  <c r="U186" i="1" s="1"/>
  <c r="V186" i="1" s="1"/>
  <c r="K186" i="5" s="1"/>
  <c r="T187" i="1"/>
  <c r="U187" i="1" s="1"/>
  <c r="V187" i="1" s="1"/>
  <c r="K187" i="5" s="1"/>
  <c r="T188" i="1"/>
  <c r="U188" i="1" s="1"/>
  <c r="V188" i="1" s="1"/>
  <c r="K188" i="5" s="1"/>
  <c r="T189" i="1"/>
  <c r="U189" i="1" s="1"/>
  <c r="V189" i="1" s="1"/>
  <c r="K189" i="5" s="1"/>
  <c r="T190" i="1"/>
  <c r="U190" i="1" s="1"/>
  <c r="V190" i="1" s="1"/>
  <c r="K190" i="5" s="1"/>
  <c r="T191" i="1"/>
  <c r="U191" i="1" s="1"/>
  <c r="V191" i="1" s="1"/>
  <c r="K191" i="5" s="1"/>
  <c r="T192" i="1"/>
  <c r="U192" i="1" s="1"/>
  <c r="V192" i="1" s="1"/>
  <c r="K192" i="5" s="1"/>
  <c r="T193" i="1"/>
  <c r="U193" i="1" s="1"/>
  <c r="V193" i="1" s="1"/>
  <c r="K193" i="5" s="1"/>
  <c r="T194" i="1"/>
  <c r="U194" i="1" s="1"/>
  <c r="V194" i="1" s="1"/>
  <c r="K194" i="5" s="1"/>
  <c r="T195" i="1"/>
  <c r="U195" i="1" s="1"/>
  <c r="V195" i="1" s="1"/>
  <c r="K195" i="5" s="1"/>
  <c r="T196" i="1"/>
  <c r="U196" i="1" s="1"/>
  <c r="V196" i="1" s="1"/>
  <c r="K196" i="5" s="1"/>
  <c r="T197" i="1"/>
  <c r="U197" i="1" s="1"/>
  <c r="V197" i="1" s="1"/>
  <c r="K197" i="5" s="1"/>
  <c r="T198" i="1"/>
  <c r="U198" i="1" s="1"/>
  <c r="V198" i="1" s="1"/>
  <c r="K198" i="5" s="1"/>
  <c r="T199" i="1"/>
  <c r="U199" i="1" s="1"/>
  <c r="V199" i="1" s="1"/>
  <c r="K199" i="5" s="1"/>
  <c r="T200" i="1"/>
  <c r="U200" i="1" s="1"/>
  <c r="V200" i="1" s="1"/>
  <c r="K200" i="5" s="1"/>
  <c r="T201" i="1"/>
  <c r="U201" i="1" s="1"/>
  <c r="V201" i="1" s="1"/>
  <c r="K201" i="5" s="1"/>
  <c r="T202" i="1"/>
  <c r="U202" i="1" s="1"/>
  <c r="V202" i="1" s="1"/>
  <c r="K202" i="5" s="1"/>
  <c r="T203" i="1"/>
  <c r="U203" i="1" s="1"/>
  <c r="V203" i="1" s="1"/>
  <c r="K203" i="5" s="1"/>
  <c r="T204" i="1"/>
  <c r="U204" i="1" s="1"/>
  <c r="V204" i="1" s="1"/>
  <c r="K204" i="5" s="1"/>
  <c r="T205" i="1"/>
  <c r="U205" i="1" s="1"/>
  <c r="V205" i="1" s="1"/>
  <c r="K205" i="5" s="1"/>
  <c r="T206" i="1"/>
  <c r="U206" i="1" s="1"/>
  <c r="V206" i="1" s="1"/>
  <c r="K206" i="5" s="1"/>
  <c r="T207" i="1"/>
  <c r="U207" i="1" s="1"/>
  <c r="V207" i="1" s="1"/>
  <c r="K207" i="5" s="1"/>
  <c r="T208" i="1"/>
  <c r="U208" i="1" s="1"/>
  <c r="V208" i="1" s="1"/>
  <c r="K208" i="5" s="1"/>
  <c r="T209" i="1"/>
  <c r="U209" i="1" s="1"/>
  <c r="V209" i="1" s="1"/>
  <c r="K209" i="5" s="1"/>
  <c r="T210" i="1"/>
  <c r="U210" i="1" s="1"/>
  <c r="V210" i="1" s="1"/>
  <c r="K210" i="5" s="1"/>
  <c r="T211" i="1"/>
  <c r="U211" i="1" s="1"/>
  <c r="V211" i="1" s="1"/>
  <c r="K211" i="5" s="1"/>
  <c r="T212" i="1"/>
  <c r="U212" i="1" s="1"/>
  <c r="V212" i="1" s="1"/>
  <c r="K212" i="5" s="1"/>
  <c r="T213" i="1"/>
  <c r="U213" i="1" s="1"/>
  <c r="V213" i="1" s="1"/>
  <c r="K213" i="5" s="1"/>
  <c r="T214" i="1"/>
  <c r="U214" i="1" s="1"/>
  <c r="V214" i="1" s="1"/>
  <c r="K214" i="5" s="1"/>
  <c r="T215" i="1"/>
  <c r="U215" i="1" s="1"/>
  <c r="V215" i="1" s="1"/>
  <c r="K215" i="5" s="1"/>
  <c r="T216" i="1"/>
  <c r="U216" i="1" s="1"/>
  <c r="V216" i="1" s="1"/>
  <c r="K216" i="5" s="1"/>
  <c r="T217" i="1"/>
  <c r="U217" i="1" s="1"/>
  <c r="V217" i="1" s="1"/>
  <c r="K217" i="5" s="1"/>
  <c r="T218" i="1"/>
  <c r="U218" i="1" s="1"/>
  <c r="V218" i="1" s="1"/>
  <c r="K218" i="5" s="1"/>
  <c r="T219" i="1"/>
  <c r="U219" i="1" s="1"/>
  <c r="V219" i="1" s="1"/>
  <c r="K219" i="5" s="1"/>
  <c r="T220" i="1"/>
  <c r="U220" i="1" s="1"/>
  <c r="V220" i="1" s="1"/>
  <c r="K220" i="5" s="1"/>
  <c r="T221" i="1"/>
  <c r="U221" i="1" s="1"/>
  <c r="V221" i="1" s="1"/>
  <c r="K221" i="5" s="1"/>
  <c r="T222" i="1"/>
  <c r="U222" i="1" s="1"/>
  <c r="V222" i="1" s="1"/>
  <c r="K222" i="5" s="1"/>
  <c r="T223" i="1"/>
  <c r="U223" i="1" s="1"/>
  <c r="V223" i="1" s="1"/>
  <c r="K223" i="5" s="1"/>
  <c r="T224" i="1"/>
  <c r="U224" i="1" s="1"/>
  <c r="V224" i="1" s="1"/>
  <c r="K224" i="5" s="1"/>
  <c r="T225" i="1"/>
  <c r="U225" i="1" s="1"/>
  <c r="V225" i="1" s="1"/>
  <c r="K225" i="5" s="1"/>
  <c r="T226" i="1"/>
  <c r="U226" i="1" s="1"/>
  <c r="V226" i="1" s="1"/>
  <c r="K226" i="5" s="1"/>
  <c r="T227" i="1"/>
  <c r="U227" i="1" s="1"/>
  <c r="V227" i="1" s="1"/>
  <c r="K227" i="5" s="1"/>
  <c r="T228" i="1"/>
  <c r="U228" i="1" s="1"/>
  <c r="V228" i="1" s="1"/>
  <c r="K228" i="5" s="1"/>
  <c r="T229" i="1"/>
  <c r="U229" i="1" s="1"/>
  <c r="V229" i="1" s="1"/>
  <c r="K229" i="5" s="1"/>
  <c r="T230" i="1"/>
  <c r="U230" i="1" s="1"/>
  <c r="V230" i="1" s="1"/>
  <c r="K230" i="5" s="1"/>
  <c r="T231" i="1"/>
  <c r="U231" i="1" s="1"/>
  <c r="V231" i="1" s="1"/>
  <c r="K231" i="5" s="1"/>
  <c r="T232" i="1"/>
  <c r="U232" i="1" s="1"/>
  <c r="V232" i="1" s="1"/>
  <c r="K232" i="5" s="1"/>
  <c r="T233" i="1"/>
  <c r="U233" i="1" s="1"/>
  <c r="V233" i="1" s="1"/>
  <c r="K233" i="5" s="1"/>
  <c r="T234" i="1"/>
  <c r="U234" i="1" s="1"/>
  <c r="V234" i="1" s="1"/>
  <c r="K234" i="5" s="1"/>
  <c r="T235" i="1"/>
  <c r="U235" i="1" s="1"/>
  <c r="V235" i="1" s="1"/>
  <c r="K235" i="5" s="1"/>
  <c r="T236" i="1"/>
  <c r="U236" i="1" s="1"/>
  <c r="V236" i="1" s="1"/>
  <c r="K236" i="5" s="1"/>
  <c r="T237" i="1"/>
  <c r="U237" i="1" s="1"/>
  <c r="V237" i="1" s="1"/>
  <c r="K237" i="5" s="1"/>
  <c r="T238" i="1"/>
  <c r="U238" i="1" s="1"/>
  <c r="V238" i="1" s="1"/>
  <c r="K238" i="5" s="1"/>
  <c r="T239" i="1"/>
  <c r="U239" i="1" s="1"/>
  <c r="V239" i="1" s="1"/>
  <c r="K239" i="5" s="1"/>
  <c r="T240" i="1"/>
  <c r="U240" i="1" s="1"/>
  <c r="V240" i="1" s="1"/>
  <c r="K240" i="5" s="1"/>
  <c r="T241" i="1"/>
  <c r="U241" i="1" s="1"/>
  <c r="V241" i="1" s="1"/>
  <c r="K241" i="5" s="1"/>
  <c r="T242" i="1"/>
  <c r="U242" i="1" s="1"/>
  <c r="V242" i="1" s="1"/>
  <c r="K242" i="5" s="1"/>
  <c r="T243" i="1"/>
  <c r="U243" i="1" s="1"/>
  <c r="V243" i="1" s="1"/>
  <c r="K243" i="5" s="1"/>
  <c r="T244" i="1"/>
  <c r="U244" i="1" s="1"/>
  <c r="V244" i="1" s="1"/>
  <c r="K244" i="5" s="1"/>
  <c r="T245" i="1"/>
  <c r="U245" i="1" s="1"/>
  <c r="V245" i="1" s="1"/>
  <c r="K245" i="5" s="1"/>
  <c r="T246" i="1"/>
  <c r="U246" i="1" s="1"/>
  <c r="V246" i="1" s="1"/>
  <c r="K246" i="5" s="1"/>
  <c r="T247" i="1"/>
  <c r="U247" i="1" s="1"/>
  <c r="V247" i="1" s="1"/>
  <c r="K247" i="5" s="1"/>
  <c r="T248" i="1"/>
  <c r="U248" i="1" s="1"/>
  <c r="V248" i="1" s="1"/>
  <c r="K248" i="5" s="1"/>
  <c r="T249" i="1"/>
  <c r="U249" i="1" s="1"/>
  <c r="V249" i="1" s="1"/>
  <c r="K249" i="5" s="1"/>
  <c r="T250" i="1"/>
  <c r="U250" i="1" s="1"/>
  <c r="V250" i="1" s="1"/>
  <c r="K250" i="5" s="1"/>
  <c r="T251" i="1"/>
  <c r="U251" i="1" s="1"/>
  <c r="V251" i="1" s="1"/>
  <c r="K251" i="5" s="1"/>
  <c r="T252" i="1"/>
  <c r="U252" i="1" s="1"/>
  <c r="V252" i="1" s="1"/>
  <c r="K252" i="5" s="1"/>
  <c r="T253" i="1"/>
  <c r="U253" i="1" s="1"/>
  <c r="V253" i="1" s="1"/>
  <c r="K253" i="5" s="1"/>
  <c r="T254" i="1"/>
  <c r="U254" i="1" s="1"/>
  <c r="V254" i="1" s="1"/>
  <c r="K254" i="5" s="1"/>
  <c r="T255" i="1"/>
  <c r="U255" i="1" s="1"/>
  <c r="V255" i="1" s="1"/>
  <c r="K255" i="5" s="1"/>
  <c r="T256" i="1"/>
  <c r="U256" i="1" s="1"/>
  <c r="V256" i="1" s="1"/>
  <c r="K256" i="5" s="1"/>
  <c r="T257" i="1"/>
  <c r="U257" i="1" s="1"/>
  <c r="V257" i="1" s="1"/>
  <c r="K257" i="5" s="1"/>
  <c r="T258" i="1"/>
  <c r="U258" i="1" s="1"/>
  <c r="V258" i="1" s="1"/>
  <c r="K258" i="5" s="1"/>
  <c r="T259" i="1"/>
  <c r="U259" i="1" s="1"/>
  <c r="V259" i="1" s="1"/>
  <c r="K259" i="5" s="1"/>
  <c r="T260" i="1"/>
  <c r="U260" i="1" s="1"/>
  <c r="V260" i="1" s="1"/>
  <c r="K260" i="5" s="1"/>
  <c r="T261" i="1"/>
  <c r="U261" i="1" s="1"/>
  <c r="V261" i="1" s="1"/>
  <c r="K261" i="5" s="1"/>
  <c r="T262" i="1"/>
  <c r="U262" i="1" s="1"/>
  <c r="V262" i="1" s="1"/>
  <c r="K262" i="5" s="1"/>
  <c r="T263" i="1"/>
  <c r="U263" i="1" s="1"/>
  <c r="V263" i="1" s="1"/>
  <c r="K263" i="5" s="1"/>
  <c r="T264" i="1"/>
  <c r="U264" i="1" s="1"/>
  <c r="V264" i="1" s="1"/>
  <c r="K264" i="5" s="1"/>
  <c r="T265" i="1"/>
  <c r="U265" i="1" s="1"/>
  <c r="V265" i="1" s="1"/>
  <c r="K265" i="5" s="1"/>
  <c r="T266" i="1"/>
  <c r="U266" i="1" s="1"/>
  <c r="V266" i="1" s="1"/>
  <c r="K266" i="5" s="1"/>
  <c r="T267" i="1"/>
  <c r="U267" i="1" s="1"/>
  <c r="V267" i="1" s="1"/>
  <c r="K267" i="5" s="1"/>
  <c r="T268" i="1"/>
  <c r="U268" i="1" s="1"/>
  <c r="V268" i="1" s="1"/>
  <c r="K268" i="5" s="1"/>
  <c r="T269" i="1"/>
  <c r="U269" i="1" s="1"/>
  <c r="V269" i="1" s="1"/>
  <c r="K269" i="5" s="1"/>
  <c r="T270" i="1"/>
  <c r="U270" i="1" s="1"/>
  <c r="V270" i="1" s="1"/>
  <c r="K270" i="5" s="1"/>
  <c r="T271" i="1"/>
  <c r="U271" i="1" s="1"/>
  <c r="V271" i="1" s="1"/>
  <c r="K271" i="5" s="1"/>
  <c r="T272" i="1"/>
  <c r="U272" i="1" s="1"/>
  <c r="V272" i="1" s="1"/>
  <c r="K272" i="5" s="1"/>
  <c r="T273" i="1"/>
  <c r="U273" i="1" s="1"/>
  <c r="V273" i="1" s="1"/>
  <c r="K273" i="5" s="1"/>
  <c r="T274" i="1"/>
  <c r="U274" i="1" s="1"/>
  <c r="V274" i="1" s="1"/>
  <c r="K274" i="5" s="1"/>
  <c r="T275" i="1"/>
  <c r="U275" i="1" s="1"/>
  <c r="V275" i="1" s="1"/>
  <c r="K275" i="5" s="1"/>
  <c r="T276" i="1"/>
  <c r="U276" i="1" s="1"/>
  <c r="V276" i="1" s="1"/>
  <c r="K276" i="5" s="1"/>
  <c r="T277" i="1"/>
  <c r="U277" i="1" s="1"/>
  <c r="V277" i="1" s="1"/>
  <c r="K277" i="5" s="1"/>
  <c r="T278" i="1"/>
  <c r="U278" i="1" s="1"/>
  <c r="V278" i="1" s="1"/>
  <c r="K278" i="5" s="1"/>
  <c r="T279" i="1"/>
  <c r="U279" i="1" s="1"/>
  <c r="V279" i="1" s="1"/>
  <c r="K279" i="5" s="1"/>
  <c r="T280" i="1"/>
  <c r="U280" i="1" s="1"/>
  <c r="V280" i="1" s="1"/>
  <c r="K280" i="5" s="1"/>
  <c r="T281" i="1"/>
  <c r="U281" i="1" s="1"/>
  <c r="V281" i="1" s="1"/>
  <c r="K281" i="5" s="1"/>
  <c r="T282" i="1"/>
  <c r="U282" i="1" s="1"/>
  <c r="V282" i="1" s="1"/>
  <c r="K282" i="5" s="1"/>
  <c r="T283" i="1"/>
  <c r="U283" i="1" s="1"/>
  <c r="V283" i="1" s="1"/>
  <c r="K283" i="5" s="1"/>
  <c r="T284" i="1"/>
  <c r="U284" i="1" s="1"/>
  <c r="V284" i="1" s="1"/>
  <c r="K284" i="5" s="1"/>
  <c r="T285" i="1"/>
  <c r="U285" i="1" s="1"/>
  <c r="V285" i="1" s="1"/>
  <c r="K285" i="5" s="1"/>
  <c r="T286" i="1"/>
  <c r="U286" i="1" s="1"/>
  <c r="V286" i="1" s="1"/>
  <c r="K286" i="5" s="1"/>
  <c r="T287" i="1"/>
  <c r="U287" i="1" s="1"/>
  <c r="V287" i="1" s="1"/>
  <c r="K287" i="5" s="1"/>
  <c r="T288" i="1"/>
  <c r="U288" i="1" s="1"/>
  <c r="V288" i="1" s="1"/>
  <c r="K288" i="5" s="1"/>
  <c r="T289" i="1"/>
  <c r="U289" i="1" s="1"/>
  <c r="V289" i="1" s="1"/>
  <c r="K289" i="5" s="1"/>
  <c r="T290" i="1"/>
  <c r="U290" i="1" s="1"/>
  <c r="V290" i="1" s="1"/>
  <c r="K290" i="5" s="1"/>
  <c r="T291" i="1"/>
  <c r="U291" i="1" s="1"/>
  <c r="V291" i="1" s="1"/>
  <c r="K291" i="5" s="1"/>
  <c r="T292" i="1"/>
  <c r="U292" i="1" s="1"/>
  <c r="V292" i="1" s="1"/>
  <c r="K292" i="5" s="1"/>
  <c r="T293" i="1"/>
  <c r="U293" i="1" s="1"/>
  <c r="V293" i="1" s="1"/>
  <c r="K293" i="5" s="1"/>
  <c r="T294" i="1"/>
  <c r="U294" i="1" s="1"/>
  <c r="V294" i="1" s="1"/>
  <c r="K294" i="5" s="1"/>
  <c r="T295" i="1"/>
  <c r="U295" i="1" s="1"/>
  <c r="V295" i="1" s="1"/>
  <c r="K295" i="5" s="1"/>
  <c r="T296" i="1"/>
  <c r="U296" i="1" s="1"/>
  <c r="V296" i="1" s="1"/>
  <c r="K296" i="5" s="1"/>
  <c r="T297" i="1"/>
  <c r="U297" i="1" s="1"/>
  <c r="V297" i="1" s="1"/>
  <c r="K297" i="5" s="1"/>
  <c r="T298" i="1"/>
  <c r="U298" i="1" s="1"/>
  <c r="V298" i="1" s="1"/>
  <c r="K298" i="5" s="1"/>
  <c r="T299" i="1"/>
  <c r="U299" i="1" s="1"/>
  <c r="V299" i="1" s="1"/>
  <c r="K299" i="5" s="1"/>
  <c r="T300" i="1"/>
  <c r="U300" i="1" s="1"/>
  <c r="V300" i="1" s="1"/>
  <c r="K300" i="5" s="1"/>
  <c r="T301" i="1"/>
  <c r="U301" i="1" s="1"/>
  <c r="V301" i="1" s="1"/>
  <c r="K301" i="5" s="1"/>
  <c r="T302" i="1"/>
  <c r="U302" i="1" s="1"/>
  <c r="V302" i="1" s="1"/>
  <c r="K302" i="5" s="1"/>
  <c r="T303" i="1"/>
  <c r="U303" i="1" s="1"/>
  <c r="V303" i="1" s="1"/>
  <c r="K303" i="5" s="1"/>
  <c r="T304" i="1"/>
  <c r="U304" i="1" s="1"/>
  <c r="V304" i="1" s="1"/>
  <c r="K304" i="5" s="1"/>
  <c r="T305" i="1"/>
  <c r="U305" i="1" s="1"/>
  <c r="V305" i="1" s="1"/>
  <c r="K305" i="5" s="1"/>
  <c r="T306" i="1"/>
  <c r="U306" i="1" s="1"/>
  <c r="V306" i="1" s="1"/>
  <c r="K306" i="5" s="1"/>
  <c r="T307" i="1"/>
  <c r="U307" i="1" s="1"/>
  <c r="V307" i="1" s="1"/>
  <c r="K307" i="5" s="1"/>
  <c r="T308" i="1"/>
  <c r="U308" i="1" s="1"/>
  <c r="V308" i="1" s="1"/>
  <c r="K308" i="5" s="1"/>
  <c r="T309" i="1"/>
  <c r="U309" i="1" s="1"/>
  <c r="V309" i="1" s="1"/>
  <c r="K309" i="5" s="1"/>
  <c r="T310" i="1"/>
  <c r="U310" i="1" s="1"/>
  <c r="V310" i="1" s="1"/>
  <c r="K310" i="5" s="1"/>
  <c r="T311" i="1"/>
  <c r="U311" i="1" s="1"/>
  <c r="V311" i="1" s="1"/>
  <c r="K311" i="5" s="1"/>
  <c r="T312" i="1"/>
  <c r="U312" i="1" s="1"/>
  <c r="V312" i="1" s="1"/>
  <c r="K312" i="5" s="1"/>
  <c r="T313" i="1"/>
  <c r="U313" i="1" s="1"/>
  <c r="V313" i="1" s="1"/>
  <c r="K313" i="5" s="1"/>
  <c r="T314" i="1"/>
  <c r="U314" i="1" s="1"/>
  <c r="V314" i="1" s="1"/>
  <c r="K314" i="5" s="1"/>
  <c r="T315" i="1"/>
  <c r="U315" i="1" s="1"/>
  <c r="V315" i="1" s="1"/>
  <c r="K315" i="5" s="1"/>
  <c r="T316" i="1"/>
  <c r="U316" i="1" s="1"/>
  <c r="V316" i="1" s="1"/>
  <c r="K316" i="5" s="1"/>
  <c r="T317" i="1"/>
  <c r="U317" i="1" s="1"/>
  <c r="V317" i="1" s="1"/>
  <c r="K317" i="5" s="1"/>
  <c r="T318" i="1"/>
  <c r="U318" i="1" s="1"/>
  <c r="V318" i="1" s="1"/>
  <c r="K318" i="5" s="1"/>
  <c r="T319" i="1"/>
  <c r="U319" i="1" s="1"/>
  <c r="V319" i="1" s="1"/>
  <c r="K319" i="5" s="1"/>
  <c r="T320" i="1"/>
  <c r="U320" i="1" s="1"/>
  <c r="V320" i="1" s="1"/>
  <c r="K320" i="5" s="1"/>
  <c r="T321" i="1"/>
  <c r="U321" i="1" s="1"/>
  <c r="V321" i="1" s="1"/>
  <c r="K321" i="5" s="1"/>
  <c r="T322" i="1"/>
  <c r="U322" i="1" s="1"/>
  <c r="V322" i="1" s="1"/>
  <c r="K322" i="5" s="1"/>
  <c r="T323" i="1"/>
  <c r="U323" i="1" s="1"/>
  <c r="V323" i="1" s="1"/>
  <c r="K323" i="5" s="1"/>
  <c r="T324" i="1"/>
  <c r="U324" i="1" s="1"/>
  <c r="V324" i="1" s="1"/>
  <c r="K324" i="5" s="1"/>
  <c r="T325" i="1"/>
  <c r="U325" i="1" s="1"/>
  <c r="V325" i="1" s="1"/>
  <c r="K325" i="5" s="1"/>
  <c r="T326" i="1"/>
  <c r="U326" i="1" s="1"/>
  <c r="V326" i="1" s="1"/>
  <c r="K326" i="5" s="1"/>
  <c r="T327" i="1"/>
  <c r="U327" i="1" s="1"/>
  <c r="V327" i="1" s="1"/>
  <c r="K327" i="5" s="1"/>
  <c r="T328" i="1"/>
  <c r="U328" i="1" s="1"/>
  <c r="V328" i="1" s="1"/>
  <c r="K328" i="5" s="1"/>
  <c r="T329" i="1"/>
  <c r="U329" i="1" s="1"/>
  <c r="V329" i="1" s="1"/>
  <c r="K329" i="5" s="1"/>
  <c r="T330" i="1"/>
  <c r="U330" i="1" s="1"/>
  <c r="V330" i="1" s="1"/>
  <c r="K330" i="5" s="1"/>
  <c r="T331" i="1"/>
  <c r="U331" i="1" s="1"/>
  <c r="V331" i="1" s="1"/>
  <c r="K331" i="5" s="1"/>
  <c r="T332" i="1"/>
  <c r="U332" i="1" s="1"/>
  <c r="V332" i="1" s="1"/>
  <c r="K332" i="5" s="1"/>
  <c r="T333" i="1"/>
  <c r="U333" i="1" s="1"/>
  <c r="V333" i="1" s="1"/>
  <c r="K333" i="5" s="1"/>
  <c r="T334" i="1"/>
  <c r="U334" i="1" s="1"/>
  <c r="V334" i="1" s="1"/>
  <c r="K334" i="5" s="1"/>
  <c r="T335" i="1"/>
  <c r="U335" i="1" s="1"/>
  <c r="V335" i="1" s="1"/>
  <c r="K335" i="5" s="1"/>
  <c r="T336" i="1"/>
  <c r="U336" i="1" s="1"/>
  <c r="V336" i="1" s="1"/>
  <c r="K336" i="5" s="1"/>
  <c r="T337" i="1"/>
  <c r="U337" i="1" s="1"/>
  <c r="V337" i="1" s="1"/>
  <c r="K337" i="5" s="1"/>
  <c r="T338" i="1"/>
  <c r="U338" i="1" s="1"/>
  <c r="V338" i="1" s="1"/>
  <c r="K338" i="5" s="1"/>
  <c r="T339" i="1"/>
  <c r="U339" i="1" s="1"/>
  <c r="V339" i="1" s="1"/>
  <c r="K339" i="5" s="1"/>
  <c r="T340" i="1"/>
  <c r="U340" i="1" s="1"/>
  <c r="V340" i="1" s="1"/>
  <c r="K340" i="5" s="1"/>
  <c r="T341" i="1"/>
  <c r="U341" i="1" s="1"/>
  <c r="V341" i="1" s="1"/>
  <c r="K341" i="5" s="1"/>
  <c r="T342" i="1"/>
  <c r="U342" i="1" s="1"/>
  <c r="V342" i="1" s="1"/>
  <c r="K342" i="5" s="1"/>
  <c r="T343" i="1"/>
  <c r="U343" i="1" s="1"/>
  <c r="V343" i="1" s="1"/>
  <c r="K343" i="5" s="1"/>
  <c r="T344" i="1"/>
  <c r="U344" i="1" s="1"/>
  <c r="V344" i="1" s="1"/>
  <c r="K344" i="5" s="1"/>
  <c r="T345" i="1"/>
  <c r="U345" i="1" s="1"/>
  <c r="V345" i="1" s="1"/>
  <c r="K345" i="5" s="1"/>
  <c r="T346" i="1"/>
  <c r="U346" i="1" s="1"/>
  <c r="V346" i="1" s="1"/>
  <c r="K346" i="5" s="1"/>
  <c r="T347" i="1"/>
  <c r="U347" i="1" s="1"/>
  <c r="V347" i="1" s="1"/>
  <c r="K347" i="5" s="1"/>
  <c r="T348" i="1"/>
  <c r="U348" i="1" s="1"/>
  <c r="V348" i="1" s="1"/>
  <c r="K348" i="5" s="1"/>
  <c r="T349" i="1"/>
  <c r="U349" i="1" s="1"/>
  <c r="V349" i="1" s="1"/>
  <c r="K349" i="5" s="1"/>
  <c r="T350" i="1"/>
  <c r="U350" i="1" s="1"/>
  <c r="V350" i="1" s="1"/>
  <c r="K350" i="5" s="1"/>
  <c r="T351" i="1"/>
  <c r="U351" i="1" s="1"/>
  <c r="V351" i="1" s="1"/>
  <c r="K351" i="5" s="1"/>
  <c r="T352" i="1"/>
  <c r="U352" i="1" s="1"/>
  <c r="V352" i="1" s="1"/>
  <c r="K352" i="5" s="1"/>
  <c r="T353" i="1"/>
  <c r="U353" i="1" s="1"/>
  <c r="V353" i="1" s="1"/>
  <c r="K353" i="5" s="1"/>
  <c r="T354" i="1"/>
  <c r="U354" i="1" s="1"/>
  <c r="V354" i="1" s="1"/>
  <c r="K354" i="5" s="1"/>
  <c r="T355" i="1"/>
  <c r="U355" i="1" s="1"/>
  <c r="V355" i="1" s="1"/>
  <c r="K355" i="5" s="1"/>
  <c r="T356" i="1"/>
  <c r="U356" i="1" s="1"/>
  <c r="V356" i="1" s="1"/>
  <c r="K356" i="5" s="1"/>
  <c r="T357" i="1"/>
  <c r="U357" i="1" s="1"/>
  <c r="V357" i="1" s="1"/>
  <c r="K357" i="5" s="1"/>
  <c r="T358" i="1"/>
  <c r="U358" i="1" s="1"/>
  <c r="V358" i="1" s="1"/>
  <c r="K358" i="5" s="1"/>
  <c r="T359" i="1"/>
  <c r="U359" i="1" s="1"/>
  <c r="V359" i="1" s="1"/>
  <c r="K359" i="5" s="1"/>
  <c r="T360" i="1"/>
  <c r="U360" i="1" s="1"/>
  <c r="V360" i="1" s="1"/>
  <c r="K360" i="5" s="1"/>
  <c r="T361" i="1"/>
  <c r="U361" i="1" s="1"/>
  <c r="V361" i="1" s="1"/>
  <c r="K361" i="5" s="1"/>
  <c r="T362" i="1"/>
  <c r="U362" i="1" s="1"/>
  <c r="V362" i="1" s="1"/>
  <c r="K362" i="5" s="1"/>
  <c r="T363" i="1"/>
  <c r="U363" i="1" s="1"/>
  <c r="V363" i="1" s="1"/>
  <c r="K363" i="5" s="1"/>
  <c r="T364" i="1"/>
  <c r="U364" i="1" s="1"/>
  <c r="V364" i="1" s="1"/>
  <c r="K364" i="5" s="1"/>
  <c r="T365" i="1"/>
  <c r="U365" i="1" s="1"/>
  <c r="V365" i="1" s="1"/>
  <c r="K365" i="5" s="1"/>
  <c r="T366" i="1"/>
  <c r="U366" i="1" s="1"/>
  <c r="V366" i="1" s="1"/>
  <c r="K366" i="5" s="1"/>
  <c r="T367" i="1"/>
  <c r="U367" i="1" s="1"/>
  <c r="V367" i="1" s="1"/>
  <c r="K367" i="5" s="1"/>
  <c r="T368" i="1"/>
  <c r="U368" i="1" s="1"/>
  <c r="V368" i="1" s="1"/>
  <c r="K368" i="5" s="1"/>
  <c r="T369" i="1"/>
  <c r="U369" i="1" s="1"/>
  <c r="V369" i="1" s="1"/>
  <c r="K369" i="5" s="1"/>
  <c r="T370" i="1"/>
  <c r="U370" i="1" s="1"/>
  <c r="V370" i="1" s="1"/>
  <c r="K370" i="5" s="1"/>
  <c r="T371" i="1"/>
  <c r="U371" i="1" s="1"/>
  <c r="V371" i="1" s="1"/>
  <c r="K371" i="5" s="1"/>
  <c r="T372" i="1"/>
  <c r="U372" i="1" s="1"/>
  <c r="V372" i="1" s="1"/>
  <c r="K372" i="5" s="1"/>
  <c r="T373" i="1"/>
  <c r="U373" i="1" s="1"/>
  <c r="V373" i="1" s="1"/>
  <c r="K373" i="5" s="1"/>
  <c r="T374" i="1"/>
  <c r="U374" i="1" s="1"/>
  <c r="V374" i="1" s="1"/>
  <c r="K374" i="5" s="1"/>
  <c r="T375" i="1"/>
  <c r="U375" i="1" s="1"/>
  <c r="V375" i="1" s="1"/>
  <c r="K375" i="5" s="1"/>
  <c r="T376" i="1"/>
  <c r="U376" i="1" s="1"/>
  <c r="V376" i="1" s="1"/>
  <c r="K376" i="5" s="1"/>
  <c r="T377" i="1"/>
  <c r="U377" i="1" s="1"/>
  <c r="V377" i="1" s="1"/>
  <c r="K377" i="5" s="1"/>
  <c r="T378" i="1"/>
  <c r="U378" i="1" s="1"/>
  <c r="V378" i="1" s="1"/>
  <c r="K378" i="5" s="1"/>
  <c r="T379" i="1"/>
  <c r="U379" i="1" s="1"/>
  <c r="V379" i="1" s="1"/>
  <c r="K379" i="5" s="1"/>
  <c r="T380" i="1"/>
  <c r="U380" i="1" s="1"/>
  <c r="V380" i="1" s="1"/>
  <c r="K380" i="5" s="1"/>
  <c r="T381" i="1"/>
  <c r="U381" i="1" s="1"/>
  <c r="V381" i="1" s="1"/>
  <c r="K381" i="5" s="1"/>
  <c r="T382" i="1"/>
  <c r="U382" i="1" s="1"/>
  <c r="V382" i="1" s="1"/>
  <c r="K382" i="5" s="1"/>
  <c r="T383" i="1"/>
  <c r="U383" i="1" s="1"/>
  <c r="V383" i="1" s="1"/>
  <c r="K383" i="5" s="1"/>
  <c r="T384" i="1"/>
  <c r="U384" i="1" s="1"/>
  <c r="V384" i="1" s="1"/>
  <c r="K384" i="5" s="1"/>
  <c r="T385" i="1"/>
  <c r="U385" i="1" s="1"/>
  <c r="V385" i="1" s="1"/>
  <c r="K385" i="5" s="1"/>
  <c r="T386" i="1"/>
  <c r="U386" i="1" s="1"/>
  <c r="V386" i="1" s="1"/>
  <c r="K386" i="5" s="1"/>
  <c r="T387" i="1"/>
  <c r="U387" i="1" s="1"/>
  <c r="V387" i="1" s="1"/>
  <c r="K387" i="5" s="1"/>
  <c r="T388" i="1"/>
  <c r="U388" i="1" s="1"/>
  <c r="V388" i="1" s="1"/>
  <c r="K388" i="5" s="1"/>
  <c r="T389" i="1"/>
  <c r="U389" i="1" s="1"/>
  <c r="V389" i="1" s="1"/>
  <c r="K389" i="5" s="1"/>
  <c r="T390" i="1"/>
  <c r="U390" i="1" s="1"/>
  <c r="V390" i="1" s="1"/>
  <c r="K390" i="5" s="1"/>
  <c r="T391" i="1"/>
  <c r="U391" i="1" s="1"/>
  <c r="V391" i="1" s="1"/>
  <c r="K391" i="5" s="1"/>
  <c r="T392" i="1"/>
  <c r="U392" i="1" s="1"/>
  <c r="V392" i="1" s="1"/>
  <c r="K392" i="5" s="1"/>
  <c r="T393" i="1"/>
  <c r="U393" i="1" s="1"/>
  <c r="V393" i="1" s="1"/>
  <c r="K393" i="5" s="1"/>
  <c r="T394" i="1"/>
  <c r="U394" i="1" s="1"/>
  <c r="V394" i="1" s="1"/>
  <c r="K394" i="5" s="1"/>
  <c r="T395" i="1"/>
  <c r="U395" i="1" s="1"/>
  <c r="V395" i="1" s="1"/>
  <c r="K395" i="5" s="1"/>
  <c r="T396" i="1"/>
  <c r="U396" i="1" s="1"/>
  <c r="V396" i="1" s="1"/>
  <c r="K396" i="5" s="1"/>
  <c r="T397" i="1"/>
  <c r="U397" i="1" s="1"/>
  <c r="V397" i="1" s="1"/>
  <c r="K397" i="5" s="1"/>
  <c r="T398" i="1"/>
  <c r="U398" i="1" s="1"/>
  <c r="V398" i="1" s="1"/>
  <c r="K398" i="5" s="1"/>
  <c r="T399" i="1"/>
  <c r="U399" i="1" s="1"/>
  <c r="V399" i="1" s="1"/>
  <c r="K399" i="5" s="1"/>
  <c r="T400" i="1"/>
  <c r="U400" i="1" s="1"/>
  <c r="V400" i="1" s="1"/>
  <c r="K400" i="5" s="1"/>
  <c r="T401" i="1"/>
  <c r="U401" i="1" s="1"/>
  <c r="V401" i="1" s="1"/>
  <c r="K401" i="5" s="1"/>
  <c r="T402" i="1"/>
  <c r="U402" i="1" s="1"/>
  <c r="V402" i="1" s="1"/>
  <c r="K402" i="5" s="1"/>
  <c r="T403" i="1"/>
  <c r="U403" i="1" s="1"/>
  <c r="V403" i="1" s="1"/>
  <c r="K403" i="5" s="1"/>
  <c r="T404" i="1"/>
  <c r="U404" i="1" s="1"/>
  <c r="V404" i="1" s="1"/>
  <c r="K404" i="5" s="1"/>
  <c r="T405" i="1"/>
  <c r="U405" i="1" s="1"/>
  <c r="V405" i="1" s="1"/>
  <c r="K405" i="5" s="1"/>
  <c r="T406" i="1"/>
  <c r="U406" i="1" s="1"/>
  <c r="V406" i="1" s="1"/>
  <c r="K406" i="5" s="1"/>
  <c r="T407" i="1"/>
  <c r="U407" i="1" s="1"/>
  <c r="V407" i="1" s="1"/>
  <c r="K407" i="5" s="1"/>
  <c r="T408" i="1"/>
  <c r="U408" i="1" s="1"/>
  <c r="V408" i="1" s="1"/>
  <c r="K408" i="5" s="1"/>
  <c r="T409" i="1"/>
  <c r="U409" i="1" s="1"/>
  <c r="V409" i="1" s="1"/>
  <c r="K409" i="5" s="1"/>
  <c r="T410" i="1"/>
  <c r="U410" i="1" s="1"/>
  <c r="V410" i="1" s="1"/>
  <c r="K410" i="5" s="1"/>
  <c r="T411" i="1"/>
  <c r="U411" i="1" s="1"/>
  <c r="V411" i="1" s="1"/>
  <c r="K411" i="5" s="1"/>
  <c r="T412" i="1"/>
  <c r="U412" i="1" s="1"/>
  <c r="V412" i="1" s="1"/>
  <c r="K412" i="5" s="1"/>
  <c r="T413" i="1"/>
  <c r="U413" i="1" s="1"/>
  <c r="V413" i="1" s="1"/>
  <c r="K413" i="5" s="1"/>
  <c r="T414" i="1"/>
  <c r="U414" i="1" s="1"/>
  <c r="V414" i="1" s="1"/>
  <c r="K414" i="5" s="1"/>
  <c r="T415" i="1"/>
  <c r="U415" i="1" s="1"/>
  <c r="V415" i="1" s="1"/>
  <c r="K415" i="5" s="1"/>
  <c r="T416" i="1"/>
  <c r="U416" i="1" s="1"/>
  <c r="V416" i="1" s="1"/>
  <c r="K416" i="5" s="1"/>
  <c r="T417" i="1"/>
  <c r="U417" i="1" s="1"/>
  <c r="V417" i="1" s="1"/>
  <c r="K417" i="5" s="1"/>
  <c r="T418" i="1"/>
  <c r="U418" i="1" s="1"/>
  <c r="V418" i="1" s="1"/>
  <c r="K418" i="5" s="1"/>
  <c r="T419" i="1"/>
  <c r="U419" i="1" s="1"/>
  <c r="V419" i="1" s="1"/>
  <c r="K419" i="5" s="1"/>
  <c r="T420" i="1"/>
  <c r="U420" i="1" s="1"/>
  <c r="V420" i="1" s="1"/>
  <c r="K420" i="5" s="1"/>
  <c r="T421" i="1"/>
  <c r="U421" i="1" s="1"/>
  <c r="V421" i="1" s="1"/>
  <c r="K421" i="5" s="1"/>
  <c r="T422" i="1"/>
  <c r="U422" i="1" s="1"/>
  <c r="V422" i="1" s="1"/>
  <c r="K422" i="5" s="1"/>
  <c r="T423" i="1"/>
  <c r="U423" i="1" s="1"/>
  <c r="V423" i="1" s="1"/>
  <c r="K423" i="5" s="1"/>
  <c r="T424" i="1"/>
  <c r="U424" i="1" s="1"/>
  <c r="V424" i="1" s="1"/>
  <c r="K424" i="5" s="1"/>
  <c r="T425" i="1"/>
  <c r="U425" i="1" s="1"/>
  <c r="V425" i="1" s="1"/>
  <c r="K425" i="5" s="1"/>
  <c r="T426" i="1"/>
  <c r="U426" i="1" s="1"/>
  <c r="V426" i="1" s="1"/>
  <c r="K426" i="5" s="1"/>
  <c r="T427" i="1"/>
  <c r="U427" i="1" s="1"/>
  <c r="V427" i="1" s="1"/>
  <c r="K427" i="5" s="1"/>
  <c r="T428" i="1"/>
  <c r="U428" i="1" s="1"/>
  <c r="V428" i="1" s="1"/>
  <c r="K428" i="5" s="1"/>
  <c r="T429" i="1"/>
  <c r="U429" i="1" s="1"/>
  <c r="V429" i="1" s="1"/>
  <c r="K429" i="5" s="1"/>
  <c r="T430" i="1"/>
  <c r="U430" i="1" s="1"/>
  <c r="V430" i="1" s="1"/>
  <c r="K430" i="5" s="1"/>
  <c r="T431" i="1"/>
  <c r="U431" i="1" s="1"/>
  <c r="V431" i="1" s="1"/>
  <c r="K431" i="5" s="1"/>
  <c r="T432" i="1"/>
  <c r="U432" i="1" s="1"/>
  <c r="V432" i="1" s="1"/>
  <c r="K432" i="5" s="1"/>
  <c r="T433" i="1"/>
  <c r="U433" i="1" s="1"/>
  <c r="V433" i="1" s="1"/>
  <c r="K433" i="5" s="1"/>
  <c r="T434" i="1"/>
  <c r="U434" i="1" s="1"/>
  <c r="V434" i="1" s="1"/>
  <c r="K434" i="5" s="1"/>
  <c r="T435" i="1"/>
  <c r="U435" i="1" s="1"/>
  <c r="V435" i="1" s="1"/>
  <c r="K435" i="5" s="1"/>
  <c r="T436" i="1"/>
  <c r="U436" i="1" s="1"/>
  <c r="V436" i="1" s="1"/>
  <c r="K436" i="5" s="1"/>
  <c r="T437" i="1"/>
  <c r="U437" i="1" s="1"/>
  <c r="V437" i="1" s="1"/>
  <c r="K437" i="5" s="1"/>
  <c r="T438" i="1"/>
  <c r="U438" i="1" s="1"/>
  <c r="V438" i="1" s="1"/>
  <c r="K438" i="5" s="1"/>
  <c r="T439" i="1"/>
  <c r="U439" i="1" s="1"/>
  <c r="V439" i="1" s="1"/>
  <c r="K439" i="5" s="1"/>
  <c r="T440" i="1"/>
  <c r="U440" i="1" s="1"/>
  <c r="V440" i="1" s="1"/>
  <c r="K440" i="5" s="1"/>
  <c r="T441" i="1"/>
  <c r="U441" i="1" s="1"/>
  <c r="V441" i="1" s="1"/>
  <c r="K441" i="5" s="1"/>
  <c r="T442" i="1"/>
  <c r="U442" i="1" s="1"/>
  <c r="V442" i="1" s="1"/>
  <c r="K442" i="5" s="1"/>
  <c r="T443" i="1"/>
  <c r="U443" i="1" s="1"/>
  <c r="V443" i="1" s="1"/>
  <c r="K443" i="5" s="1"/>
  <c r="T444" i="1"/>
  <c r="U444" i="1" s="1"/>
  <c r="V444" i="1" s="1"/>
  <c r="K444" i="5" s="1"/>
  <c r="T445" i="1"/>
  <c r="U445" i="1" s="1"/>
  <c r="V445" i="1" s="1"/>
  <c r="K445" i="5" s="1"/>
  <c r="T446" i="1"/>
  <c r="U446" i="1" s="1"/>
  <c r="V446" i="1" s="1"/>
  <c r="K446" i="5" s="1"/>
  <c r="T447" i="1"/>
  <c r="U447" i="1" s="1"/>
  <c r="V447" i="1" s="1"/>
  <c r="K447" i="5" s="1"/>
  <c r="T448" i="1"/>
  <c r="U448" i="1" s="1"/>
  <c r="V448" i="1" s="1"/>
  <c r="K448" i="5" s="1"/>
  <c r="T449" i="1"/>
  <c r="U449" i="1" s="1"/>
  <c r="V449" i="1" s="1"/>
  <c r="K449" i="5" s="1"/>
  <c r="T450" i="1"/>
  <c r="U450" i="1" s="1"/>
  <c r="V450" i="1" s="1"/>
  <c r="K450" i="5" s="1"/>
  <c r="T451" i="1"/>
  <c r="U451" i="1" s="1"/>
  <c r="V451" i="1" s="1"/>
  <c r="K451" i="5" s="1"/>
  <c r="T452" i="1"/>
  <c r="U452" i="1" s="1"/>
  <c r="V452" i="1" s="1"/>
  <c r="K452" i="5" s="1"/>
  <c r="T453" i="1"/>
  <c r="U453" i="1" s="1"/>
  <c r="V453" i="1" s="1"/>
  <c r="K453" i="5" s="1"/>
  <c r="T454" i="1"/>
  <c r="U454" i="1" s="1"/>
  <c r="V454" i="1" s="1"/>
  <c r="K454" i="5" s="1"/>
  <c r="T455" i="1"/>
  <c r="U455" i="1" s="1"/>
  <c r="V455" i="1" s="1"/>
  <c r="K455" i="5" s="1"/>
  <c r="T456" i="1"/>
  <c r="U456" i="1" s="1"/>
  <c r="V456" i="1" s="1"/>
  <c r="K456" i="5" s="1"/>
  <c r="T457" i="1"/>
  <c r="U457" i="1" s="1"/>
  <c r="V457" i="1" s="1"/>
  <c r="K457" i="5" s="1"/>
  <c r="T458" i="1"/>
  <c r="U458" i="1" s="1"/>
  <c r="V458" i="1" s="1"/>
  <c r="K458" i="5" s="1"/>
  <c r="T459" i="1"/>
  <c r="U459" i="1" s="1"/>
  <c r="V459" i="1" s="1"/>
  <c r="K459" i="5" s="1"/>
  <c r="T460" i="1"/>
  <c r="U460" i="1" s="1"/>
  <c r="V460" i="1" s="1"/>
  <c r="K460" i="5" s="1"/>
  <c r="T461" i="1"/>
  <c r="U461" i="1" s="1"/>
  <c r="V461" i="1" s="1"/>
  <c r="K461" i="5" s="1"/>
  <c r="T462" i="1"/>
  <c r="U462" i="1" s="1"/>
  <c r="V462" i="1" s="1"/>
  <c r="K462" i="5" s="1"/>
  <c r="T463" i="1"/>
  <c r="U463" i="1" s="1"/>
  <c r="V463" i="1" s="1"/>
  <c r="K463" i="5" s="1"/>
  <c r="T464" i="1"/>
  <c r="U464" i="1" s="1"/>
  <c r="V464" i="1" s="1"/>
  <c r="K464" i="5" s="1"/>
  <c r="T465" i="1"/>
  <c r="U465" i="1" s="1"/>
  <c r="V465" i="1" s="1"/>
  <c r="K465" i="5" s="1"/>
  <c r="T466" i="1"/>
  <c r="U466" i="1" s="1"/>
  <c r="V466" i="1" s="1"/>
  <c r="K466" i="5" s="1"/>
  <c r="T467" i="1"/>
  <c r="U467" i="1" s="1"/>
  <c r="V467" i="1" s="1"/>
  <c r="K467" i="5" s="1"/>
  <c r="T468" i="1"/>
  <c r="U468" i="1" s="1"/>
  <c r="V468" i="1" s="1"/>
  <c r="K468" i="5" s="1"/>
  <c r="T469" i="1"/>
  <c r="U469" i="1" s="1"/>
  <c r="V469" i="1" s="1"/>
  <c r="K469" i="5" s="1"/>
  <c r="T470" i="1"/>
  <c r="U470" i="1" s="1"/>
  <c r="V470" i="1" s="1"/>
  <c r="K470" i="5" s="1"/>
  <c r="T471" i="1"/>
  <c r="U471" i="1" s="1"/>
  <c r="V471" i="1" s="1"/>
  <c r="K471" i="5" s="1"/>
  <c r="T472" i="1"/>
  <c r="U472" i="1" s="1"/>
  <c r="V472" i="1" s="1"/>
  <c r="K472" i="5" s="1"/>
  <c r="T473" i="1"/>
  <c r="U473" i="1" s="1"/>
  <c r="V473" i="1" s="1"/>
  <c r="K473" i="5" s="1"/>
  <c r="T474" i="1"/>
  <c r="U474" i="1" s="1"/>
  <c r="V474" i="1" s="1"/>
  <c r="K474" i="5" s="1"/>
  <c r="T475" i="1"/>
  <c r="U475" i="1" s="1"/>
  <c r="V475" i="1" s="1"/>
  <c r="K475" i="5" s="1"/>
  <c r="T476" i="1"/>
  <c r="U476" i="1" s="1"/>
  <c r="V476" i="1" s="1"/>
  <c r="K476" i="5" s="1"/>
  <c r="T477" i="1"/>
  <c r="U477" i="1" s="1"/>
  <c r="V477" i="1" s="1"/>
  <c r="K477" i="5" s="1"/>
  <c r="T478" i="1"/>
  <c r="U478" i="1" s="1"/>
  <c r="V478" i="1" s="1"/>
  <c r="K478" i="5" s="1"/>
  <c r="T479" i="1"/>
  <c r="U479" i="1" s="1"/>
  <c r="V479" i="1" s="1"/>
  <c r="K479" i="5" s="1"/>
  <c r="T480" i="1"/>
  <c r="U480" i="1" s="1"/>
  <c r="V480" i="1" s="1"/>
  <c r="K480" i="5" s="1"/>
  <c r="T481" i="1"/>
  <c r="U481" i="1" s="1"/>
  <c r="V481" i="1" s="1"/>
  <c r="K481" i="5" s="1"/>
  <c r="T482" i="1"/>
  <c r="U482" i="1" s="1"/>
  <c r="V482" i="1" s="1"/>
  <c r="K482" i="5" s="1"/>
  <c r="T483" i="1"/>
  <c r="U483" i="1" s="1"/>
  <c r="V483" i="1" s="1"/>
  <c r="K483" i="5" s="1"/>
  <c r="T484" i="1"/>
  <c r="U484" i="1" s="1"/>
  <c r="V484" i="1" s="1"/>
  <c r="K484" i="5" s="1"/>
  <c r="T485" i="1"/>
  <c r="U485" i="1" s="1"/>
  <c r="V485" i="1" s="1"/>
  <c r="K485" i="5" s="1"/>
  <c r="T486" i="1"/>
  <c r="U486" i="1" s="1"/>
  <c r="V486" i="1" s="1"/>
  <c r="K486" i="5" s="1"/>
  <c r="T487" i="1"/>
  <c r="U487" i="1" s="1"/>
  <c r="V487" i="1" s="1"/>
  <c r="K487" i="5" s="1"/>
  <c r="T488" i="1"/>
  <c r="U488" i="1" s="1"/>
  <c r="V488" i="1" s="1"/>
  <c r="K488" i="5" s="1"/>
  <c r="T489" i="1"/>
  <c r="U489" i="1" s="1"/>
  <c r="V489" i="1" s="1"/>
  <c r="K489" i="5" s="1"/>
  <c r="T490" i="1"/>
  <c r="U490" i="1" s="1"/>
  <c r="V490" i="1" s="1"/>
  <c r="K490" i="5" s="1"/>
  <c r="T491" i="1"/>
  <c r="U491" i="1" s="1"/>
  <c r="V491" i="1" s="1"/>
  <c r="K491" i="5" s="1"/>
  <c r="T492" i="1"/>
  <c r="U492" i="1" s="1"/>
  <c r="V492" i="1" s="1"/>
  <c r="K492" i="5" s="1"/>
  <c r="T493" i="1"/>
  <c r="U493" i="1" s="1"/>
  <c r="V493" i="1" s="1"/>
  <c r="K493" i="5" s="1"/>
  <c r="T494" i="1"/>
  <c r="U494" i="1" s="1"/>
  <c r="V494" i="1" s="1"/>
  <c r="K494" i="5" s="1"/>
  <c r="T495" i="1"/>
  <c r="U495" i="1" s="1"/>
  <c r="V495" i="1" s="1"/>
  <c r="K495" i="5" s="1"/>
  <c r="T496" i="1"/>
  <c r="U496" i="1" s="1"/>
  <c r="V496" i="1" s="1"/>
  <c r="K496" i="5" s="1"/>
  <c r="T497" i="1"/>
  <c r="U497" i="1" s="1"/>
  <c r="V497" i="1" s="1"/>
  <c r="K497" i="5" s="1"/>
  <c r="T498" i="1"/>
  <c r="U498" i="1" s="1"/>
  <c r="V498" i="1" s="1"/>
  <c r="K498" i="5" s="1"/>
  <c r="T499" i="1"/>
  <c r="U499" i="1" s="1"/>
  <c r="V499" i="1" s="1"/>
  <c r="K499" i="5" s="1"/>
  <c r="T500" i="1"/>
  <c r="U500" i="1" s="1"/>
  <c r="V500" i="1" s="1"/>
  <c r="K500" i="5" s="1"/>
  <c r="T501" i="1"/>
  <c r="U501" i="1" s="1"/>
  <c r="V501" i="1" s="1"/>
  <c r="K501" i="5" s="1"/>
  <c r="T502" i="1"/>
  <c r="U502" i="1" s="1"/>
  <c r="V502" i="1" s="1"/>
  <c r="K502" i="5" s="1"/>
  <c r="T503" i="1"/>
  <c r="U503" i="1" s="1"/>
  <c r="V503" i="1" s="1"/>
  <c r="K503" i="5" s="1"/>
  <c r="T504" i="1"/>
  <c r="U504" i="1" s="1"/>
  <c r="V504" i="1" s="1"/>
  <c r="K504" i="5" s="1"/>
  <c r="T505" i="1"/>
  <c r="U505" i="1" s="1"/>
  <c r="V505" i="1" s="1"/>
  <c r="K505" i="5" s="1"/>
  <c r="T506" i="1"/>
  <c r="U506" i="1" s="1"/>
  <c r="V506" i="1" s="1"/>
  <c r="K506" i="5" s="1"/>
  <c r="T507" i="1"/>
  <c r="U507" i="1" s="1"/>
  <c r="V507" i="1" s="1"/>
  <c r="K507" i="5" s="1"/>
  <c r="T508" i="1"/>
  <c r="U508" i="1" s="1"/>
  <c r="V508" i="1" s="1"/>
  <c r="K508" i="5" s="1"/>
  <c r="T509" i="1"/>
  <c r="U509" i="1" s="1"/>
  <c r="V509" i="1" s="1"/>
  <c r="K509" i="5" s="1"/>
  <c r="T510" i="1"/>
  <c r="U510" i="1" s="1"/>
  <c r="V510" i="1" s="1"/>
  <c r="K510" i="5" s="1"/>
  <c r="T511" i="1"/>
  <c r="U511" i="1" s="1"/>
  <c r="V511" i="1" s="1"/>
  <c r="K511" i="5" s="1"/>
  <c r="T512" i="1"/>
  <c r="U512" i="1" s="1"/>
  <c r="V512" i="1" s="1"/>
  <c r="K512" i="5" s="1"/>
  <c r="T513" i="1"/>
  <c r="U513" i="1" s="1"/>
  <c r="V513" i="1" s="1"/>
  <c r="K513" i="5" s="1"/>
  <c r="T514" i="1"/>
  <c r="U514" i="1" s="1"/>
  <c r="V514" i="1" s="1"/>
  <c r="K514" i="5" s="1"/>
  <c r="T515" i="1"/>
  <c r="U515" i="1" s="1"/>
  <c r="V515" i="1" s="1"/>
  <c r="K515" i="5" s="1"/>
  <c r="T516" i="1"/>
  <c r="U516" i="1" s="1"/>
  <c r="V516" i="1" s="1"/>
  <c r="K516" i="5" s="1"/>
  <c r="T517" i="1"/>
  <c r="U517" i="1" s="1"/>
  <c r="V517" i="1" s="1"/>
  <c r="K517" i="5" s="1"/>
  <c r="T518" i="1"/>
  <c r="U518" i="1" s="1"/>
  <c r="V518" i="1" s="1"/>
  <c r="K518" i="5" s="1"/>
  <c r="T519" i="1"/>
  <c r="U519" i="1" s="1"/>
  <c r="V519" i="1" s="1"/>
  <c r="K519" i="5" s="1"/>
  <c r="T520" i="1"/>
  <c r="U520" i="1" s="1"/>
  <c r="V520" i="1" s="1"/>
  <c r="K520" i="5" s="1"/>
  <c r="T521" i="1"/>
  <c r="U521" i="1" s="1"/>
  <c r="V521" i="1" s="1"/>
  <c r="K521" i="5" s="1"/>
  <c r="T522" i="1"/>
  <c r="U522" i="1" s="1"/>
  <c r="V522" i="1" s="1"/>
  <c r="K522" i="5" s="1"/>
  <c r="T523" i="1"/>
  <c r="U523" i="1" s="1"/>
  <c r="V523" i="1" s="1"/>
  <c r="K523" i="5" s="1"/>
  <c r="T524" i="1"/>
  <c r="U524" i="1" s="1"/>
  <c r="V524" i="1" s="1"/>
  <c r="K524" i="5" s="1"/>
  <c r="T525" i="1"/>
  <c r="U525" i="1" s="1"/>
  <c r="V525" i="1" s="1"/>
  <c r="K525" i="5" s="1"/>
  <c r="T526" i="1"/>
  <c r="U526" i="1" s="1"/>
  <c r="V526" i="1" s="1"/>
  <c r="K526" i="5" s="1"/>
  <c r="T527" i="1"/>
  <c r="U527" i="1" s="1"/>
  <c r="V527" i="1" s="1"/>
  <c r="K527" i="5" s="1"/>
  <c r="T528" i="1"/>
  <c r="U528" i="1" s="1"/>
  <c r="V528" i="1" s="1"/>
  <c r="K528" i="5" s="1"/>
  <c r="T529" i="1"/>
  <c r="U529" i="1" s="1"/>
  <c r="V529" i="1" s="1"/>
  <c r="K529" i="5" s="1"/>
  <c r="T530" i="1"/>
  <c r="U530" i="1" s="1"/>
  <c r="V530" i="1" s="1"/>
  <c r="K530" i="5" s="1"/>
  <c r="T531" i="1"/>
  <c r="U531" i="1" s="1"/>
  <c r="V531" i="1" s="1"/>
  <c r="K531" i="5" s="1"/>
  <c r="T532" i="1"/>
  <c r="U532" i="1" s="1"/>
  <c r="V532" i="1" s="1"/>
  <c r="K532" i="5" s="1"/>
  <c r="T533" i="1"/>
  <c r="U533" i="1" s="1"/>
  <c r="V533" i="1" s="1"/>
  <c r="K533" i="5" s="1"/>
  <c r="T534" i="1"/>
  <c r="U534" i="1" s="1"/>
  <c r="V534" i="1" s="1"/>
  <c r="K534" i="5" s="1"/>
  <c r="T535" i="1"/>
  <c r="U535" i="1" s="1"/>
  <c r="V535" i="1" s="1"/>
  <c r="K535" i="5" s="1"/>
  <c r="T536" i="1"/>
  <c r="U536" i="1" s="1"/>
  <c r="V536" i="1" s="1"/>
  <c r="K536" i="5" s="1"/>
  <c r="T537" i="1"/>
  <c r="U537" i="1" s="1"/>
  <c r="V537" i="1" s="1"/>
  <c r="K537" i="5" s="1"/>
  <c r="T538" i="1"/>
  <c r="U538" i="1" s="1"/>
  <c r="V538" i="1" s="1"/>
  <c r="K538" i="5" s="1"/>
  <c r="T539" i="1"/>
  <c r="U539" i="1" s="1"/>
  <c r="V539" i="1" s="1"/>
  <c r="K539" i="5" s="1"/>
  <c r="T540" i="1"/>
  <c r="U540" i="1" s="1"/>
  <c r="V540" i="1" s="1"/>
  <c r="K540" i="5" s="1"/>
  <c r="T541" i="1"/>
  <c r="U541" i="1" s="1"/>
  <c r="V541" i="1" s="1"/>
  <c r="K541" i="5" s="1"/>
  <c r="T542" i="1"/>
  <c r="U542" i="1" s="1"/>
  <c r="V542" i="1" s="1"/>
  <c r="K542" i="5" s="1"/>
  <c r="T543" i="1"/>
  <c r="U543" i="1" s="1"/>
  <c r="V543" i="1" s="1"/>
  <c r="K543" i="5" s="1"/>
  <c r="T544" i="1"/>
  <c r="U544" i="1" s="1"/>
  <c r="V544" i="1" s="1"/>
  <c r="K544" i="5" s="1"/>
  <c r="T545" i="1"/>
  <c r="U545" i="1" s="1"/>
  <c r="V545" i="1" s="1"/>
  <c r="K545" i="5" s="1"/>
  <c r="T546" i="1"/>
  <c r="U546" i="1" s="1"/>
  <c r="V546" i="1" s="1"/>
  <c r="K546" i="5" s="1"/>
  <c r="T547" i="1"/>
  <c r="U547" i="1" s="1"/>
  <c r="V547" i="1" s="1"/>
  <c r="K547" i="5" s="1"/>
  <c r="T548" i="1"/>
  <c r="U548" i="1" s="1"/>
  <c r="V548" i="1" s="1"/>
  <c r="K548" i="5" s="1"/>
  <c r="T549" i="1"/>
  <c r="U549" i="1" s="1"/>
  <c r="V549" i="1" s="1"/>
  <c r="K549" i="5" s="1"/>
  <c r="T550" i="1"/>
  <c r="U550" i="1" s="1"/>
  <c r="V550" i="1" s="1"/>
  <c r="K550" i="5" s="1"/>
  <c r="T551" i="1"/>
  <c r="U551" i="1" s="1"/>
  <c r="V551" i="1" s="1"/>
  <c r="K551" i="5" s="1"/>
  <c r="T552" i="1"/>
  <c r="U552" i="1" s="1"/>
  <c r="V552" i="1" s="1"/>
  <c r="K552" i="5" s="1"/>
  <c r="T553" i="1"/>
  <c r="U553" i="1" s="1"/>
  <c r="V553" i="1" s="1"/>
  <c r="K553" i="5" s="1"/>
  <c r="T554" i="1"/>
  <c r="U554" i="1" s="1"/>
  <c r="V554" i="1" s="1"/>
  <c r="K554" i="5" s="1"/>
  <c r="T555" i="1"/>
  <c r="U555" i="1" s="1"/>
  <c r="V555" i="1" s="1"/>
  <c r="K555" i="5" s="1"/>
  <c r="T556" i="1"/>
  <c r="U556" i="1" s="1"/>
  <c r="V556" i="1" s="1"/>
  <c r="K556" i="5" s="1"/>
  <c r="T557" i="1"/>
  <c r="U557" i="1" s="1"/>
  <c r="V557" i="1" s="1"/>
  <c r="K557" i="5" s="1"/>
  <c r="T558" i="1"/>
  <c r="U558" i="1" s="1"/>
  <c r="V558" i="1" s="1"/>
  <c r="K558" i="5" s="1"/>
  <c r="T559" i="1"/>
  <c r="U559" i="1" s="1"/>
  <c r="V559" i="1" s="1"/>
  <c r="K559" i="5" s="1"/>
  <c r="T560" i="1"/>
  <c r="U560" i="1" s="1"/>
  <c r="V560" i="1" s="1"/>
  <c r="K560" i="5" s="1"/>
  <c r="T561" i="1"/>
  <c r="U561" i="1" s="1"/>
  <c r="V561" i="1" s="1"/>
  <c r="K561" i="5" s="1"/>
  <c r="T562" i="1"/>
  <c r="U562" i="1" s="1"/>
  <c r="V562" i="1" s="1"/>
  <c r="K562" i="5" s="1"/>
  <c r="T563" i="1"/>
  <c r="U563" i="1" s="1"/>
  <c r="V563" i="1" s="1"/>
  <c r="K563" i="5" s="1"/>
  <c r="T564" i="1"/>
  <c r="U564" i="1" s="1"/>
  <c r="V564" i="1" s="1"/>
  <c r="K564" i="5" s="1"/>
  <c r="T565" i="1"/>
  <c r="U565" i="1" s="1"/>
  <c r="V565" i="1" s="1"/>
  <c r="K565" i="5" s="1"/>
  <c r="T566" i="1"/>
  <c r="U566" i="1" s="1"/>
  <c r="V566" i="1" s="1"/>
  <c r="K566" i="5" s="1"/>
  <c r="T567" i="1"/>
  <c r="U567" i="1" s="1"/>
  <c r="V567" i="1" s="1"/>
  <c r="K567" i="5" s="1"/>
  <c r="T568" i="1"/>
  <c r="U568" i="1" s="1"/>
  <c r="V568" i="1" s="1"/>
  <c r="K568" i="5" s="1"/>
  <c r="T569" i="1"/>
  <c r="U569" i="1" s="1"/>
  <c r="V569" i="1" s="1"/>
  <c r="K569" i="5" s="1"/>
  <c r="T570" i="1"/>
  <c r="U570" i="1" s="1"/>
  <c r="V570" i="1" s="1"/>
  <c r="K570" i="5" s="1"/>
  <c r="T571" i="1"/>
  <c r="U571" i="1" s="1"/>
  <c r="V571" i="1" s="1"/>
  <c r="K571" i="5" s="1"/>
  <c r="T572" i="1"/>
  <c r="U572" i="1" s="1"/>
  <c r="V572" i="1" s="1"/>
  <c r="K572" i="5" s="1"/>
  <c r="T573" i="1"/>
  <c r="U573" i="1" s="1"/>
  <c r="V573" i="1" s="1"/>
  <c r="K573" i="5" s="1"/>
  <c r="T574" i="1"/>
  <c r="U574" i="1" s="1"/>
  <c r="V574" i="1" s="1"/>
  <c r="K574" i="5" s="1"/>
  <c r="T575" i="1"/>
  <c r="U575" i="1" s="1"/>
  <c r="V575" i="1" s="1"/>
  <c r="K575" i="5" s="1"/>
  <c r="T576" i="1"/>
  <c r="U576" i="1" s="1"/>
  <c r="V576" i="1" s="1"/>
  <c r="K576" i="5" s="1"/>
  <c r="T577" i="1"/>
  <c r="U577" i="1" s="1"/>
  <c r="V577" i="1" s="1"/>
  <c r="K577" i="5" s="1"/>
  <c r="T578" i="1"/>
  <c r="U578" i="1" s="1"/>
  <c r="V578" i="1" s="1"/>
  <c r="K578" i="5" s="1"/>
  <c r="T579" i="1"/>
  <c r="U579" i="1" s="1"/>
  <c r="V579" i="1" s="1"/>
  <c r="K579" i="5" s="1"/>
  <c r="T580" i="1"/>
  <c r="U580" i="1" s="1"/>
  <c r="V580" i="1" s="1"/>
  <c r="K580" i="5" s="1"/>
  <c r="T581" i="1"/>
  <c r="U581" i="1" s="1"/>
  <c r="V581" i="1" s="1"/>
  <c r="K581" i="5" s="1"/>
  <c r="T582" i="1"/>
  <c r="U582" i="1" s="1"/>
  <c r="V582" i="1" s="1"/>
  <c r="K582" i="5" s="1"/>
  <c r="T583" i="1"/>
  <c r="U583" i="1" s="1"/>
  <c r="V583" i="1" s="1"/>
  <c r="K583" i="5" s="1"/>
  <c r="T584" i="1"/>
  <c r="U584" i="1" s="1"/>
  <c r="V584" i="1" s="1"/>
  <c r="K584" i="5" s="1"/>
  <c r="T585" i="1"/>
  <c r="U585" i="1" s="1"/>
  <c r="V585" i="1" s="1"/>
  <c r="K585" i="5" s="1"/>
  <c r="T586" i="1"/>
  <c r="U586" i="1" s="1"/>
  <c r="V586" i="1" s="1"/>
  <c r="K586" i="5" s="1"/>
  <c r="T587" i="1"/>
  <c r="U587" i="1" s="1"/>
  <c r="V587" i="1" s="1"/>
  <c r="K587" i="5" s="1"/>
  <c r="T588" i="1"/>
  <c r="U588" i="1" s="1"/>
  <c r="V588" i="1" s="1"/>
  <c r="K588" i="5" s="1"/>
  <c r="T589" i="1"/>
  <c r="U589" i="1" s="1"/>
  <c r="V589" i="1" s="1"/>
  <c r="K589" i="5" s="1"/>
  <c r="T590" i="1"/>
  <c r="U590" i="1" s="1"/>
  <c r="V590" i="1" s="1"/>
  <c r="K590" i="5" s="1"/>
  <c r="T591" i="1"/>
  <c r="U591" i="1" s="1"/>
  <c r="V591" i="1" s="1"/>
  <c r="K591" i="5" s="1"/>
  <c r="T592" i="1"/>
  <c r="U592" i="1" s="1"/>
  <c r="V592" i="1" s="1"/>
  <c r="K592" i="5" s="1"/>
  <c r="T593" i="1"/>
  <c r="U593" i="1" s="1"/>
  <c r="V593" i="1" s="1"/>
  <c r="K593" i="5" s="1"/>
  <c r="T594" i="1"/>
  <c r="U594" i="1" s="1"/>
  <c r="V594" i="1" s="1"/>
  <c r="K594" i="5" s="1"/>
  <c r="T595" i="1"/>
  <c r="U595" i="1" s="1"/>
  <c r="V595" i="1" s="1"/>
  <c r="K595" i="5" s="1"/>
  <c r="T596" i="1"/>
  <c r="U596" i="1" s="1"/>
  <c r="V596" i="1" s="1"/>
  <c r="K596" i="5" s="1"/>
  <c r="T597" i="1"/>
  <c r="U597" i="1" s="1"/>
  <c r="V597" i="1" s="1"/>
  <c r="K597" i="5" s="1"/>
  <c r="T598" i="1"/>
  <c r="U598" i="1" s="1"/>
  <c r="V598" i="1" s="1"/>
  <c r="K598" i="5" s="1"/>
  <c r="T599" i="1"/>
  <c r="U599" i="1" s="1"/>
  <c r="V599" i="1" s="1"/>
  <c r="K599" i="5" s="1"/>
  <c r="T600" i="1"/>
  <c r="U600" i="1" s="1"/>
  <c r="V600" i="1" s="1"/>
  <c r="K600" i="5" s="1"/>
  <c r="T601" i="1"/>
  <c r="U601" i="1" s="1"/>
  <c r="V601" i="1" s="1"/>
  <c r="K601" i="5" s="1"/>
  <c r="T602" i="1"/>
  <c r="U602" i="1" s="1"/>
  <c r="V602" i="1" s="1"/>
  <c r="K602" i="5" s="1"/>
  <c r="T603" i="1"/>
  <c r="U603" i="1" s="1"/>
  <c r="V603" i="1" s="1"/>
  <c r="K603" i="5" s="1"/>
  <c r="T604" i="1"/>
  <c r="U604" i="1" s="1"/>
  <c r="V604" i="1" s="1"/>
  <c r="K604" i="5" s="1"/>
  <c r="T605" i="1"/>
  <c r="U605" i="1" s="1"/>
  <c r="V605" i="1" s="1"/>
  <c r="K605" i="5" s="1"/>
  <c r="T606" i="1"/>
  <c r="U606" i="1" s="1"/>
  <c r="V606" i="1" s="1"/>
  <c r="K606" i="5" s="1"/>
  <c r="T607" i="1"/>
  <c r="U607" i="1" s="1"/>
  <c r="V607" i="1" s="1"/>
  <c r="K607" i="5" s="1"/>
  <c r="T608" i="1"/>
  <c r="U608" i="1" s="1"/>
  <c r="V608" i="1" s="1"/>
  <c r="K608" i="5" s="1"/>
  <c r="T609" i="1"/>
  <c r="U609" i="1" s="1"/>
  <c r="V609" i="1" s="1"/>
  <c r="K609" i="5" s="1"/>
  <c r="T610" i="1"/>
  <c r="U610" i="1" s="1"/>
  <c r="V610" i="1" s="1"/>
  <c r="K610" i="5" s="1"/>
  <c r="T611" i="1"/>
  <c r="U611" i="1" s="1"/>
  <c r="V611" i="1" s="1"/>
  <c r="K611" i="5" s="1"/>
  <c r="T612" i="1"/>
  <c r="U612" i="1" s="1"/>
  <c r="V612" i="1" s="1"/>
  <c r="K612" i="5" s="1"/>
  <c r="T613" i="1"/>
  <c r="U613" i="1" s="1"/>
  <c r="V613" i="1" s="1"/>
  <c r="K613" i="5" s="1"/>
  <c r="T614" i="1"/>
  <c r="U614" i="1" s="1"/>
  <c r="V614" i="1" s="1"/>
  <c r="K614" i="5" s="1"/>
  <c r="T615" i="1"/>
  <c r="U615" i="1" s="1"/>
  <c r="V615" i="1" s="1"/>
  <c r="K615" i="5" s="1"/>
  <c r="T616" i="1"/>
  <c r="U616" i="1" s="1"/>
  <c r="V616" i="1" s="1"/>
  <c r="K616" i="5" s="1"/>
  <c r="T617" i="1"/>
  <c r="U617" i="1" s="1"/>
  <c r="V617" i="1" s="1"/>
  <c r="K617" i="5" s="1"/>
  <c r="T618" i="1"/>
  <c r="U618" i="1" s="1"/>
  <c r="V618" i="1" s="1"/>
  <c r="K618" i="5" s="1"/>
  <c r="T619" i="1"/>
  <c r="U619" i="1" s="1"/>
  <c r="V619" i="1" s="1"/>
  <c r="K619" i="5" s="1"/>
  <c r="T620" i="1"/>
  <c r="U620" i="1" s="1"/>
  <c r="V620" i="1" s="1"/>
  <c r="K620" i="5" s="1"/>
  <c r="T621" i="1"/>
  <c r="U621" i="1" s="1"/>
  <c r="V621" i="1" s="1"/>
  <c r="K621" i="5" s="1"/>
  <c r="T622" i="1"/>
  <c r="U622" i="1" s="1"/>
  <c r="V622" i="1" s="1"/>
  <c r="K622" i="5" s="1"/>
  <c r="T623" i="1"/>
  <c r="U623" i="1" s="1"/>
  <c r="V623" i="1" s="1"/>
  <c r="K623" i="5" s="1"/>
  <c r="T624" i="1"/>
  <c r="U624" i="1" s="1"/>
  <c r="V624" i="1" s="1"/>
  <c r="K624" i="5" s="1"/>
  <c r="T625" i="1"/>
  <c r="U625" i="1" s="1"/>
  <c r="V625" i="1" s="1"/>
  <c r="K625" i="5" s="1"/>
  <c r="T626" i="1"/>
  <c r="U626" i="1" s="1"/>
  <c r="V626" i="1" s="1"/>
  <c r="K626" i="5" s="1"/>
  <c r="T627" i="1"/>
  <c r="U627" i="1" s="1"/>
  <c r="V627" i="1" s="1"/>
  <c r="K627" i="5" s="1"/>
  <c r="T628" i="1"/>
  <c r="U628" i="1" s="1"/>
  <c r="V628" i="1" s="1"/>
  <c r="K628" i="5" s="1"/>
  <c r="T629" i="1"/>
  <c r="U629" i="1" s="1"/>
  <c r="V629" i="1" s="1"/>
  <c r="K629" i="5" s="1"/>
  <c r="T630" i="1"/>
  <c r="U630" i="1" s="1"/>
  <c r="V630" i="1" s="1"/>
  <c r="K630" i="5" s="1"/>
  <c r="T631" i="1"/>
  <c r="U631" i="1" s="1"/>
  <c r="V631" i="1" s="1"/>
  <c r="K631" i="5" s="1"/>
  <c r="T632" i="1"/>
  <c r="U632" i="1" s="1"/>
  <c r="V632" i="1" s="1"/>
  <c r="K632" i="5" s="1"/>
  <c r="T633" i="1"/>
  <c r="U633" i="1" s="1"/>
  <c r="V633" i="1" s="1"/>
  <c r="K633" i="5" s="1"/>
  <c r="T634" i="1"/>
  <c r="U634" i="1" s="1"/>
  <c r="V634" i="1" s="1"/>
  <c r="K634" i="5" s="1"/>
  <c r="T635" i="1"/>
  <c r="U635" i="1" s="1"/>
  <c r="V635" i="1" s="1"/>
  <c r="K635" i="5" s="1"/>
  <c r="T636" i="1"/>
  <c r="U636" i="1" s="1"/>
  <c r="V636" i="1" s="1"/>
  <c r="K636" i="5" s="1"/>
  <c r="T637" i="1"/>
  <c r="U637" i="1" s="1"/>
  <c r="V637" i="1" s="1"/>
  <c r="K637" i="5" s="1"/>
  <c r="T638" i="1"/>
  <c r="U638" i="1" s="1"/>
  <c r="V638" i="1" s="1"/>
  <c r="K638" i="5" s="1"/>
  <c r="T639" i="1"/>
  <c r="U639" i="1" s="1"/>
  <c r="V639" i="1" s="1"/>
  <c r="K639" i="5" s="1"/>
  <c r="T640" i="1"/>
  <c r="U640" i="1" s="1"/>
  <c r="V640" i="1" s="1"/>
  <c r="K640" i="5" s="1"/>
  <c r="T641" i="1"/>
  <c r="U641" i="1" s="1"/>
  <c r="V641" i="1" s="1"/>
  <c r="K641" i="5" s="1"/>
  <c r="T642" i="1"/>
  <c r="U642" i="1" s="1"/>
  <c r="V642" i="1" s="1"/>
  <c r="K642" i="5" s="1"/>
  <c r="T643" i="1"/>
  <c r="U643" i="1" s="1"/>
  <c r="V643" i="1" s="1"/>
  <c r="K643" i="5" s="1"/>
  <c r="T644" i="1"/>
  <c r="U644" i="1" s="1"/>
  <c r="V644" i="1" s="1"/>
  <c r="K644" i="5" s="1"/>
  <c r="T645" i="1"/>
  <c r="U645" i="1" s="1"/>
  <c r="V645" i="1" s="1"/>
  <c r="K645" i="5" s="1"/>
  <c r="T646" i="1"/>
  <c r="U646" i="1" s="1"/>
  <c r="V646" i="1" s="1"/>
  <c r="K646" i="5" s="1"/>
  <c r="T647" i="1"/>
  <c r="U647" i="1" s="1"/>
  <c r="V647" i="1" s="1"/>
  <c r="K647" i="5" s="1"/>
  <c r="T648" i="1"/>
  <c r="U648" i="1" s="1"/>
  <c r="V648" i="1" s="1"/>
  <c r="K648" i="5" s="1"/>
  <c r="T649" i="1"/>
  <c r="U649" i="1" s="1"/>
  <c r="V649" i="1" s="1"/>
  <c r="K649" i="5" s="1"/>
  <c r="T650" i="1"/>
  <c r="U650" i="1" s="1"/>
  <c r="V650" i="1" s="1"/>
  <c r="K650" i="5" s="1"/>
  <c r="T651" i="1"/>
  <c r="U651" i="1" s="1"/>
  <c r="V651" i="1" s="1"/>
  <c r="K651" i="5" s="1"/>
  <c r="T652" i="1"/>
  <c r="U652" i="1" s="1"/>
  <c r="V652" i="1" s="1"/>
  <c r="K652" i="5" s="1"/>
  <c r="T653" i="1"/>
  <c r="U653" i="1" s="1"/>
  <c r="V653" i="1" s="1"/>
  <c r="K653" i="5" s="1"/>
  <c r="T654" i="1"/>
  <c r="U654" i="1" s="1"/>
  <c r="V654" i="1" s="1"/>
  <c r="K654" i="5" s="1"/>
  <c r="T655" i="1"/>
  <c r="U655" i="1" s="1"/>
  <c r="V655" i="1" s="1"/>
  <c r="K655" i="5" s="1"/>
  <c r="T656" i="1"/>
  <c r="U656" i="1" s="1"/>
  <c r="V656" i="1" s="1"/>
  <c r="K656" i="5" s="1"/>
  <c r="T657" i="1"/>
  <c r="U657" i="1" s="1"/>
  <c r="V657" i="1" s="1"/>
  <c r="K657" i="5" s="1"/>
  <c r="T658" i="1"/>
  <c r="U658" i="1" s="1"/>
  <c r="V658" i="1" s="1"/>
  <c r="K658" i="5" s="1"/>
  <c r="T659" i="1"/>
  <c r="U659" i="1" s="1"/>
  <c r="V659" i="1" s="1"/>
  <c r="K659" i="5" s="1"/>
  <c r="T660" i="1"/>
  <c r="U660" i="1" s="1"/>
  <c r="V660" i="1" s="1"/>
  <c r="K660" i="5" s="1"/>
  <c r="T661" i="1"/>
  <c r="U661" i="1" s="1"/>
  <c r="V661" i="1" s="1"/>
  <c r="K661" i="5" s="1"/>
  <c r="T662" i="1"/>
  <c r="U662" i="1" s="1"/>
  <c r="V662" i="1" s="1"/>
  <c r="K662" i="5" s="1"/>
  <c r="T663" i="1"/>
  <c r="U663" i="1" s="1"/>
  <c r="V663" i="1" s="1"/>
  <c r="K663" i="5" s="1"/>
  <c r="T664" i="1"/>
  <c r="U664" i="1" s="1"/>
  <c r="V664" i="1" s="1"/>
  <c r="K664" i="5" s="1"/>
  <c r="T665" i="1"/>
  <c r="U665" i="1" s="1"/>
  <c r="V665" i="1" s="1"/>
  <c r="K665" i="5" s="1"/>
  <c r="T666" i="1"/>
  <c r="U666" i="1" s="1"/>
  <c r="V666" i="1" s="1"/>
  <c r="K666" i="5" s="1"/>
  <c r="T667" i="1"/>
  <c r="U667" i="1" s="1"/>
  <c r="V667" i="1" s="1"/>
  <c r="K667" i="5" s="1"/>
  <c r="T668" i="1"/>
  <c r="U668" i="1" s="1"/>
  <c r="V668" i="1" s="1"/>
  <c r="K668" i="5" s="1"/>
  <c r="T669" i="1"/>
  <c r="U669" i="1" s="1"/>
  <c r="V669" i="1" s="1"/>
  <c r="K669" i="5" s="1"/>
  <c r="T670" i="1"/>
  <c r="U670" i="1" s="1"/>
  <c r="V670" i="1" s="1"/>
  <c r="K670" i="5" s="1"/>
  <c r="T671" i="1"/>
  <c r="U671" i="1" s="1"/>
  <c r="V671" i="1" s="1"/>
  <c r="K671" i="5" s="1"/>
  <c r="T672" i="1"/>
  <c r="U672" i="1" s="1"/>
  <c r="V672" i="1" s="1"/>
  <c r="K672" i="5" s="1"/>
  <c r="T673" i="1"/>
  <c r="U673" i="1" s="1"/>
  <c r="V673" i="1" s="1"/>
  <c r="K673" i="5" s="1"/>
  <c r="T674" i="1"/>
  <c r="U674" i="1" s="1"/>
  <c r="V674" i="1" s="1"/>
  <c r="K674" i="5" s="1"/>
  <c r="T675" i="1"/>
  <c r="U675" i="1" s="1"/>
  <c r="V675" i="1" s="1"/>
  <c r="K675" i="5" s="1"/>
  <c r="T676" i="1"/>
  <c r="U676" i="1" s="1"/>
  <c r="V676" i="1" s="1"/>
  <c r="K676" i="5" s="1"/>
  <c r="T677" i="1"/>
  <c r="U677" i="1" s="1"/>
  <c r="V677" i="1" s="1"/>
  <c r="K677" i="5" s="1"/>
  <c r="T678" i="1"/>
  <c r="U678" i="1" s="1"/>
  <c r="V678" i="1" s="1"/>
  <c r="K678" i="5" s="1"/>
  <c r="T679" i="1"/>
  <c r="U679" i="1" s="1"/>
  <c r="V679" i="1" s="1"/>
  <c r="K679" i="5" s="1"/>
  <c r="T680" i="1"/>
  <c r="U680" i="1" s="1"/>
  <c r="V680" i="1" s="1"/>
  <c r="K680" i="5" s="1"/>
  <c r="T681" i="1"/>
  <c r="U681" i="1" s="1"/>
  <c r="V681" i="1" s="1"/>
  <c r="K681" i="5" s="1"/>
  <c r="T682" i="1"/>
  <c r="U682" i="1" s="1"/>
  <c r="V682" i="1" s="1"/>
  <c r="K682" i="5" s="1"/>
  <c r="T683" i="1"/>
  <c r="U683" i="1" s="1"/>
  <c r="V683" i="1" s="1"/>
  <c r="K683" i="5" s="1"/>
  <c r="T684" i="1"/>
  <c r="U684" i="1" s="1"/>
  <c r="V684" i="1" s="1"/>
  <c r="K684" i="5" s="1"/>
  <c r="T685" i="1"/>
  <c r="U685" i="1" s="1"/>
  <c r="V685" i="1" s="1"/>
  <c r="K685" i="5" s="1"/>
  <c r="T686" i="1"/>
  <c r="U686" i="1" s="1"/>
  <c r="V686" i="1" s="1"/>
  <c r="K686" i="5" s="1"/>
  <c r="T687" i="1"/>
  <c r="U687" i="1" s="1"/>
  <c r="V687" i="1" s="1"/>
  <c r="K687" i="5" s="1"/>
  <c r="T688" i="1"/>
  <c r="U688" i="1" s="1"/>
  <c r="V688" i="1" s="1"/>
  <c r="K688" i="5" s="1"/>
  <c r="T689" i="1"/>
  <c r="U689" i="1" s="1"/>
  <c r="V689" i="1" s="1"/>
  <c r="K689" i="5" s="1"/>
  <c r="T690" i="1"/>
  <c r="U690" i="1" s="1"/>
  <c r="V690" i="1" s="1"/>
  <c r="K690" i="5" s="1"/>
  <c r="T691" i="1"/>
  <c r="U691" i="1" s="1"/>
  <c r="V691" i="1" s="1"/>
  <c r="K691" i="5" s="1"/>
  <c r="T692" i="1"/>
  <c r="U692" i="1" s="1"/>
  <c r="V692" i="1" s="1"/>
  <c r="K692" i="5" s="1"/>
  <c r="T693" i="1"/>
  <c r="U693" i="1" s="1"/>
  <c r="V693" i="1" s="1"/>
  <c r="K693" i="5" s="1"/>
  <c r="T694" i="1"/>
  <c r="U694" i="1" s="1"/>
  <c r="V694" i="1" s="1"/>
  <c r="K694" i="5" s="1"/>
  <c r="T695" i="1"/>
  <c r="U695" i="1" s="1"/>
  <c r="V695" i="1" s="1"/>
  <c r="K695" i="5" s="1"/>
  <c r="T696" i="1"/>
  <c r="U696" i="1" s="1"/>
  <c r="V696" i="1" s="1"/>
  <c r="K696" i="5" s="1"/>
  <c r="T697" i="1"/>
  <c r="U697" i="1" s="1"/>
  <c r="V697" i="1" s="1"/>
  <c r="K697" i="5" s="1"/>
  <c r="T698" i="1"/>
  <c r="U698" i="1" s="1"/>
  <c r="V698" i="1" s="1"/>
  <c r="K698" i="5" s="1"/>
  <c r="T699" i="1"/>
  <c r="U699" i="1" s="1"/>
  <c r="V699" i="1" s="1"/>
  <c r="K699" i="5" s="1"/>
  <c r="T700" i="1"/>
  <c r="U700" i="1" s="1"/>
  <c r="V700" i="1" s="1"/>
  <c r="K700" i="5" s="1"/>
  <c r="T701" i="1"/>
  <c r="U701" i="1" s="1"/>
  <c r="V701" i="1" s="1"/>
  <c r="K701" i="5" s="1"/>
  <c r="T702" i="1"/>
  <c r="U702" i="1" s="1"/>
  <c r="V702" i="1" s="1"/>
  <c r="K702" i="5" s="1"/>
  <c r="T703" i="1"/>
  <c r="U703" i="1" s="1"/>
  <c r="V703" i="1" s="1"/>
  <c r="K703" i="5" s="1"/>
  <c r="T704" i="1"/>
  <c r="U704" i="1" s="1"/>
  <c r="V704" i="1" s="1"/>
  <c r="K704" i="5" s="1"/>
  <c r="T705" i="1"/>
  <c r="U705" i="1" s="1"/>
  <c r="V705" i="1" s="1"/>
  <c r="K705" i="5" s="1"/>
  <c r="T706" i="1"/>
  <c r="U706" i="1" s="1"/>
  <c r="V706" i="1" s="1"/>
  <c r="K706" i="5" s="1"/>
  <c r="T707" i="1"/>
  <c r="U707" i="1" s="1"/>
  <c r="V707" i="1" s="1"/>
  <c r="K707" i="5" s="1"/>
  <c r="T708" i="1"/>
  <c r="U708" i="1" s="1"/>
  <c r="V708" i="1" s="1"/>
  <c r="K708" i="5" s="1"/>
  <c r="T709" i="1"/>
  <c r="U709" i="1" s="1"/>
  <c r="V709" i="1" s="1"/>
  <c r="K709" i="5" s="1"/>
  <c r="T710" i="1"/>
  <c r="U710" i="1" s="1"/>
  <c r="V710" i="1" s="1"/>
  <c r="K710" i="5" s="1"/>
  <c r="T711" i="1"/>
  <c r="U711" i="1" s="1"/>
  <c r="V711" i="1" s="1"/>
  <c r="K711" i="5" s="1"/>
  <c r="T712" i="1"/>
  <c r="U712" i="1" s="1"/>
  <c r="V712" i="1" s="1"/>
  <c r="K712" i="5" s="1"/>
  <c r="T713" i="1"/>
  <c r="U713" i="1" s="1"/>
  <c r="V713" i="1" s="1"/>
  <c r="K713" i="5" s="1"/>
  <c r="T714" i="1"/>
  <c r="U714" i="1" s="1"/>
  <c r="V714" i="1" s="1"/>
  <c r="K714" i="5" s="1"/>
  <c r="T715" i="1"/>
  <c r="U715" i="1" s="1"/>
  <c r="V715" i="1" s="1"/>
  <c r="K715" i="5" s="1"/>
  <c r="T716" i="1"/>
  <c r="U716" i="1" s="1"/>
  <c r="V716" i="1" s="1"/>
  <c r="K716" i="5" s="1"/>
  <c r="T717" i="1"/>
  <c r="U717" i="1" s="1"/>
  <c r="V717" i="1" s="1"/>
  <c r="K717" i="5" s="1"/>
  <c r="T718" i="1"/>
  <c r="U718" i="1" s="1"/>
  <c r="V718" i="1" s="1"/>
  <c r="K718" i="5" s="1"/>
  <c r="T719" i="1"/>
  <c r="U719" i="1" s="1"/>
  <c r="V719" i="1" s="1"/>
  <c r="K719" i="5" s="1"/>
  <c r="T720" i="1"/>
  <c r="U720" i="1" s="1"/>
  <c r="V720" i="1" s="1"/>
  <c r="K720" i="5" s="1"/>
  <c r="T721" i="1"/>
  <c r="U721" i="1" s="1"/>
  <c r="V721" i="1" s="1"/>
  <c r="K721" i="5" s="1"/>
  <c r="T722" i="1"/>
  <c r="U722" i="1" s="1"/>
  <c r="V722" i="1" s="1"/>
  <c r="K722" i="5" s="1"/>
  <c r="T723" i="1"/>
  <c r="U723" i="1" s="1"/>
  <c r="V723" i="1" s="1"/>
  <c r="K723" i="5" s="1"/>
  <c r="T724" i="1"/>
  <c r="U724" i="1" s="1"/>
  <c r="V724" i="1" s="1"/>
  <c r="K724" i="5" s="1"/>
  <c r="T725" i="1"/>
  <c r="U725" i="1" s="1"/>
  <c r="V725" i="1" s="1"/>
  <c r="K725" i="5" s="1"/>
  <c r="T726" i="1"/>
  <c r="U726" i="1" s="1"/>
  <c r="V726" i="1" s="1"/>
  <c r="K726" i="5" s="1"/>
  <c r="T727" i="1"/>
  <c r="U727" i="1" s="1"/>
  <c r="V727" i="1" s="1"/>
  <c r="K727" i="5" s="1"/>
  <c r="T728" i="1"/>
  <c r="U728" i="1" s="1"/>
  <c r="V728" i="1" s="1"/>
  <c r="K728" i="5" s="1"/>
  <c r="T729" i="1"/>
  <c r="U729" i="1" s="1"/>
  <c r="V729" i="1" s="1"/>
  <c r="K729" i="5" s="1"/>
  <c r="T730" i="1"/>
  <c r="U730" i="1" s="1"/>
  <c r="V730" i="1" s="1"/>
  <c r="K730" i="5" s="1"/>
  <c r="T731" i="1"/>
  <c r="U731" i="1" s="1"/>
  <c r="V731" i="1" s="1"/>
  <c r="K731" i="5" s="1"/>
  <c r="T732" i="1"/>
  <c r="U732" i="1" s="1"/>
  <c r="V732" i="1" s="1"/>
  <c r="K732" i="5" s="1"/>
  <c r="T733" i="1"/>
  <c r="U733" i="1" s="1"/>
  <c r="V733" i="1" s="1"/>
  <c r="K733" i="5" s="1"/>
  <c r="T734" i="1"/>
  <c r="U734" i="1" s="1"/>
  <c r="V734" i="1" s="1"/>
  <c r="K734" i="5" s="1"/>
  <c r="T735" i="1"/>
  <c r="U735" i="1" s="1"/>
  <c r="V735" i="1" s="1"/>
  <c r="K735" i="5" s="1"/>
  <c r="T736" i="1"/>
  <c r="U736" i="1" s="1"/>
  <c r="V736" i="1" s="1"/>
  <c r="K736" i="5" s="1"/>
  <c r="T737" i="1"/>
  <c r="U737" i="1" s="1"/>
  <c r="V737" i="1" s="1"/>
  <c r="K737" i="5" s="1"/>
  <c r="T738" i="1"/>
  <c r="U738" i="1" s="1"/>
  <c r="V738" i="1" s="1"/>
  <c r="K738" i="5" s="1"/>
  <c r="T739" i="1"/>
  <c r="U739" i="1" s="1"/>
  <c r="V739" i="1" s="1"/>
  <c r="K739" i="5" s="1"/>
  <c r="T740" i="1"/>
  <c r="U740" i="1" s="1"/>
  <c r="V740" i="1" s="1"/>
  <c r="K740" i="5" s="1"/>
  <c r="T741" i="1"/>
  <c r="U741" i="1" s="1"/>
  <c r="V741" i="1" s="1"/>
  <c r="K741" i="5" s="1"/>
  <c r="T742" i="1"/>
  <c r="U742" i="1" s="1"/>
  <c r="V742" i="1" s="1"/>
  <c r="K742" i="5" s="1"/>
  <c r="T743" i="1"/>
  <c r="U743" i="1" s="1"/>
  <c r="V743" i="1" s="1"/>
  <c r="K743" i="5" s="1"/>
  <c r="T744" i="1"/>
  <c r="U744" i="1" s="1"/>
  <c r="V744" i="1" s="1"/>
  <c r="K744" i="5" s="1"/>
  <c r="T745" i="1"/>
  <c r="U745" i="1" s="1"/>
  <c r="V745" i="1" s="1"/>
  <c r="K745" i="5" s="1"/>
  <c r="T746" i="1"/>
  <c r="U746" i="1" s="1"/>
  <c r="V746" i="1" s="1"/>
  <c r="K746" i="5" s="1"/>
  <c r="T747" i="1"/>
  <c r="U747" i="1" s="1"/>
  <c r="V747" i="1" s="1"/>
  <c r="K747" i="5" s="1"/>
  <c r="T748" i="1"/>
  <c r="U748" i="1" s="1"/>
  <c r="V748" i="1" s="1"/>
  <c r="K748" i="5" s="1"/>
  <c r="T749" i="1"/>
  <c r="U749" i="1" s="1"/>
  <c r="V749" i="1" s="1"/>
  <c r="K749" i="5" s="1"/>
  <c r="T750" i="1"/>
  <c r="U750" i="1" s="1"/>
  <c r="V750" i="1" s="1"/>
  <c r="K750" i="5" s="1"/>
  <c r="T751" i="1"/>
  <c r="U751" i="1" s="1"/>
  <c r="V751" i="1" s="1"/>
  <c r="K751" i="5" s="1"/>
  <c r="T752" i="1"/>
  <c r="U752" i="1" s="1"/>
  <c r="V752" i="1" s="1"/>
  <c r="K752" i="5" s="1"/>
  <c r="T753" i="1"/>
  <c r="U753" i="1" s="1"/>
  <c r="V753" i="1" s="1"/>
  <c r="K753" i="5" s="1"/>
  <c r="T754" i="1"/>
  <c r="U754" i="1" s="1"/>
  <c r="V754" i="1" s="1"/>
  <c r="K754" i="5" s="1"/>
  <c r="T755" i="1"/>
  <c r="U755" i="1" s="1"/>
  <c r="V755" i="1" s="1"/>
  <c r="K755" i="5" s="1"/>
  <c r="T756" i="1"/>
  <c r="U756" i="1" s="1"/>
  <c r="V756" i="1" s="1"/>
  <c r="K756" i="5" s="1"/>
  <c r="T757" i="1"/>
  <c r="U757" i="1" s="1"/>
  <c r="V757" i="1" s="1"/>
  <c r="K757" i="5" s="1"/>
  <c r="T758" i="1"/>
  <c r="U758" i="1" s="1"/>
  <c r="V758" i="1" s="1"/>
  <c r="K758" i="5" s="1"/>
  <c r="T759" i="1"/>
  <c r="U759" i="1" s="1"/>
  <c r="V759" i="1" s="1"/>
  <c r="K759" i="5" s="1"/>
  <c r="T760" i="1"/>
  <c r="U760" i="1" s="1"/>
  <c r="V760" i="1" s="1"/>
  <c r="K760" i="5" s="1"/>
  <c r="T761" i="1"/>
  <c r="U761" i="1" s="1"/>
  <c r="V761" i="1" s="1"/>
  <c r="K761" i="5" s="1"/>
  <c r="T762" i="1"/>
  <c r="U762" i="1" s="1"/>
  <c r="V762" i="1" s="1"/>
  <c r="K762" i="5" s="1"/>
  <c r="T763" i="1"/>
  <c r="U763" i="1" s="1"/>
  <c r="V763" i="1" s="1"/>
  <c r="K763" i="5" s="1"/>
  <c r="T764" i="1"/>
  <c r="U764" i="1" s="1"/>
  <c r="V764" i="1" s="1"/>
  <c r="K764" i="5" s="1"/>
  <c r="T765" i="1"/>
  <c r="U765" i="1" s="1"/>
  <c r="V765" i="1" s="1"/>
  <c r="K765" i="5" s="1"/>
  <c r="T766" i="1"/>
  <c r="U766" i="1" s="1"/>
  <c r="V766" i="1" s="1"/>
  <c r="K766" i="5" s="1"/>
  <c r="T767" i="1"/>
  <c r="U767" i="1" s="1"/>
  <c r="V767" i="1" s="1"/>
  <c r="K767" i="5" s="1"/>
  <c r="T768" i="1"/>
  <c r="U768" i="1" s="1"/>
  <c r="V768" i="1" s="1"/>
  <c r="K768" i="5" s="1"/>
  <c r="T769" i="1"/>
  <c r="U769" i="1" s="1"/>
  <c r="V769" i="1" s="1"/>
  <c r="K769" i="5" s="1"/>
  <c r="T770" i="1"/>
  <c r="U770" i="1" s="1"/>
  <c r="V770" i="1" s="1"/>
  <c r="K770" i="5" s="1"/>
  <c r="T771" i="1"/>
  <c r="U771" i="1" s="1"/>
  <c r="V771" i="1" s="1"/>
  <c r="K771" i="5" s="1"/>
  <c r="T772" i="1"/>
  <c r="U772" i="1" s="1"/>
  <c r="V772" i="1" s="1"/>
  <c r="K772" i="5" s="1"/>
  <c r="T773" i="1"/>
  <c r="U773" i="1" s="1"/>
  <c r="V773" i="1" s="1"/>
  <c r="K773" i="5" s="1"/>
  <c r="T774" i="1"/>
  <c r="U774" i="1" s="1"/>
  <c r="V774" i="1" s="1"/>
  <c r="K774" i="5" s="1"/>
  <c r="T775" i="1"/>
  <c r="U775" i="1" s="1"/>
  <c r="V775" i="1" s="1"/>
  <c r="K775" i="5" s="1"/>
  <c r="T776" i="1"/>
  <c r="U776" i="1" s="1"/>
  <c r="V776" i="1" s="1"/>
  <c r="K776" i="5" s="1"/>
  <c r="T777" i="1"/>
  <c r="U777" i="1" s="1"/>
  <c r="V777" i="1" s="1"/>
  <c r="K777" i="5" s="1"/>
  <c r="T778" i="1"/>
  <c r="U778" i="1" s="1"/>
  <c r="V778" i="1" s="1"/>
  <c r="K778" i="5" s="1"/>
  <c r="T779" i="1"/>
  <c r="U779" i="1" s="1"/>
  <c r="V779" i="1" s="1"/>
  <c r="K779" i="5" s="1"/>
  <c r="T780" i="1"/>
  <c r="U780" i="1" s="1"/>
  <c r="V780" i="1" s="1"/>
  <c r="K780" i="5" s="1"/>
  <c r="T781" i="1"/>
  <c r="U781" i="1" s="1"/>
  <c r="V781" i="1" s="1"/>
  <c r="K781" i="5" s="1"/>
  <c r="T782" i="1"/>
  <c r="U782" i="1" s="1"/>
  <c r="V782" i="1" s="1"/>
  <c r="K782" i="5" s="1"/>
  <c r="T783" i="1"/>
  <c r="U783" i="1" s="1"/>
  <c r="V783" i="1" s="1"/>
  <c r="K783" i="5" s="1"/>
  <c r="T784" i="1"/>
  <c r="U784" i="1" s="1"/>
  <c r="V784" i="1" s="1"/>
  <c r="K784" i="5" s="1"/>
  <c r="T785" i="1"/>
  <c r="U785" i="1" s="1"/>
  <c r="V785" i="1" s="1"/>
  <c r="K785" i="5" s="1"/>
  <c r="T786" i="1"/>
  <c r="U786" i="1" s="1"/>
  <c r="V786" i="1" s="1"/>
  <c r="K786" i="5" s="1"/>
  <c r="T787" i="1"/>
  <c r="U787" i="1" s="1"/>
  <c r="V787" i="1" s="1"/>
  <c r="K787" i="5" s="1"/>
  <c r="T788" i="1"/>
  <c r="U788" i="1" s="1"/>
  <c r="V788" i="1" s="1"/>
  <c r="K788" i="5" s="1"/>
  <c r="T789" i="1"/>
  <c r="U789" i="1" s="1"/>
  <c r="V789" i="1" s="1"/>
  <c r="K789" i="5" s="1"/>
  <c r="T790" i="1"/>
  <c r="U790" i="1" s="1"/>
  <c r="V790" i="1" s="1"/>
  <c r="K790" i="5" s="1"/>
  <c r="T791" i="1"/>
  <c r="U791" i="1" s="1"/>
  <c r="V791" i="1" s="1"/>
  <c r="K791" i="5" s="1"/>
  <c r="T792" i="1"/>
  <c r="U792" i="1" s="1"/>
  <c r="V792" i="1" s="1"/>
  <c r="K792" i="5" s="1"/>
  <c r="T793" i="1"/>
  <c r="U793" i="1" s="1"/>
  <c r="V793" i="1" s="1"/>
  <c r="K793" i="5" s="1"/>
  <c r="T794" i="1"/>
  <c r="U794" i="1" s="1"/>
  <c r="V794" i="1" s="1"/>
  <c r="K794" i="5" s="1"/>
  <c r="T795" i="1"/>
  <c r="U795" i="1" s="1"/>
  <c r="V795" i="1" s="1"/>
  <c r="K795" i="5" s="1"/>
  <c r="T796" i="1"/>
  <c r="U796" i="1" s="1"/>
  <c r="V796" i="1" s="1"/>
  <c r="K796" i="5" s="1"/>
  <c r="T797" i="1"/>
  <c r="U797" i="1" s="1"/>
  <c r="V797" i="1" s="1"/>
  <c r="K797" i="5" s="1"/>
  <c r="T798" i="1"/>
  <c r="U798" i="1" s="1"/>
  <c r="V798" i="1" s="1"/>
  <c r="K798" i="5" s="1"/>
  <c r="T799" i="1"/>
  <c r="U799" i="1" s="1"/>
  <c r="V799" i="1" s="1"/>
  <c r="K799" i="5" s="1"/>
  <c r="T800" i="1"/>
  <c r="U800" i="1" s="1"/>
  <c r="V800" i="1" s="1"/>
  <c r="K800" i="5" s="1"/>
  <c r="T801" i="1"/>
  <c r="U801" i="1" s="1"/>
  <c r="V801" i="1" s="1"/>
  <c r="K801" i="5" s="1"/>
  <c r="T802" i="1"/>
  <c r="U802" i="1" s="1"/>
  <c r="V802" i="1" s="1"/>
  <c r="K802" i="5" s="1"/>
  <c r="T803" i="1"/>
  <c r="U803" i="1" s="1"/>
  <c r="V803" i="1" s="1"/>
  <c r="K803" i="5" s="1"/>
  <c r="T804" i="1"/>
  <c r="U804" i="1" s="1"/>
  <c r="V804" i="1" s="1"/>
  <c r="K804" i="5" s="1"/>
  <c r="T805" i="1"/>
  <c r="U805" i="1" s="1"/>
  <c r="V805" i="1" s="1"/>
  <c r="K805" i="5" s="1"/>
  <c r="T806" i="1"/>
  <c r="U806" i="1" s="1"/>
  <c r="V806" i="1" s="1"/>
  <c r="K806" i="5" s="1"/>
  <c r="T807" i="1"/>
  <c r="U807" i="1" s="1"/>
  <c r="V807" i="1" s="1"/>
  <c r="K807" i="5" s="1"/>
  <c r="T808" i="1"/>
  <c r="U808" i="1" s="1"/>
  <c r="V808" i="1" s="1"/>
  <c r="K808" i="5" s="1"/>
  <c r="T809" i="1"/>
  <c r="U809" i="1" s="1"/>
  <c r="V809" i="1" s="1"/>
  <c r="K809" i="5" s="1"/>
  <c r="T810" i="1"/>
  <c r="U810" i="1" s="1"/>
  <c r="V810" i="1" s="1"/>
  <c r="K810" i="5" s="1"/>
  <c r="T811" i="1"/>
  <c r="U811" i="1" s="1"/>
  <c r="V811" i="1" s="1"/>
  <c r="K811" i="5" s="1"/>
  <c r="T812" i="1"/>
  <c r="U812" i="1" s="1"/>
  <c r="V812" i="1" s="1"/>
  <c r="K812" i="5" s="1"/>
  <c r="T813" i="1"/>
  <c r="U813" i="1" s="1"/>
  <c r="V813" i="1" s="1"/>
  <c r="K813" i="5" s="1"/>
  <c r="T814" i="1"/>
  <c r="U814" i="1" s="1"/>
  <c r="V814" i="1" s="1"/>
  <c r="K814" i="5" s="1"/>
  <c r="T815" i="1"/>
  <c r="U815" i="1" s="1"/>
  <c r="V815" i="1" s="1"/>
  <c r="K815" i="5" s="1"/>
  <c r="T816" i="1"/>
  <c r="U816" i="1" s="1"/>
  <c r="V816" i="1" s="1"/>
  <c r="K816" i="5" s="1"/>
  <c r="T817" i="1"/>
  <c r="U817" i="1" s="1"/>
  <c r="V817" i="1" s="1"/>
  <c r="K817" i="5" s="1"/>
  <c r="T818" i="1"/>
  <c r="U818" i="1" s="1"/>
  <c r="V818" i="1" s="1"/>
  <c r="K818" i="5" s="1"/>
  <c r="T819" i="1"/>
  <c r="U819" i="1" s="1"/>
  <c r="V819" i="1" s="1"/>
  <c r="K819" i="5" s="1"/>
  <c r="T820" i="1"/>
  <c r="U820" i="1" s="1"/>
  <c r="V820" i="1" s="1"/>
  <c r="K820" i="5" s="1"/>
  <c r="T821" i="1"/>
  <c r="U821" i="1" s="1"/>
  <c r="V821" i="1" s="1"/>
  <c r="K821" i="5" s="1"/>
  <c r="T822" i="1"/>
  <c r="U822" i="1" s="1"/>
  <c r="V822" i="1" s="1"/>
  <c r="K822" i="5" s="1"/>
  <c r="T823" i="1"/>
  <c r="U823" i="1" s="1"/>
  <c r="V823" i="1" s="1"/>
  <c r="K823" i="5" s="1"/>
  <c r="T824" i="1"/>
  <c r="U824" i="1" s="1"/>
  <c r="V824" i="1" s="1"/>
  <c r="K824" i="5" s="1"/>
  <c r="T825" i="1"/>
  <c r="U825" i="1" s="1"/>
  <c r="V825" i="1" s="1"/>
  <c r="K825" i="5" s="1"/>
  <c r="T826" i="1"/>
  <c r="U826" i="1" s="1"/>
  <c r="V826" i="1" s="1"/>
  <c r="K826" i="5" s="1"/>
  <c r="T827" i="1"/>
  <c r="U827" i="1" s="1"/>
  <c r="V827" i="1" s="1"/>
  <c r="K827" i="5" s="1"/>
  <c r="T828" i="1"/>
  <c r="U828" i="1" s="1"/>
  <c r="V828" i="1" s="1"/>
  <c r="K828" i="5" s="1"/>
  <c r="T829" i="1"/>
  <c r="U829" i="1" s="1"/>
  <c r="V829" i="1" s="1"/>
  <c r="K829" i="5" s="1"/>
  <c r="T830" i="1"/>
  <c r="U830" i="1" s="1"/>
  <c r="V830" i="1" s="1"/>
  <c r="K830" i="5" s="1"/>
  <c r="T831" i="1"/>
  <c r="U831" i="1" s="1"/>
  <c r="V831" i="1" s="1"/>
  <c r="K831" i="5" s="1"/>
  <c r="T832" i="1"/>
  <c r="U832" i="1" s="1"/>
  <c r="V832" i="1" s="1"/>
  <c r="K832" i="5" s="1"/>
  <c r="T833" i="1"/>
  <c r="U833" i="1" s="1"/>
  <c r="V833" i="1" s="1"/>
  <c r="K833" i="5" s="1"/>
  <c r="T834" i="1"/>
  <c r="U834" i="1" s="1"/>
  <c r="V834" i="1" s="1"/>
  <c r="K834" i="5" s="1"/>
  <c r="T835" i="1"/>
  <c r="U835" i="1" s="1"/>
  <c r="V835" i="1" s="1"/>
  <c r="K835" i="5" s="1"/>
  <c r="T836" i="1"/>
  <c r="U836" i="1" s="1"/>
  <c r="V836" i="1" s="1"/>
  <c r="K836" i="5" s="1"/>
  <c r="T837" i="1"/>
  <c r="U837" i="1" s="1"/>
  <c r="V837" i="1" s="1"/>
  <c r="K837" i="5" s="1"/>
  <c r="T838" i="1"/>
  <c r="U838" i="1" s="1"/>
  <c r="V838" i="1" s="1"/>
  <c r="K838" i="5" s="1"/>
  <c r="T839" i="1"/>
  <c r="U839" i="1" s="1"/>
  <c r="V839" i="1" s="1"/>
  <c r="K839" i="5" s="1"/>
  <c r="T840" i="1"/>
  <c r="U840" i="1" s="1"/>
  <c r="V840" i="1" s="1"/>
  <c r="K840" i="5" s="1"/>
  <c r="T841" i="1"/>
  <c r="U841" i="1" s="1"/>
  <c r="V841" i="1" s="1"/>
  <c r="K841" i="5" s="1"/>
  <c r="T842" i="1"/>
  <c r="U842" i="1" s="1"/>
  <c r="V842" i="1" s="1"/>
  <c r="K842" i="5" s="1"/>
  <c r="T843" i="1"/>
  <c r="U843" i="1" s="1"/>
  <c r="V843" i="1" s="1"/>
  <c r="K843" i="5" s="1"/>
  <c r="T844" i="1"/>
  <c r="U844" i="1" s="1"/>
  <c r="V844" i="1" s="1"/>
  <c r="K844" i="5" s="1"/>
  <c r="T845" i="1"/>
  <c r="U845" i="1" s="1"/>
  <c r="V845" i="1" s="1"/>
  <c r="K845" i="5" s="1"/>
  <c r="T846" i="1"/>
  <c r="U846" i="1" s="1"/>
  <c r="V846" i="1" s="1"/>
  <c r="K846" i="5" s="1"/>
  <c r="T847" i="1"/>
  <c r="U847" i="1" s="1"/>
  <c r="V847" i="1" s="1"/>
  <c r="K847" i="5" s="1"/>
  <c r="T848" i="1"/>
  <c r="U848" i="1" s="1"/>
  <c r="V848" i="1" s="1"/>
  <c r="K848" i="5" s="1"/>
  <c r="T849" i="1"/>
  <c r="U849" i="1" s="1"/>
  <c r="V849" i="1" s="1"/>
  <c r="K849" i="5" s="1"/>
  <c r="T850" i="1"/>
  <c r="U850" i="1" s="1"/>
  <c r="V850" i="1" s="1"/>
  <c r="K850" i="5" s="1"/>
  <c r="T851" i="1"/>
  <c r="U851" i="1" s="1"/>
  <c r="V851" i="1" s="1"/>
  <c r="K851" i="5" s="1"/>
  <c r="T852" i="1"/>
  <c r="U852" i="1" s="1"/>
  <c r="V852" i="1" s="1"/>
  <c r="K852" i="5" s="1"/>
  <c r="T853" i="1"/>
  <c r="U853" i="1" s="1"/>
  <c r="V853" i="1" s="1"/>
  <c r="K853" i="5" s="1"/>
  <c r="T854" i="1"/>
  <c r="U854" i="1" s="1"/>
  <c r="V854" i="1" s="1"/>
  <c r="K854" i="5" s="1"/>
  <c r="T855" i="1"/>
  <c r="U855" i="1" s="1"/>
  <c r="V855" i="1" s="1"/>
  <c r="K855" i="5" s="1"/>
  <c r="T856" i="1"/>
  <c r="U856" i="1" s="1"/>
  <c r="V856" i="1" s="1"/>
  <c r="K856" i="5" s="1"/>
  <c r="T857" i="1"/>
  <c r="U857" i="1" s="1"/>
  <c r="V857" i="1" s="1"/>
  <c r="K857" i="5" s="1"/>
  <c r="T858" i="1"/>
  <c r="U858" i="1" s="1"/>
  <c r="V858" i="1" s="1"/>
  <c r="K858" i="5" s="1"/>
  <c r="T859" i="1"/>
  <c r="U859" i="1" s="1"/>
  <c r="V859" i="1" s="1"/>
  <c r="K859" i="5" s="1"/>
  <c r="T860" i="1"/>
  <c r="U860" i="1" s="1"/>
  <c r="V860" i="1" s="1"/>
  <c r="K860" i="5" s="1"/>
  <c r="T861" i="1"/>
  <c r="U861" i="1" s="1"/>
  <c r="V861" i="1" s="1"/>
  <c r="K861" i="5" s="1"/>
  <c r="T862" i="1"/>
  <c r="U862" i="1" s="1"/>
  <c r="V862" i="1" s="1"/>
  <c r="K862" i="5" s="1"/>
  <c r="T863" i="1"/>
  <c r="U863" i="1" s="1"/>
  <c r="V863" i="1" s="1"/>
  <c r="K863" i="5" s="1"/>
  <c r="T864" i="1"/>
  <c r="U864" i="1" s="1"/>
  <c r="V864" i="1" s="1"/>
  <c r="K864" i="5" s="1"/>
  <c r="T865" i="1"/>
  <c r="U865" i="1" s="1"/>
  <c r="V865" i="1" s="1"/>
  <c r="K865" i="5" s="1"/>
  <c r="T866" i="1"/>
  <c r="U866" i="1" s="1"/>
  <c r="V866" i="1" s="1"/>
  <c r="K866" i="5" s="1"/>
  <c r="T867" i="1"/>
  <c r="U867" i="1" s="1"/>
  <c r="V867" i="1" s="1"/>
  <c r="K867" i="5" s="1"/>
  <c r="T868" i="1"/>
  <c r="U868" i="1" s="1"/>
  <c r="V868" i="1" s="1"/>
  <c r="K868" i="5" s="1"/>
  <c r="T869" i="1"/>
  <c r="U869" i="1" s="1"/>
  <c r="V869" i="1" s="1"/>
  <c r="K869" i="5" s="1"/>
  <c r="T870" i="1"/>
  <c r="U870" i="1" s="1"/>
  <c r="V870" i="1" s="1"/>
  <c r="K870" i="5" s="1"/>
  <c r="T871" i="1"/>
  <c r="U871" i="1" s="1"/>
  <c r="V871" i="1" s="1"/>
  <c r="K871" i="5" s="1"/>
  <c r="T872" i="1"/>
  <c r="U872" i="1" s="1"/>
  <c r="V872" i="1" s="1"/>
  <c r="K872" i="5" s="1"/>
  <c r="T873" i="1"/>
  <c r="U873" i="1" s="1"/>
  <c r="V873" i="1" s="1"/>
  <c r="K873" i="5" s="1"/>
  <c r="T874" i="1"/>
  <c r="U874" i="1" s="1"/>
  <c r="V874" i="1" s="1"/>
  <c r="K874" i="5" s="1"/>
  <c r="T875" i="1"/>
  <c r="U875" i="1" s="1"/>
  <c r="V875" i="1" s="1"/>
  <c r="K875" i="5" s="1"/>
  <c r="T876" i="1"/>
  <c r="U876" i="1" s="1"/>
  <c r="V876" i="1" s="1"/>
  <c r="K876" i="5" s="1"/>
  <c r="T877" i="1"/>
  <c r="U877" i="1" s="1"/>
  <c r="V877" i="1" s="1"/>
  <c r="K877" i="5" s="1"/>
  <c r="T878" i="1"/>
  <c r="U878" i="1" s="1"/>
  <c r="V878" i="1" s="1"/>
  <c r="K878" i="5" s="1"/>
  <c r="T879" i="1"/>
  <c r="U879" i="1" s="1"/>
  <c r="V879" i="1" s="1"/>
  <c r="K879" i="5" s="1"/>
  <c r="T880" i="1"/>
  <c r="U880" i="1" s="1"/>
  <c r="V880" i="1" s="1"/>
  <c r="K880" i="5" s="1"/>
  <c r="T881" i="1"/>
  <c r="U881" i="1" s="1"/>
  <c r="V881" i="1" s="1"/>
  <c r="K881" i="5" s="1"/>
  <c r="T882" i="1"/>
  <c r="U882" i="1" s="1"/>
  <c r="V882" i="1" s="1"/>
  <c r="K882" i="5" s="1"/>
  <c r="T883" i="1"/>
  <c r="U883" i="1" s="1"/>
  <c r="V883" i="1" s="1"/>
  <c r="K883" i="5" s="1"/>
  <c r="T884" i="1"/>
  <c r="U884" i="1" s="1"/>
  <c r="V884" i="1" s="1"/>
  <c r="K884" i="5" s="1"/>
  <c r="T885" i="1"/>
  <c r="U885" i="1" s="1"/>
  <c r="V885" i="1" s="1"/>
  <c r="K885" i="5" s="1"/>
  <c r="T886" i="1"/>
  <c r="U886" i="1" s="1"/>
  <c r="V886" i="1" s="1"/>
  <c r="K886" i="5" s="1"/>
  <c r="T887" i="1"/>
  <c r="U887" i="1" s="1"/>
  <c r="V887" i="1" s="1"/>
  <c r="K887" i="5" s="1"/>
  <c r="T888" i="1"/>
  <c r="U888" i="1" s="1"/>
  <c r="V888" i="1" s="1"/>
  <c r="K888" i="5" s="1"/>
  <c r="T889" i="1"/>
  <c r="U889" i="1" s="1"/>
  <c r="V889" i="1" s="1"/>
  <c r="K889" i="5" s="1"/>
  <c r="T890" i="1"/>
  <c r="U890" i="1" s="1"/>
  <c r="V890" i="1" s="1"/>
  <c r="K890" i="5" s="1"/>
  <c r="T891" i="1"/>
  <c r="U891" i="1" s="1"/>
  <c r="V891" i="1" s="1"/>
  <c r="K891" i="5" s="1"/>
  <c r="T892" i="1"/>
  <c r="U892" i="1" s="1"/>
  <c r="V892" i="1" s="1"/>
  <c r="K892" i="5" s="1"/>
  <c r="T893" i="1"/>
  <c r="U893" i="1" s="1"/>
  <c r="V893" i="1" s="1"/>
  <c r="K893" i="5" s="1"/>
  <c r="T894" i="1"/>
  <c r="U894" i="1" s="1"/>
  <c r="V894" i="1" s="1"/>
  <c r="K894" i="5" s="1"/>
  <c r="T895" i="1"/>
  <c r="U895" i="1" s="1"/>
  <c r="V895" i="1" s="1"/>
  <c r="K895" i="5" s="1"/>
  <c r="T896" i="1"/>
  <c r="U896" i="1" s="1"/>
  <c r="V896" i="1" s="1"/>
  <c r="K896" i="5" s="1"/>
  <c r="T897" i="1"/>
  <c r="U897" i="1" s="1"/>
  <c r="V897" i="1" s="1"/>
  <c r="K897" i="5" s="1"/>
  <c r="T898" i="1"/>
  <c r="U898" i="1" s="1"/>
  <c r="V898" i="1" s="1"/>
  <c r="K898" i="5" s="1"/>
  <c r="T899" i="1"/>
  <c r="U899" i="1" s="1"/>
  <c r="V899" i="1" s="1"/>
  <c r="K899" i="5" s="1"/>
  <c r="T900" i="1"/>
  <c r="U900" i="1" s="1"/>
  <c r="V900" i="1" s="1"/>
  <c r="K900" i="5" s="1"/>
  <c r="T901" i="1"/>
  <c r="U901" i="1" s="1"/>
  <c r="V901" i="1" s="1"/>
  <c r="K901" i="5" s="1"/>
  <c r="T902" i="1"/>
  <c r="U902" i="1" s="1"/>
  <c r="V902" i="1" s="1"/>
  <c r="K902" i="5" s="1"/>
  <c r="T903" i="1"/>
  <c r="U903" i="1" s="1"/>
  <c r="V903" i="1" s="1"/>
  <c r="K903" i="5" s="1"/>
  <c r="T904" i="1"/>
  <c r="U904" i="1" s="1"/>
  <c r="V904" i="1" s="1"/>
  <c r="K904" i="5" s="1"/>
  <c r="T905" i="1"/>
  <c r="U905" i="1" s="1"/>
  <c r="V905" i="1" s="1"/>
  <c r="K905" i="5" s="1"/>
  <c r="T906" i="1"/>
  <c r="U906" i="1" s="1"/>
  <c r="V906" i="1" s="1"/>
  <c r="K906" i="5" s="1"/>
  <c r="T907" i="1"/>
  <c r="U907" i="1" s="1"/>
  <c r="V907" i="1" s="1"/>
  <c r="K907" i="5" s="1"/>
  <c r="T908" i="1"/>
  <c r="U908" i="1" s="1"/>
  <c r="V908" i="1" s="1"/>
  <c r="K908" i="5" s="1"/>
  <c r="T909" i="1"/>
  <c r="U909" i="1" s="1"/>
  <c r="V909" i="1" s="1"/>
  <c r="K909" i="5" s="1"/>
  <c r="T910" i="1"/>
  <c r="U910" i="1" s="1"/>
  <c r="V910" i="1" s="1"/>
  <c r="K910" i="5" s="1"/>
  <c r="T911" i="1"/>
  <c r="U911" i="1" s="1"/>
  <c r="V911" i="1" s="1"/>
  <c r="K911" i="5" s="1"/>
  <c r="T912" i="1"/>
  <c r="U912" i="1" s="1"/>
  <c r="V912" i="1" s="1"/>
  <c r="K912" i="5" s="1"/>
  <c r="T913" i="1"/>
  <c r="U913" i="1" s="1"/>
  <c r="V913" i="1" s="1"/>
  <c r="K913" i="5" s="1"/>
  <c r="T914" i="1"/>
  <c r="U914" i="1" s="1"/>
  <c r="V914" i="1" s="1"/>
  <c r="K914" i="5" s="1"/>
  <c r="T915" i="1"/>
  <c r="U915" i="1" s="1"/>
  <c r="V915" i="1" s="1"/>
  <c r="K915" i="5" s="1"/>
  <c r="T916" i="1"/>
  <c r="U916" i="1" s="1"/>
  <c r="V916" i="1" s="1"/>
  <c r="K916" i="5" s="1"/>
  <c r="T917" i="1"/>
  <c r="U917" i="1" s="1"/>
  <c r="V917" i="1" s="1"/>
  <c r="K917" i="5" s="1"/>
  <c r="T918" i="1"/>
  <c r="U918" i="1" s="1"/>
  <c r="V918" i="1" s="1"/>
  <c r="K918" i="5" s="1"/>
  <c r="T919" i="1"/>
  <c r="U919" i="1" s="1"/>
  <c r="V919" i="1" s="1"/>
  <c r="K919" i="5" s="1"/>
  <c r="T920" i="1"/>
  <c r="U920" i="1" s="1"/>
  <c r="V920" i="1" s="1"/>
  <c r="K920" i="5" s="1"/>
  <c r="T921" i="1"/>
  <c r="U921" i="1" s="1"/>
  <c r="V921" i="1" s="1"/>
  <c r="K921" i="5" s="1"/>
  <c r="T922" i="1"/>
  <c r="U922" i="1" s="1"/>
  <c r="V922" i="1" s="1"/>
  <c r="K922" i="5" s="1"/>
  <c r="T923" i="1"/>
  <c r="U923" i="1" s="1"/>
  <c r="V923" i="1" s="1"/>
  <c r="K923" i="5" s="1"/>
  <c r="T924" i="1"/>
  <c r="U924" i="1" s="1"/>
  <c r="V924" i="1" s="1"/>
  <c r="K924" i="5" s="1"/>
  <c r="T925" i="1"/>
  <c r="U925" i="1" s="1"/>
  <c r="V925" i="1" s="1"/>
  <c r="K925" i="5" s="1"/>
  <c r="T926" i="1"/>
  <c r="U926" i="1" s="1"/>
  <c r="V926" i="1" s="1"/>
  <c r="K926" i="5" s="1"/>
  <c r="T927" i="1"/>
  <c r="U927" i="1" s="1"/>
  <c r="V927" i="1" s="1"/>
  <c r="K927" i="5" s="1"/>
  <c r="T928" i="1"/>
  <c r="U928" i="1" s="1"/>
  <c r="V928" i="1" s="1"/>
  <c r="K928" i="5" s="1"/>
  <c r="T929" i="1"/>
  <c r="U929" i="1" s="1"/>
  <c r="V929" i="1" s="1"/>
  <c r="K929" i="5" s="1"/>
  <c r="T930" i="1"/>
  <c r="U930" i="1" s="1"/>
  <c r="V930" i="1" s="1"/>
  <c r="K930" i="5" s="1"/>
  <c r="T931" i="1"/>
  <c r="U931" i="1" s="1"/>
  <c r="V931" i="1" s="1"/>
  <c r="K931" i="5" s="1"/>
  <c r="T932" i="1"/>
  <c r="U932" i="1" s="1"/>
  <c r="V932" i="1" s="1"/>
  <c r="K932" i="5" s="1"/>
  <c r="T933" i="1"/>
  <c r="U933" i="1" s="1"/>
  <c r="V933" i="1" s="1"/>
  <c r="K933" i="5" s="1"/>
  <c r="T934" i="1"/>
  <c r="U934" i="1" s="1"/>
  <c r="V934" i="1" s="1"/>
  <c r="K934" i="5" s="1"/>
  <c r="T935" i="1"/>
  <c r="U935" i="1" s="1"/>
  <c r="V935" i="1" s="1"/>
  <c r="K935" i="5" s="1"/>
  <c r="T936" i="1"/>
  <c r="U936" i="1" s="1"/>
  <c r="V936" i="1" s="1"/>
  <c r="K936" i="5" s="1"/>
  <c r="T937" i="1"/>
  <c r="U937" i="1" s="1"/>
  <c r="V937" i="1" s="1"/>
  <c r="K937" i="5" s="1"/>
  <c r="T938" i="1"/>
  <c r="U938" i="1" s="1"/>
  <c r="V938" i="1" s="1"/>
  <c r="K938" i="5" s="1"/>
  <c r="T939" i="1"/>
  <c r="U939" i="1" s="1"/>
  <c r="V939" i="1" s="1"/>
  <c r="K939" i="5" s="1"/>
  <c r="T940" i="1"/>
  <c r="U940" i="1" s="1"/>
  <c r="V940" i="1" s="1"/>
  <c r="K940" i="5" s="1"/>
  <c r="T941" i="1"/>
  <c r="U941" i="1" s="1"/>
  <c r="V941" i="1" s="1"/>
  <c r="K941" i="5" s="1"/>
  <c r="T942" i="1"/>
  <c r="U942" i="1" s="1"/>
  <c r="V942" i="1" s="1"/>
  <c r="K942" i="5" s="1"/>
  <c r="T943" i="1"/>
  <c r="U943" i="1" s="1"/>
  <c r="V943" i="1" s="1"/>
  <c r="K943" i="5" s="1"/>
  <c r="T944" i="1"/>
  <c r="U944" i="1" s="1"/>
  <c r="V944" i="1" s="1"/>
  <c r="K944" i="5" s="1"/>
  <c r="T945" i="1"/>
  <c r="U945" i="1" s="1"/>
  <c r="V945" i="1" s="1"/>
  <c r="K945" i="5" s="1"/>
  <c r="T946" i="1"/>
  <c r="U946" i="1" s="1"/>
  <c r="V946" i="1" s="1"/>
  <c r="K946" i="5" s="1"/>
  <c r="T947" i="1"/>
  <c r="U947" i="1" s="1"/>
  <c r="V947" i="1" s="1"/>
  <c r="K947" i="5" s="1"/>
  <c r="T948" i="1"/>
  <c r="U948" i="1" s="1"/>
  <c r="V948" i="1" s="1"/>
  <c r="K948" i="5" s="1"/>
  <c r="T949" i="1"/>
  <c r="U949" i="1" s="1"/>
  <c r="V949" i="1" s="1"/>
  <c r="K949" i="5" s="1"/>
  <c r="T950" i="1"/>
  <c r="U950" i="1" s="1"/>
  <c r="V950" i="1" s="1"/>
  <c r="K950" i="5" s="1"/>
  <c r="T951" i="1"/>
  <c r="U951" i="1" s="1"/>
  <c r="V951" i="1" s="1"/>
  <c r="K951" i="5" s="1"/>
  <c r="T952" i="1"/>
  <c r="U952" i="1" s="1"/>
  <c r="V952" i="1" s="1"/>
  <c r="K952" i="5" s="1"/>
  <c r="T953" i="1"/>
  <c r="U953" i="1" s="1"/>
  <c r="V953" i="1" s="1"/>
  <c r="K953" i="5" s="1"/>
  <c r="T954" i="1"/>
  <c r="U954" i="1" s="1"/>
  <c r="V954" i="1" s="1"/>
  <c r="K954" i="5" s="1"/>
  <c r="T955" i="1"/>
  <c r="U955" i="1" s="1"/>
  <c r="V955" i="1" s="1"/>
  <c r="K955" i="5" s="1"/>
  <c r="T956" i="1"/>
  <c r="U956" i="1" s="1"/>
  <c r="V956" i="1" s="1"/>
  <c r="K956" i="5" s="1"/>
  <c r="T957" i="1"/>
  <c r="U957" i="1" s="1"/>
  <c r="V957" i="1" s="1"/>
  <c r="K957" i="5" s="1"/>
  <c r="T958" i="1"/>
  <c r="U958" i="1" s="1"/>
  <c r="V958" i="1" s="1"/>
  <c r="K958" i="5" s="1"/>
  <c r="T959" i="1"/>
  <c r="U959" i="1" s="1"/>
  <c r="V959" i="1" s="1"/>
  <c r="K959" i="5" s="1"/>
  <c r="T960" i="1"/>
  <c r="U960" i="1" s="1"/>
  <c r="V960" i="1" s="1"/>
  <c r="K960" i="5" s="1"/>
  <c r="T961" i="1"/>
  <c r="U961" i="1" s="1"/>
  <c r="V961" i="1" s="1"/>
  <c r="K961" i="5" s="1"/>
  <c r="T962" i="1"/>
  <c r="U962" i="1" s="1"/>
  <c r="V962" i="1" s="1"/>
  <c r="K962" i="5" s="1"/>
  <c r="T963" i="1"/>
  <c r="U963" i="1" s="1"/>
  <c r="V963" i="1" s="1"/>
  <c r="K963" i="5" s="1"/>
  <c r="T964" i="1"/>
  <c r="U964" i="1" s="1"/>
  <c r="V964" i="1" s="1"/>
  <c r="K964" i="5" s="1"/>
  <c r="T965" i="1"/>
  <c r="U965" i="1" s="1"/>
  <c r="V965" i="1" s="1"/>
  <c r="K965" i="5" s="1"/>
  <c r="T966" i="1"/>
  <c r="U966" i="1" s="1"/>
  <c r="V966" i="1" s="1"/>
  <c r="K966" i="5" s="1"/>
  <c r="T967" i="1"/>
  <c r="U967" i="1" s="1"/>
  <c r="V967" i="1" s="1"/>
  <c r="K967" i="5" s="1"/>
  <c r="T968" i="1"/>
  <c r="U968" i="1" s="1"/>
  <c r="V968" i="1" s="1"/>
  <c r="K968" i="5" s="1"/>
  <c r="T969" i="1"/>
  <c r="U969" i="1" s="1"/>
  <c r="V969" i="1" s="1"/>
  <c r="K969" i="5" s="1"/>
  <c r="T970" i="1"/>
  <c r="U970" i="1" s="1"/>
  <c r="V970" i="1" s="1"/>
  <c r="K970" i="5" s="1"/>
  <c r="T971" i="1"/>
  <c r="U971" i="1" s="1"/>
  <c r="V971" i="1" s="1"/>
  <c r="K971" i="5" s="1"/>
  <c r="T972" i="1"/>
  <c r="U972" i="1" s="1"/>
  <c r="V972" i="1" s="1"/>
  <c r="K972" i="5" s="1"/>
  <c r="T973" i="1"/>
  <c r="U973" i="1" s="1"/>
  <c r="V973" i="1" s="1"/>
  <c r="K973" i="5" s="1"/>
  <c r="T974" i="1"/>
  <c r="U974" i="1" s="1"/>
  <c r="V974" i="1" s="1"/>
  <c r="K974" i="5" s="1"/>
  <c r="T975" i="1"/>
  <c r="U975" i="1" s="1"/>
  <c r="V975" i="1" s="1"/>
  <c r="K975" i="5" s="1"/>
  <c r="T976" i="1"/>
  <c r="U976" i="1" s="1"/>
  <c r="V976" i="1" s="1"/>
  <c r="K976" i="5" s="1"/>
  <c r="T977" i="1"/>
  <c r="U977" i="1" s="1"/>
  <c r="V977" i="1" s="1"/>
  <c r="K977" i="5" s="1"/>
  <c r="T978" i="1"/>
  <c r="U978" i="1" s="1"/>
  <c r="V978" i="1" s="1"/>
  <c r="K978" i="5" s="1"/>
  <c r="T979" i="1"/>
  <c r="U979" i="1" s="1"/>
  <c r="V979" i="1" s="1"/>
  <c r="K979" i="5" s="1"/>
  <c r="T980" i="1"/>
  <c r="U980" i="1" s="1"/>
  <c r="V980" i="1" s="1"/>
  <c r="K980" i="5" s="1"/>
  <c r="T981" i="1"/>
  <c r="U981" i="1" s="1"/>
  <c r="V981" i="1" s="1"/>
  <c r="K981" i="5" s="1"/>
  <c r="T982" i="1"/>
  <c r="U982" i="1" s="1"/>
  <c r="V982" i="1" s="1"/>
  <c r="K982" i="5" s="1"/>
  <c r="T983" i="1"/>
  <c r="U983" i="1" s="1"/>
  <c r="V983" i="1" s="1"/>
  <c r="K983" i="5" s="1"/>
  <c r="T984" i="1"/>
  <c r="U984" i="1" s="1"/>
  <c r="V984" i="1" s="1"/>
  <c r="K984" i="5" s="1"/>
  <c r="T985" i="1"/>
  <c r="U985" i="1" s="1"/>
  <c r="V985" i="1" s="1"/>
  <c r="K985" i="5" s="1"/>
  <c r="T986" i="1"/>
  <c r="U986" i="1" s="1"/>
  <c r="V986" i="1" s="1"/>
  <c r="K986" i="5" s="1"/>
  <c r="T987" i="1"/>
  <c r="U987" i="1" s="1"/>
  <c r="V987" i="1" s="1"/>
  <c r="K987" i="5" s="1"/>
  <c r="T988" i="1"/>
  <c r="U988" i="1" s="1"/>
  <c r="V988" i="1" s="1"/>
  <c r="K988" i="5" s="1"/>
  <c r="T989" i="1"/>
  <c r="U989" i="1" s="1"/>
  <c r="V989" i="1" s="1"/>
  <c r="K989" i="5" s="1"/>
  <c r="T990" i="1"/>
  <c r="U990" i="1" s="1"/>
  <c r="V990" i="1" s="1"/>
  <c r="K990" i="5" s="1"/>
  <c r="T991" i="1"/>
  <c r="U991" i="1" s="1"/>
  <c r="V991" i="1" s="1"/>
  <c r="K991" i="5" s="1"/>
  <c r="T992" i="1"/>
  <c r="U992" i="1" s="1"/>
  <c r="V992" i="1" s="1"/>
  <c r="K992" i="5" s="1"/>
  <c r="T993" i="1"/>
  <c r="U993" i="1" s="1"/>
  <c r="V993" i="1" s="1"/>
  <c r="K993" i="5" s="1"/>
  <c r="T994" i="1"/>
  <c r="U994" i="1" s="1"/>
  <c r="V994" i="1" s="1"/>
  <c r="K994" i="5" s="1"/>
  <c r="T995" i="1"/>
  <c r="U995" i="1" s="1"/>
  <c r="V995" i="1" s="1"/>
  <c r="K995" i="5" s="1"/>
  <c r="T996" i="1"/>
  <c r="U996" i="1" s="1"/>
  <c r="V996" i="1" s="1"/>
  <c r="K996" i="5" s="1"/>
  <c r="T997" i="1"/>
  <c r="U997" i="1" s="1"/>
  <c r="V997" i="1" s="1"/>
  <c r="K997" i="5" s="1"/>
  <c r="T998" i="1"/>
  <c r="U998" i="1" s="1"/>
  <c r="V998" i="1" s="1"/>
  <c r="K998" i="5" s="1"/>
  <c r="T999" i="1"/>
  <c r="U999" i="1" s="1"/>
  <c r="V999" i="1" s="1"/>
  <c r="K999" i="5" s="1"/>
  <c r="T1000" i="1"/>
  <c r="U1000" i="1" s="1"/>
  <c r="V1000" i="1" s="1"/>
  <c r="K1000" i="5" s="1"/>
  <c r="T1001" i="1"/>
  <c r="U1001" i="1" s="1"/>
  <c r="V1001" i="1" s="1"/>
  <c r="K1001" i="5" s="1"/>
  <c r="X1003" i="1" l="1"/>
  <c r="V1003" i="1"/>
  <c r="V1004" i="1"/>
  <c r="R1001" i="1"/>
  <c r="J1001" i="5" s="1"/>
  <c r="R1000" i="1"/>
  <c r="J1000" i="5" s="1"/>
  <c r="R999" i="1"/>
  <c r="J999" i="5" s="1"/>
  <c r="R998" i="1"/>
  <c r="J998" i="5" s="1"/>
  <c r="R997" i="1"/>
  <c r="J997" i="5" s="1"/>
  <c r="R996" i="1"/>
  <c r="J996" i="5" s="1"/>
  <c r="R995" i="1"/>
  <c r="J995" i="5" s="1"/>
  <c r="R994" i="1"/>
  <c r="J994" i="5" s="1"/>
  <c r="R993" i="1"/>
  <c r="J993" i="5" s="1"/>
  <c r="R992" i="1"/>
  <c r="J992" i="5" s="1"/>
  <c r="R991" i="1"/>
  <c r="J991" i="5" s="1"/>
  <c r="R990" i="1"/>
  <c r="J990" i="5" s="1"/>
  <c r="R989" i="1"/>
  <c r="J989" i="5" s="1"/>
  <c r="R988" i="1"/>
  <c r="J988" i="5" s="1"/>
  <c r="R987" i="1"/>
  <c r="J987" i="5" s="1"/>
  <c r="R986" i="1"/>
  <c r="J986" i="5" s="1"/>
  <c r="R985" i="1"/>
  <c r="J985" i="5" s="1"/>
  <c r="R984" i="1"/>
  <c r="J984" i="5" s="1"/>
  <c r="R983" i="1"/>
  <c r="J983" i="5" s="1"/>
  <c r="R982" i="1"/>
  <c r="J982" i="5" s="1"/>
  <c r="R981" i="1"/>
  <c r="J981" i="5" s="1"/>
  <c r="R980" i="1"/>
  <c r="J980" i="5" s="1"/>
  <c r="R979" i="1"/>
  <c r="J979" i="5" s="1"/>
  <c r="R978" i="1"/>
  <c r="J978" i="5" s="1"/>
  <c r="R977" i="1"/>
  <c r="J977" i="5" s="1"/>
  <c r="R976" i="1"/>
  <c r="J976" i="5" s="1"/>
  <c r="R975" i="1"/>
  <c r="J975" i="5" s="1"/>
  <c r="R974" i="1"/>
  <c r="J974" i="5" s="1"/>
  <c r="R973" i="1"/>
  <c r="J973" i="5" s="1"/>
  <c r="R972" i="1"/>
  <c r="J972" i="5" s="1"/>
  <c r="R971" i="1"/>
  <c r="J971" i="5" s="1"/>
  <c r="R970" i="1"/>
  <c r="J970" i="5" s="1"/>
  <c r="R969" i="1"/>
  <c r="J969" i="5" s="1"/>
  <c r="R968" i="1"/>
  <c r="J968" i="5" s="1"/>
  <c r="R967" i="1"/>
  <c r="J967" i="5" s="1"/>
  <c r="R966" i="1"/>
  <c r="J966" i="5" s="1"/>
  <c r="R965" i="1"/>
  <c r="J965" i="5" s="1"/>
  <c r="R964" i="1"/>
  <c r="J964" i="5" s="1"/>
  <c r="R963" i="1"/>
  <c r="J963" i="5" s="1"/>
  <c r="R962" i="1"/>
  <c r="J962" i="5" s="1"/>
  <c r="R961" i="1"/>
  <c r="J961" i="5" s="1"/>
  <c r="R960" i="1"/>
  <c r="J960" i="5" s="1"/>
  <c r="R959" i="1"/>
  <c r="J959" i="5" s="1"/>
  <c r="R958" i="1"/>
  <c r="J958" i="5" s="1"/>
  <c r="R957" i="1"/>
  <c r="J957" i="5" s="1"/>
  <c r="R956" i="1"/>
  <c r="J956" i="5" s="1"/>
  <c r="R955" i="1"/>
  <c r="J955" i="5" s="1"/>
  <c r="R954" i="1"/>
  <c r="J954" i="5" s="1"/>
  <c r="R953" i="1"/>
  <c r="J953" i="5" s="1"/>
  <c r="R952" i="1"/>
  <c r="J952" i="5" s="1"/>
  <c r="R951" i="1"/>
  <c r="J951" i="5" s="1"/>
  <c r="R950" i="1"/>
  <c r="J950" i="5" s="1"/>
  <c r="R949" i="1"/>
  <c r="J949" i="5" s="1"/>
  <c r="R948" i="1"/>
  <c r="J948" i="5" s="1"/>
  <c r="R947" i="1"/>
  <c r="J947" i="5" s="1"/>
  <c r="R946" i="1"/>
  <c r="J946" i="5" s="1"/>
  <c r="R945" i="1"/>
  <c r="J945" i="5" s="1"/>
  <c r="R944" i="1"/>
  <c r="J944" i="5" s="1"/>
  <c r="R943" i="1"/>
  <c r="J943" i="5" s="1"/>
  <c r="R942" i="1"/>
  <c r="J942" i="5" s="1"/>
  <c r="R941" i="1"/>
  <c r="J941" i="5" s="1"/>
  <c r="R940" i="1"/>
  <c r="J940" i="5" s="1"/>
  <c r="R939" i="1"/>
  <c r="J939" i="5" s="1"/>
  <c r="R938" i="1"/>
  <c r="J938" i="5" s="1"/>
  <c r="R937" i="1"/>
  <c r="J937" i="5" s="1"/>
  <c r="R936" i="1"/>
  <c r="J936" i="5" s="1"/>
  <c r="R935" i="1"/>
  <c r="J935" i="5" s="1"/>
  <c r="R934" i="1"/>
  <c r="J934" i="5" s="1"/>
  <c r="R933" i="1"/>
  <c r="J933" i="5" s="1"/>
  <c r="R932" i="1"/>
  <c r="J932" i="5" s="1"/>
  <c r="R931" i="1"/>
  <c r="J931" i="5" s="1"/>
  <c r="R930" i="1"/>
  <c r="J930" i="5" s="1"/>
  <c r="R929" i="1"/>
  <c r="J929" i="5" s="1"/>
  <c r="R928" i="1"/>
  <c r="J928" i="5" s="1"/>
  <c r="R927" i="1"/>
  <c r="J927" i="5" s="1"/>
  <c r="R926" i="1"/>
  <c r="J926" i="5" s="1"/>
  <c r="R925" i="1"/>
  <c r="J925" i="5" s="1"/>
  <c r="R924" i="1"/>
  <c r="J924" i="5" s="1"/>
  <c r="R923" i="1"/>
  <c r="J923" i="5" s="1"/>
  <c r="R922" i="1"/>
  <c r="J922" i="5" s="1"/>
  <c r="R921" i="1"/>
  <c r="J921" i="5" s="1"/>
  <c r="R920" i="1"/>
  <c r="J920" i="5" s="1"/>
  <c r="R919" i="1"/>
  <c r="J919" i="5" s="1"/>
  <c r="R918" i="1"/>
  <c r="J918" i="5" s="1"/>
  <c r="R917" i="1"/>
  <c r="J917" i="5" s="1"/>
  <c r="R916" i="1"/>
  <c r="J916" i="5" s="1"/>
  <c r="R915" i="1"/>
  <c r="J915" i="5" s="1"/>
  <c r="R914" i="1"/>
  <c r="J914" i="5" s="1"/>
  <c r="R913" i="1"/>
  <c r="J913" i="5" s="1"/>
  <c r="R912" i="1"/>
  <c r="J912" i="5" s="1"/>
  <c r="R911" i="1"/>
  <c r="J911" i="5" s="1"/>
  <c r="R910" i="1"/>
  <c r="J910" i="5" s="1"/>
  <c r="R909" i="1"/>
  <c r="J909" i="5" s="1"/>
  <c r="R908" i="1"/>
  <c r="J908" i="5" s="1"/>
  <c r="R907" i="1"/>
  <c r="J907" i="5" s="1"/>
  <c r="R906" i="1"/>
  <c r="J906" i="5" s="1"/>
  <c r="R905" i="1"/>
  <c r="J905" i="5" s="1"/>
  <c r="R904" i="1"/>
  <c r="J904" i="5" s="1"/>
  <c r="R903" i="1"/>
  <c r="J903" i="5" s="1"/>
  <c r="R902" i="1"/>
  <c r="J902" i="5" s="1"/>
  <c r="R901" i="1"/>
  <c r="J901" i="5" s="1"/>
  <c r="R900" i="1"/>
  <c r="J900" i="5" s="1"/>
  <c r="R899" i="1"/>
  <c r="J899" i="5" s="1"/>
  <c r="R898" i="1"/>
  <c r="J898" i="5" s="1"/>
  <c r="R897" i="1"/>
  <c r="J897" i="5" s="1"/>
  <c r="R896" i="1"/>
  <c r="J896" i="5" s="1"/>
  <c r="R895" i="1"/>
  <c r="J895" i="5" s="1"/>
  <c r="R894" i="1"/>
  <c r="J894" i="5" s="1"/>
  <c r="R893" i="1"/>
  <c r="J893" i="5" s="1"/>
  <c r="R892" i="1"/>
  <c r="J892" i="5" s="1"/>
  <c r="R891" i="1"/>
  <c r="J891" i="5" s="1"/>
  <c r="R890" i="1"/>
  <c r="J890" i="5" s="1"/>
  <c r="R889" i="1"/>
  <c r="J889" i="5" s="1"/>
  <c r="R888" i="1"/>
  <c r="J888" i="5" s="1"/>
  <c r="R887" i="1"/>
  <c r="J887" i="5" s="1"/>
  <c r="R886" i="1"/>
  <c r="J886" i="5" s="1"/>
  <c r="R885" i="1"/>
  <c r="J885" i="5" s="1"/>
  <c r="R884" i="1"/>
  <c r="J884" i="5" s="1"/>
  <c r="R883" i="1"/>
  <c r="J883" i="5" s="1"/>
  <c r="R882" i="1"/>
  <c r="J882" i="5" s="1"/>
  <c r="R881" i="1"/>
  <c r="J881" i="5" s="1"/>
  <c r="R880" i="1"/>
  <c r="J880" i="5" s="1"/>
  <c r="R879" i="1"/>
  <c r="J879" i="5" s="1"/>
  <c r="R878" i="1"/>
  <c r="J878" i="5" s="1"/>
  <c r="R877" i="1"/>
  <c r="J877" i="5" s="1"/>
  <c r="R876" i="1"/>
  <c r="J876" i="5" s="1"/>
  <c r="R875" i="1"/>
  <c r="J875" i="5" s="1"/>
  <c r="R874" i="1"/>
  <c r="J874" i="5" s="1"/>
  <c r="R873" i="1"/>
  <c r="J873" i="5" s="1"/>
  <c r="R872" i="1"/>
  <c r="J872" i="5" s="1"/>
  <c r="R871" i="1"/>
  <c r="J871" i="5" s="1"/>
  <c r="R870" i="1"/>
  <c r="J870" i="5" s="1"/>
  <c r="R869" i="1"/>
  <c r="J869" i="5" s="1"/>
  <c r="R868" i="1"/>
  <c r="J868" i="5" s="1"/>
  <c r="R867" i="1"/>
  <c r="J867" i="5" s="1"/>
  <c r="R866" i="1"/>
  <c r="J866" i="5" s="1"/>
  <c r="R865" i="1"/>
  <c r="J865" i="5" s="1"/>
  <c r="R864" i="1"/>
  <c r="J864" i="5" s="1"/>
  <c r="R863" i="1"/>
  <c r="J863" i="5" s="1"/>
  <c r="R862" i="1"/>
  <c r="J862" i="5" s="1"/>
  <c r="R861" i="1"/>
  <c r="J861" i="5" s="1"/>
  <c r="R860" i="1"/>
  <c r="J860" i="5" s="1"/>
  <c r="R859" i="1"/>
  <c r="J859" i="5" s="1"/>
  <c r="R858" i="1"/>
  <c r="J858" i="5" s="1"/>
  <c r="R857" i="1"/>
  <c r="J857" i="5" s="1"/>
  <c r="R856" i="1"/>
  <c r="J856" i="5" s="1"/>
  <c r="R855" i="1"/>
  <c r="J855" i="5" s="1"/>
  <c r="R854" i="1"/>
  <c r="J854" i="5" s="1"/>
  <c r="R853" i="1"/>
  <c r="J853" i="5" s="1"/>
  <c r="R852" i="1"/>
  <c r="J852" i="5" s="1"/>
  <c r="R851" i="1"/>
  <c r="J851" i="5" s="1"/>
  <c r="R850" i="1"/>
  <c r="J850" i="5" s="1"/>
  <c r="R849" i="1"/>
  <c r="J849" i="5" s="1"/>
  <c r="R848" i="1"/>
  <c r="J848" i="5" s="1"/>
  <c r="R847" i="1"/>
  <c r="J847" i="5" s="1"/>
  <c r="R846" i="1"/>
  <c r="J846" i="5" s="1"/>
  <c r="R845" i="1"/>
  <c r="J845" i="5" s="1"/>
  <c r="R844" i="1"/>
  <c r="J844" i="5" s="1"/>
  <c r="R843" i="1"/>
  <c r="J843" i="5" s="1"/>
  <c r="R842" i="1"/>
  <c r="J842" i="5" s="1"/>
  <c r="R841" i="1"/>
  <c r="J841" i="5" s="1"/>
  <c r="R840" i="1"/>
  <c r="J840" i="5" s="1"/>
  <c r="R839" i="1"/>
  <c r="J839" i="5" s="1"/>
  <c r="R838" i="1"/>
  <c r="J838" i="5" s="1"/>
  <c r="R837" i="1"/>
  <c r="J837" i="5" s="1"/>
  <c r="R836" i="1"/>
  <c r="J836" i="5" s="1"/>
  <c r="R835" i="1"/>
  <c r="J835" i="5" s="1"/>
  <c r="R834" i="1"/>
  <c r="J834" i="5" s="1"/>
  <c r="R833" i="1"/>
  <c r="J833" i="5" s="1"/>
  <c r="R832" i="1"/>
  <c r="J832" i="5" s="1"/>
  <c r="R831" i="1"/>
  <c r="J831" i="5" s="1"/>
  <c r="R830" i="1"/>
  <c r="J830" i="5" s="1"/>
  <c r="R829" i="1"/>
  <c r="J829" i="5" s="1"/>
  <c r="R828" i="1"/>
  <c r="J828" i="5" s="1"/>
  <c r="R827" i="1"/>
  <c r="J827" i="5" s="1"/>
  <c r="R826" i="1"/>
  <c r="J826" i="5" s="1"/>
  <c r="R825" i="1"/>
  <c r="J825" i="5" s="1"/>
  <c r="R824" i="1"/>
  <c r="J824" i="5" s="1"/>
  <c r="R823" i="1"/>
  <c r="J823" i="5" s="1"/>
  <c r="R822" i="1"/>
  <c r="J822" i="5" s="1"/>
  <c r="R821" i="1"/>
  <c r="J821" i="5" s="1"/>
  <c r="R820" i="1"/>
  <c r="J820" i="5" s="1"/>
  <c r="R819" i="1"/>
  <c r="J819" i="5" s="1"/>
  <c r="R818" i="1"/>
  <c r="J818" i="5" s="1"/>
  <c r="R817" i="1"/>
  <c r="J817" i="5" s="1"/>
  <c r="R816" i="1"/>
  <c r="J816" i="5" s="1"/>
  <c r="R815" i="1"/>
  <c r="J815" i="5" s="1"/>
  <c r="R814" i="1"/>
  <c r="J814" i="5" s="1"/>
  <c r="R813" i="1"/>
  <c r="J813" i="5" s="1"/>
  <c r="R812" i="1"/>
  <c r="J812" i="5" s="1"/>
  <c r="R811" i="1"/>
  <c r="J811" i="5" s="1"/>
  <c r="R810" i="1"/>
  <c r="J810" i="5" s="1"/>
  <c r="R809" i="1"/>
  <c r="J809" i="5" s="1"/>
  <c r="R808" i="1"/>
  <c r="J808" i="5" s="1"/>
  <c r="R807" i="1"/>
  <c r="J807" i="5" s="1"/>
  <c r="R806" i="1"/>
  <c r="J806" i="5" s="1"/>
  <c r="R805" i="1"/>
  <c r="J805" i="5" s="1"/>
  <c r="R804" i="1"/>
  <c r="J804" i="5" s="1"/>
  <c r="R803" i="1"/>
  <c r="J803" i="5" s="1"/>
  <c r="R802" i="1"/>
  <c r="J802" i="5" s="1"/>
  <c r="R801" i="1"/>
  <c r="J801" i="5" s="1"/>
  <c r="R800" i="1"/>
  <c r="J800" i="5" s="1"/>
  <c r="R799" i="1"/>
  <c r="J799" i="5" s="1"/>
  <c r="R798" i="1"/>
  <c r="J798" i="5" s="1"/>
  <c r="R797" i="1"/>
  <c r="J797" i="5" s="1"/>
  <c r="R796" i="1"/>
  <c r="J796" i="5" s="1"/>
  <c r="R795" i="1"/>
  <c r="J795" i="5" s="1"/>
  <c r="R794" i="1"/>
  <c r="J794" i="5" s="1"/>
  <c r="R793" i="1"/>
  <c r="J793" i="5" s="1"/>
  <c r="R792" i="1"/>
  <c r="J792" i="5" s="1"/>
  <c r="R791" i="1"/>
  <c r="J791" i="5" s="1"/>
  <c r="R790" i="1"/>
  <c r="J790" i="5" s="1"/>
  <c r="R789" i="1"/>
  <c r="J789" i="5" s="1"/>
  <c r="R788" i="1"/>
  <c r="J788" i="5" s="1"/>
  <c r="R787" i="1"/>
  <c r="J787" i="5" s="1"/>
  <c r="R786" i="1"/>
  <c r="J786" i="5" s="1"/>
  <c r="R785" i="1"/>
  <c r="J785" i="5" s="1"/>
  <c r="R784" i="1"/>
  <c r="J784" i="5" s="1"/>
  <c r="R783" i="1"/>
  <c r="J783" i="5" s="1"/>
  <c r="R782" i="1"/>
  <c r="J782" i="5" s="1"/>
  <c r="R781" i="1"/>
  <c r="J781" i="5" s="1"/>
  <c r="R780" i="1"/>
  <c r="J780" i="5" s="1"/>
  <c r="R779" i="1"/>
  <c r="J779" i="5" s="1"/>
  <c r="R778" i="1"/>
  <c r="J778" i="5" s="1"/>
  <c r="R777" i="1"/>
  <c r="J777" i="5" s="1"/>
  <c r="R776" i="1"/>
  <c r="J776" i="5" s="1"/>
  <c r="R775" i="1"/>
  <c r="J775" i="5" s="1"/>
  <c r="R774" i="1"/>
  <c r="J774" i="5" s="1"/>
  <c r="R773" i="1"/>
  <c r="J773" i="5" s="1"/>
  <c r="R772" i="1"/>
  <c r="J772" i="5" s="1"/>
  <c r="R771" i="1"/>
  <c r="J771" i="5" s="1"/>
  <c r="R770" i="1"/>
  <c r="J770" i="5" s="1"/>
  <c r="R769" i="1"/>
  <c r="J769" i="5" s="1"/>
  <c r="R768" i="1"/>
  <c r="J768" i="5" s="1"/>
  <c r="R767" i="1"/>
  <c r="J767" i="5" s="1"/>
  <c r="R766" i="1"/>
  <c r="J766" i="5" s="1"/>
  <c r="R765" i="1"/>
  <c r="J765" i="5" s="1"/>
  <c r="R764" i="1"/>
  <c r="J764" i="5" s="1"/>
  <c r="R763" i="1"/>
  <c r="J763" i="5" s="1"/>
  <c r="R762" i="1"/>
  <c r="J762" i="5" s="1"/>
  <c r="R761" i="1"/>
  <c r="J761" i="5" s="1"/>
  <c r="R760" i="1"/>
  <c r="J760" i="5" s="1"/>
  <c r="R759" i="1"/>
  <c r="J759" i="5" s="1"/>
  <c r="R758" i="1"/>
  <c r="J758" i="5" s="1"/>
  <c r="R757" i="1"/>
  <c r="J757" i="5" s="1"/>
  <c r="R756" i="1"/>
  <c r="J756" i="5" s="1"/>
  <c r="R755" i="1"/>
  <c r="J755" i="5" s="1"/>
  <c r="R754" i="1"/>
  <c r="J754" i="5" s="1"/>
  <c r="R753" i="1"/>
  <c r="J753" i="5" s="1"/>
  <c r="R752" i="1"/>
  <c r="J752" i="5" s="1"/>
  <c r="R751" i="1"/>
  <c r="J751" i="5" s="1"/>
  <c r="R750" i="1"/>
  <c r="J750" i="5" s="1"/>
  <c r="R749" i="1"/>
  <c r="J749" i="5" s="1"/>
  <c r="R748" i="1"/>
  <c r="J748" i="5" s="1"/>
  <c r="R747" i="1"/>
  <c r="J747" i="5" s="1"/>
  <c r="R746" i="1"/>
  <c r="J746" i="5" s="1"/>
  <c r="R745" i="1"/>
  <c r="J745" i="5" s="1"/>
  <c r="R744" i="1"/>
  <c r="J744" i="5" s="1"/>
  <c r="R743" i="1"/>
  <c r="J743" i="5" s="1"/>
  <c r="R742" i="1"/>
  <c r="J742" i="5" s="1"/>
  <c r="R741" i="1"/>
  <c r="J741" i="5" s="1"/>
  <c r="R740" i="1"/>
  <c r="J740" i="5" s="1"/>
  <c r="R739" i="1"/>
  <c r="J739" i="5" s="1"/>
  <c r="R738" i="1"/>
  <c r="J738" i="5" s="1"/>
  <c r="R737" i="1"/>
  <c r="J737" i="5" s="1"/>
  <c r="R736" i="1"/>
  <c r="J736" i="5" s="1"/>
  <c r="R735" i="1"/>
  <c r="J735" i="5" s="1"/>
  <c r="R734" i="1"/>
  <c r="J734" i="5" s="1"/>
  <c r="R733" i="1"/>
  <c r="J733" i="5" s="1"/>
  <c r="R732" i="1"/>
  <c r="J732" i="5" s="1"/>
  <c r="R731" i="1"/>
  <c r="J731" i="5" s="1"/>
  <c r="R730" i="1"/>
  <c r="J730" i="5" s="1"/>
  <c r="R729" i="1"/>
  <c r="J729" i="5" s="1"/>
  <c r="R728" i="1"/>
  <c r="J728" i="5" s="1"/>
  <c r="R727" i="1"/>
  <c r="J727" i="5" s="1"/>
  <c r="R726" i="1"/>
  <c r="J726" i="5" s="1"/>
  <c r="R725" i="1"/>
  <c r="J725" i="5" s="1"/>
  <c r="R724" i="1"/>
  <c r="J724" i="5" s="1"/>
  <c r="R723" i="1"/>
  <c r="J723" i="5" s="1"/>
  <c r="R722" i="1"/>
  <c r="J722" i="5" s="1"/>
  <c r="R721" i="1"/>
  <c r="J721" i="5" s="1"/>
  <c r="R720" i="1"/>
  <c r="J720" i="5" s="1"/>
  <c r="R719" i="1"/>
  <c r="J719" i="5" s="1"/>
  <c r="R718" i="1"/>
  <c r="J718" i="5" s="1"/>
  <c r="R717" i="1"/>
  <c r="J717" i="5" s="1"/>
  <c r="R716" i="1"/>
  <c r="J716" i="5" s="1"/>
  <c r="R715" i="1"/>
  <c r="J715" i="5" s="1"/>
  <c r="R714" i="1"/>
  <c r="J714" i="5" s="1"/>
  <c r="R713" i="1"/>
  <c r="J713" i="5" s="1"/>
  <c r="R712" i="1"/>
  <c r="J712" i="5" s="1"/>
  <c r="R711" i="1"/>
  <c r="J711" i="5" s="1"/>
  <c r="R710" i="1"/>
  <c r="J710" i="5" s="1"/>
  <c r="R709" i="1"/>
  <c r="J709" i="5" s="1"/>
  <c r="R708" i="1"/>
  <c r="J708" i="5" s="1"/>
  <c r="R707" i="1"/>
  <c r="J707" i="5" s="1"/>
  <c r="R706" i="1"/>
  <c r="J706" i="5" s="1"/>
  <c r="R705" i="1"/>
  <c r="J705" i="5" s="1"/>
  <c r="R704" i="1"/>
  <c r="J704" i="5" s="1"/>
  <c r="R703" i="1"/>
  <c r="J703" i="5" s="1"/>
  <c r="R702" i="1"/>
  <c r="J702" i="5" s="1"/>
  <c r="R701" i="1"/>
  <c r="J701" i="5" s="1"/>
  <c r="R700" i="1"/>
  <c r="J700" i="5" s="1"/>
  <c r="R699" i="1"/>
  <c r="J699" i="5" s="1"/>
  <c r="R698" i="1"/>
  <c r="J698" i="5" s="1"/>
  <c r="R697" i="1"/>
  <c r="J697" i="5" s="1"/>
  <c r="R696" i="1"/>
  <c r="J696" i="5" s="1"/>
  <c r="R695" i="1"/>
  <c r="J695" i="5" s="1"/>
  <c r="R694" i="1"/>
  <c r="J694" i="5" s="1"/>
  <c r="R693" i="1"/>
  <c r="J693" i="5" s="1"/>
  <c r="R692" i="1"/>
  <c r="J692" i="5" s="1"/>
  <c r="R691" i="1"/>
  <c r="J691" i="5" s="1"/>
  <c r="R690" i="1"/>
  <c r="J690" i="5" s="1"/>
  <c r="R689" i="1"/>
  <c r="J689" i="5" s="1"/>
  <c r="R688" i="1"/>
  <c r="J688" i="5" s="1"/>
  <c r="R687" i="1"/>
  <c r="J687" i="5" s="1"/>
  <c r="R686" i="1"/>
  <c r="J686" i="5" s="1"/>
  <c r="R685" i="1"/>
  <c r="J685" i="5" s="1"/>
  <c r="R684" i="1"/>
  <c r="J684" i="5" s="1"/>
  <c r="R683" i="1"/>
  <c r="J683" i="5" s="1"/>
  <c r="R682" i="1"/>
  <c r="J682" i="5" s="1"/>
  <c r="R681" i="1"/>
  <c r="J681" i="5" s="1"/>
  <c r="R680" i="1"/>
  <c r="J680" i="5" s="1"/>
  <c r="R679" i="1"/>
  <c r="J679" i="5" s="1"/>
  <c r="R678" i="1"/>
  <c r="J678" i="5" s="1"/>
  <c r="R677" i="1"/>
  <c r="J677" i="5" s="1"/>
  <c r="R676" i="1"/>
  <c r="J676" i="5" s="1"/>
  <c r="R675" i="1"/>
  <c r="J675" i="5" s="1"/>
  <c r="R674" i="1"/>
  <c r="J674" i="5" s="1"/>
  <c r="R673" i="1"/>
  <c r="J673" i="5" s="1"/>
  <c r="R672" i="1"/>
  <c r="J672" i="5" s="1"/>
  <c r="R671" i="1"/>
  <c r="J671" i="5" s="1"/>
  <c r="R670" i="1"/>
  <c r="J670" i="5" s="1"/>
  <c r="R669" i="1"/>
  <c r="J669" i="5" s="1"/>
  <c r="R668" i="1"/>
  <c r="J668" i="5" s="1"/>
  <c r="R667" i="1"/>
  <c r="J667" i="5" s="1"/>
  <c r="R666" i="1"/>
  <c r="J666" i="5" s="1"/>
  <c r="R665" i="1"/>
  <c r="J665" i="5" s="1"/>
  <c r="R664" i="1"/>
  <c r="J664" i="5" s="1"/>
  <c r="R663" i="1"/>
  <c r="J663" i="5" s="1"/>
  <c r="R662" i="1"/>
  <c r="J662" i="5" s="1"/>
  <c r="R661" i="1"/>
  <c r="J661" i="5" s="1"/>
  <c r="R660" i="1"/>
  <c r="J660" i="5" s="1"/>
  <c r="R659" i="1"/>
  <c r="J659" i="5" s="1"/>
  <c r="R658" i="1"/>
  <c r="J658" i="5" s="1"/>
  <c r="R657" i="1"/>
  <c r="J657" i="5" s="1"/>
  <c r="R656" i="1"/>
  <c r="J656" i="5" s="1"/>
  <c r="R655" i="1"/>
  <c r="J655" i="5" s="1"/>
  <c r="R654" i="1"/>
  <c r="J654" i="5" s="1"/>
  <c r="R653" i="1"/>
  <c r="J653" i="5" s="1"/>
  <c r="R652" i="1"/>
  <c r="J652" i="5" s="1"/>
  <c r="R651" i="1"/>
  <c r="J651" i="5" s="1"/>
  <c r="R650" i="1"/>
  <c r="J650" i="5" s="1"/>
  <c r="R649" i="1"/>
  <c r="J649" i="5" s="1"/>
  <c r="R648" i="1"/>
  <c r="J648" i="5" s="1"/>
  <c r="R647" i="1"/>
  <c r="J647" i="5" s="1"/>
  <c r="R646" i="1"/>
  <c r="J646" i="5" s="1"/>
  <c r="R645" i="1"/>
  <c r="J645" i="5" s="1"/>
  <c r="R644" i="1"/>
  <c r="J644" i="5" s="1"/>
  <c r="R643" i="1"/>
  <c r="J643" i="5" s="1"/>
  <c r="R642" i="1"/>
  <c r="J642" i="5" s="1"/>
  <c r="R641" i="1"/>
  <c r="J641" i="5" s="1"/>
  <c r="R640" i="1"/>
  <c r="J640" i="5" s="1"/>
  <c r="R639" i="1"/>
  <c r="J639" i="5" s="1"/>
  <c r="R638" i="1"/>
  <c r="J638" i="5" s="1"/>
  <c r="R637" i="1"/>
  <c r="J637" i="5" s="1"/>
  <c r="R636" i="1"/>
  <c r="J636" i="5" s="1"/>
  <c r="R635" i="1"/>
  <c r="J635" i="5" s="1"/>
  <c r="R634" i="1"/>
  <c r="J634" i="5" s="1"/>
  <c r="R633" i="1"/>
  <c r="J633" i="5" s="1"/>
  <c r="R632" i="1"/>
  <c r="J632" i="5" s="1"/>
  <c r="R631" i="1"/>
  <c r="J631" i="5" s="1"/>
  <c r="R630" i="1"/>
  <c r="J630" i="5" s="1"/>
  <c r="R629" i="1"/>
  <c r="J629" i="5" s="1"/>
  <c r="R628" i="1"/>
  <c r="J628" i="5" s="1"/>
  <c r="R627" i="1"/>
  <c r="J627" i="5" s="1"/>
  <c r="R626" i="1"/>
  <c r="J626" i="5" s="1"/>
  <c r="R625" i="1"/>
  <c r="J625" i="5" s="1"/>
  <c r="R624" i="1"/>
  <c r="J624" i="5" s="1"/>
  <c r="R623" i="1"/>
  <c r="J623" i="5" s="1"/>
  <c r="R622" i="1"/>
  <c r="J622" i="5" s="1"/>
  <c r="R621" i="1"/>
  <c r="J621" i="5" s="1"/>
  <c r="R620" i="1"/>
  <c r="J620" i="5" s="1"/>
  <c r="R619" i="1"/>
  <c r="J619" i="5" s="1"/>
  <c r="R618" i="1"/>
  <c r="J618" i="5" s="1"/>
  <c r="R617" i="1"/>
  <c r="J617" i="5" s="1"/>
  <c r="R616" i="1"/>
  <c r="J616" i="5" s="1"/>
  <c r="R615" i="1"/>
  <c r="J615" i="5" s="1"/>
  <c r="R614" i="1"/>
  <c r="J614" i="5" s="1"/>
  <c r="R613" i="1"/>
  <c r="J613" i="5" s="1"/>
  <c r="R612" i="1"/>
  <c r="J612" i="5" s="1"/>
  <c r="R611" i="1"/>
  <c r="J611" i="5" s="1"/>
  <c r="R610" i="1"/>
  <c r="J610" i="5" s="1"/>
  <c r="R609" i="1"/>
  <c r="J609" i="5" s="1"/>
  <c r="R608" i="1"/>
  <c r="J608" i="5" s="1"/>
  <c r="R607" i="1"/>
  <c r="J607" i="5" s="1"/>
  <c r="R606" i="1"/>
  <c r="J606" i="5" s="1"/>
  <c r="R605" i="1"/>
  <c r="J605" i="5" s="1"/>
  <c r="R604" i="1"/>
  <c r="J604" i="5" s="1"/>
  <c r="R603" i="1"/>
  <c r="J603" i="5" s="1"/>
  <c r="R602" i="1"/>
  <c r="J602" i="5" s="1"/>
  <c r="R601" i="1"/>
  <c r="J601" i="5" s="1"/>
  <c r="R600" i="1"/>
  <c r="J600" i="5" s="1"/>
  <c r="R599" i="1"/>
  <c r="J599" i="5" s="1"/>
  <c r="R598" i="1"/>
  <c r="J598" i="5" s="1"/>
  <c r="R597" i="1"/>
  <c r="J597" i="5" s="1"/>
  <c r="R596" i="1"/>
  <c r="J596" i="5" s="1"/>
  <c r="R595" i="1"/>
  <c r="J595" i="5" s="1"/>
  <c r="R594" i="1"/>
  <c r="J594" i="5" s="1"/>
  <c r="R593" i="1"/>
  <c r="J593" i="5" s="1"/>
  <c r="R592" i="1"/>
  <c r="J592" i="5" s="1"/>
  <c r="R591" i="1"/>
  <c r="J591" i="5" s="1"/>
  <c r="R590" i="1"/>
  <c r="J590" i="5" s="1"/>
  <c r="R589" i="1"/>
  <c r="J589" i="5" s="1"/>
  <c r="R588" i="1"/>
  <c r="J588" i="5" s="1"/>
  <c r="R587" i="1"/>
  <c r="J587" i="5" s="1"/>
  <c r="R586" i="1"/>
  <c r="J586" i="5" s="1"/>
  <c r="R585" i="1"/>
  <c r="J585" i="5" s="1"/>
  <c r="R584" i="1"/>
  <c r="J584" i="5" s="1"/>
  <c r="R583" i="1"/>
  <c r="J583" i="5" s="1"/>
  <c r="R582" i="1"/>
  <c r="J582" i="5" s="1"/>
  <c r="R581" i="1"/>
  <c r="J581" i="5" s="1"/>
  <c r="R580" i="1"/>
  <c r="J580" i="5" s="1"/>
  <c r="R579" i="1"/>
  <c r="J579" i="5" s="1"/>
  <c r="R578" i="1"/>
  <c r="J578" i="5" s="1"/>
  <c r="R577" i="1"/>
  <c r="J577" i="5" s="1"/>
  <c r="R576" i="1"/>
  <c r="J576" i="5" s="1"/>
  <c r="R575" i="1"/>
  <c r="J575" i="5" s="1"/>
  <c r="R574" i="1"/>
  <c r="J574" i="5" s="1"/>
  <c r="R573" i="1"/>
  <c r="J573" i="5" s="1"/>
  <c r="R572" i="1"/>
  <c r="J572" i="5" s="1"/>
  <c r="R571" i="1"/>
  <c r="J571" i="5" s="1"/>
  <c r="R570" i="1"/>
  <c r="J570" i="5" s="1"/>
  <c r="R569" i="1"/>
  <c r="J569" i="5" s="1"/>
  <c r="R568" i="1"/>
  <c r="J568" i="5" s="1"/>
  <c r="R567" i="1"/>
  <c r="J567" i="5" s="1"/>
  <c r="R566" i="1"/>
  <c r="J566" i="5" s="1"/>
  <c r="R565" i="1"/>
  <c r="J565" i="5" s="1"/>
  <c r="R564" i="1"/>
  <c r="J564" i="5" s="1"/>
  <c r="R563" i="1"/>
  <c r="J563" i="5" s="1"/>
  <c r="R562" i="1"/>
  <c r="J562" i="5" s="1"/>
  <c r="R561" i="1"/>
  <c r="J561" i="5" s="1"/>
  <c r="R560" i="1"/>
  <c r="J560" i="5" s="1"/>
  <c r="R559" i="1"/>
  <c r="J559" i="5" s="1"/>
  <c r="R558" i="1"/>
  <c r="J558" i="5" s="1"/>
  <c r="R557" i="1"/>
  <c r="J557" i="5" s="1"/>
  <c r="R556" i="1"/>
  <c r="J556" i="5" s="1"/>
  <c r="R555" i="1"/>
  <c r="J555" i="5" s="1"/>
  <c r="R554" i="1"/>
  <c r="J554" i="5" s="1"/>
  <c r="R553" i="1"/>
  <c r="J553" i="5" s="1"/>
  <c r="R552" i="1"/>
  <c r="J552" i="5" s="1"/>
  <c r="R551" i="1"/>
  <c r="J551" i="5" s="1"/>
  <c r="R550" i="1"/>
  <c r="J550" i="5" s="1"/>
  <c r="R549" i="1"/>
  <c r="J549" i="5" s="1"/>
  <c r="R548" i="1"/>
  <c r="J548" i="5" s="1"/>
  <c r="R547" i="1"/>
  <c r="J547" i="5" s="1"/>
  <c r="R546" i="1"/>
  <c r="J546" i="5" s="1"/>
  <c r="R545" i="1"/>
  <c r="J545" i="5" s="1"/>
  <c r="R544" i="1"/>
  <c r="J544" i="5" s="1"/>
  <c r="R543" i="1"/>
  <c r="J543" i="5" s="1"/>
  <c r="R542" i="1"/>
  <c r="J542" i="5" s="1"/>
  <c r="R541" i="1"/>
  <c r="J541" i="5" s="1"/>
  <c r="R540" i="1"/>
  <c r="J540" i="5" s="1"/>
  <c r="R539" i="1"/>
  <c r="J539" i="5" s="1"/>
  <c r="R538" i="1"/>
  <c r="J538" i="5" s="1"/>
  <c r="R537" i="1"/>
  <c r="J537" i="5" s="1"/>
  <c r="R536" i="1"/>
  <c r="J536" i="5" s="1"/>
  <c r="R535" i="1"/>
  <c r="J535" i="5" s="1"/>
  <c r="R534" i="1"/>
  <c r="J534" i="5" s="1"/>
  <c r="R533" i="1"/>
  <c r="J533" i="5" s="1"/>
  <c r="R532" i="1"/>
  <c r="J532" i="5" s="1"/>
  <c r="R531" i="1"/>
  <c r="J531" i="5" s="1"/>
  <c r="R530" i="1"/>
  <c r="J530" i="5" s="1"/>
  <c r="R529" i="1"/>
  <c r="J529" i="5" s="1"/>
  <c r="R528" i="1"/>
  <c r="J528" i="5" s="1"/>
  <c r="R527" i="1"/>
  <c r="J527" i="5" s="1"/>
  <c r="R526" i="1"/>
  <c r="J526" i="5" s="1"/>
  <c r="R525" i="1"/>
  <c r="J525" i="5" s="1"/>
  <c r="R524" i="1"/>
  <c r="J524" i="5" s="1"/>
  <c r="R523" i="1"/>
  <c r="J523" i="5" s="1"/>
  <c r="R522" i="1"/>
  <c r="J522" i="5" s="1"/>
  <c r="R521" i="1"/>
  <c r="J521" i="5" s="1"/>
  <c r="R520" i="1"/>
  <c r="J520" i="5" s="1"/>
  <c r="R519" i="1"/>
  <c r="J519" i="5" s="1"/>
  <c r="R518" i="1"/>
  <c r="J518" i="5" s="1"/>
  <c r="R517" i="1"/>
  <c r="J517" i="5" s="1"/>
  <c r="R516" i="1"/>
  <c r="J516" i="5" s="1"/>
  <c r="R515" i="1"/>
  <c r="J515" i="5" s="1"/>
  <c r="R514" i="1"/>
  <c r="J514" i="5" s="1"/>
  <c r="R513" i="1"/>
  <c r="J513" i="5" s="1"/>
  <c r="R512" i="1"/>
  <c r="J512" i="5" s="1"/>
  <c r="R511" i="1"/>
  <c r="J511" i="5" s="1"/>
  <c r="R510" i="1"/>
  <c r="J510" i="5" s="1"/>
  <c r="R509" i="1"/>
  <c r="J509" i="5" s="1"/>
  <c r="R508" i="1"/>
  <c r="J508" i="5" s="1"/>
  <c r="R507" i="1"/>
  <c r="J507" i="5" s="1"/>
  <c r="R506" i="1"/>
  <c r="J506" i="5" s="1"/>
  <c r="R505" i="1"/>
  <c r="J505" i="5" s="1"/>
  <c r="R504" i="1"/>
  <c r="J504" i="5" s="1"/>
  <c r="R503" i="1"/>
  <c r="J503" i="5" s="1"/>
  <c r="R502" i="1"/>
  <c r="J502" i="5" s="1"/>
  <c r="R501" i="1"/>
  <c r="J501" i="5" s="1"/>
  <c r="R500" i="1"/>
  <c r="J500" i="5" s="1"/>
  <c r="R499" i="1"/>
  <c r="J499" i="5" s="1"/>
  <c r="R498" i="1"/>
  <c r="J498" i="5" s="1"/>
  <c r="R497" i="1"/>
  <c r="J497" i="5" s="1"/>
  <c r="R496" i="1"/>
  <c r="J496" i="5" s="1"/>
  <c r="R495" i="1"/>
  <c r="J495" i="5" s="1"/>
  <c r="R494" i="1"/>
  <c r="J494" i="5" s="1"/>
  <c r="R493" i="1"/>
  <c r="J493" i="5" s="1"/>
  <c r="R492" i="1"/>
  <c r="J492" i="5" s="1"/>
  <c r="R491" i="1"/>
  <c r="J491" i="5" s="1"/>
  <c r="R490" i="1"/>
  <c r="J490" i="5" s="1"/>
  <c r="R489" i="1"/>
  <c r="J489" i="5" s="1"/>
  <c r="R488" i="1"/>
  <c r="J488" i="5" s="1"/>
  <c r="R487" i="1"/>
  <c r="J487" i="5" s="1"/>
  <c r="R486" i="1"/>
  <c r="J486" i="5" s="1"/>
  <c r="R485" i="1"/>
  <c r="J485" i="5" s="1"/>
  <c r="R484" i="1"/>
  <c r="J484" i="5" s="1"/>
  <c r="R483" i="1"/>
  <c r="J483" i="5" s="1"/>
  <c r="R482" i="1"/>
  <c r="J482" i="5" s="1"/>
  <c r="R481" i="1"/>
  <c r="J481" i="5" s="1"/>
  <c r="R480" i="1"/>
  <c r="J480" i="5" s="1"/>
  <c r="R479" i="1"/>
  <c r="J479" i="5" s="1"/>
  <c r="R478" i="1"/>
  <c r="J478" i="5" s="1"/>
  <c r="R477" i="1"/>
  <c r="J477" i="5" s="1"/>
  <c r="R476" i="1"/>
  <c r="J476" i="5" s="1"/>
  <c r="R475" i="1"/>
  <c r="J475" i="5" s="1"/>
  <c r="R474" i="1"/>
  <c r="J474" i="5" s="1"/>
  <c r="R473" i="1"/>
  <c r="J473" i="5" s="1"/>
  <c r="R472" i="1"/>
  <c r="J472" i="5" s="1"/>
  <c r="R471" i="1"/>
  <c r="J471" i="5" s="1"/>
  <c r="R470" i="1"/>
  <c r="J470" i="5" s="1"/>
  <c r="R469" i="1"/>
  <c r="J469" i="5" s="1"/>
  <c r="R468" i="1"/>
  <c r="J468" i="5" s="1"/>
  <c r="R467" i="1"/>
  <c r="J467" i="5" s="1"/>
  <c r="R466" i="1"/>
  <c r="J466" i="5" s="1"/>
  <c r="R465" i="1"/>
  <c r="J465" i="5" s="1"/>
  <c r="R464" i="1"/>
  <c r="J464" i="5" s="1"/>
  <c r="R463" i="1"/>
  <c r="J463" i="5" s="1"/>
  <c r="R462" i="1"/>
  <c r="J462" i="5" s="1"/>
  <c r="R461" i="1"/>
  <c r="J461" i="5" s="1"/>
  <c r="R460" i="1"/>
  <c r="J460" i="5" s="1"/>
  <c r="R459" i="1"/>
  <c r="J459" i="5" s="1"/>
  <c r="R458" i="1"/>
  <c r="J458" i="5" s="1"/>
  <c r="R457" i="1"/>
  <c r="J457" i="5" s="1"/>
  <c r="R456" i="1"/>
  <c r="J456" i="5" s="1"/>
  <c r="R455" i="1"/>
  <c r="J455" i="5" s="1"/>
  <c r="R454" i="1"/>
  <c r="J454" i="5" s="1"/>
  <c r="R453" i="1"/>
  <c r="J453" i="5" s="1"/>
  <c r="R452" i="1"/>
  <c r="J452" i="5" s="1"/>
  <c r="R451" i="1"/>
  <c r="J451" i="5" s="1"/>
  <c r="R450" i="1"/>
  <c r="J450" i="5" s="1"/>
  <c r="R449" i="1"/>
  <c r="J449" i="5" s="1"/>
  <c r="R448" i="1"/>
  <c r="J448" i="5" s="1"/>
  <c r="R447" i="1"/>
  <c r="J447" i="5" s="1"/>
  <c r="R446" i="1"/>
  <c r="J446" i="5" s="1"/>
  <c r="R445" i="1"/>
  <c r="J445" i="5" s="1"/>
  <c r="R444" i="1"/>
  <c r="J444" i="5" s="1"/>
  <c r="R443" i="1"/>
  <c r="J443" i="5" s="1"/>
  <c r="R442" i="1"/>
  <c r="J442" i="5" s="1"/>
  <c r="R441" i="1"/>
  <c r="J441" i="5" s="1"/>
  <c r="R440" i="1"/>
  <c r="J440" i="5" s="1"/>
  <c r="R439" i="1"/>
  <c r="J439" i="5" s="1"/>
  <c r="R438" i="1"/>
  <c r="J438" i="5" s="1"/>
  <c r="R437" i="1"/>
  <c r="J437" i="5" s="1"/>
  <c r="R436" i="1"/>
  <c r="J436" i="5" s="1"/>
  <c r="R435" i="1"/>
  <c r="J435" i="5" s="1"/>
  <c r="R434" i="1"/>
  <c r="J434" i="5" s="1"/>
  <c r="R433" i="1"/>
  <c r="J433" i="5" s="1"/>
  <c r="R432" i="1"/>
  <c r="J432" i="5" s="1"/>
  <c r="R431" i="1"/>
  <c r="J431" i="5" s="1"/>
  <c r="R430" i="1"/>
  <c r="J430" i="5" s="1"/>
  <c r="R429" i="1"/>
  <c r="J429" i="5" s="1"/>
  <c r="R428" i="1"/>
  <c r="J428" i="5" s="1"/>
  <c r="R427" i="1"/>
  <c r="J427" i="5" s="1"/>
  <c r="R426" i="1"/>
  <c r="J426" i="5" s="1"/>
  <c r="R425" i="1"/>
  <c r="J425" i="5" s="1"/>
  <c r="R424" i="1"/>
  <c r="J424" i="5" s="1"/>
  <c r="R423" i="1"/>
  <c r="J423" i="5" s="1"/>
  <c r="R422" i="1"/>
  <c r="J422" i="5" s="1"/>
  <c r="R421" i="1"/>
  <c r="J421" i="5" s="1"/>
  <c r="R420" i="1"/>
  <c r="J420" i="5" s="1"/>
  <c r="R419" i="1"/>
  <c r="J419" i="5" s="1"/>
  <c r="R418" i="1"/>
  <c r="J418" i="5" s="1"/>
  <c r="R417" i="1"/>
  <c r="J417" i="5" s="1"/>
  <c r="R416" i="1"/>
  <c r="J416" i="5" s="1"/>
  <c r="R415" i="1"/>
  <c r="J415" i="5" s="1"/>
  <c r="R414" i="1"/>
  <c r="J414" i="5" s="1"/>
  <c r="R413" i="1"/>
  <c r="J413" i="5" s="1"/>
  <c r="R412" i="1"/>
  <c r="J412" i="5" s="1"/>
  <c r="R411" i="1"/>
  <c r="J411" i="5" s="1"/>
  <c r="R410" i="1"/>
  <c r="J410" i="5" s="1"/>
  <c r="R409" i="1"/>
  <c r="J409" i="5" s="1"/>
  <c r="R408" i="1"/>
  <c r="J408" i="5" s="1"/>
  <c r="R407" i="1"/>
  <c r="J407" i="5" s="1"/>
  <c r="R406" i="1"/>
  <c r="J406" i="5" s="1"/>
  <c r="R405" i="1"/>
  <c r="J405" i="5" s="1"/>
  <c r="R404" i="1"/>
  <c r="J404" i="5" s="1"/>
  <c r="R403" i="1"/>
  <c r="J403" i="5" s="1"/>
  <c r="R402" i="1"/>
  <c r="J402" i="5" s="1"/>
  <c r="R401" i="1"/>
  <c r="J401" i="5" s="1"/>
  <c r="R400" i="1"/>
  <c r="J400" i="5" s="1"/>
  <c r="R399" i="1"/>
  <c r="J399" i="5" s="1"/>
  <c r="R398" i="1"/>
  <c r="J398" i="5" s="1"/>
  <c r="R397" i="1"/>
  <c r="J397" i="5" s="1"/>
  <c r="R396" i="1"/>
  <c r="J396" i="5" s="1"/>
  <c r="R395" i="1"/>
  <c r="J395" i="5" s="1"/>
  <c r="R394" i="1"/>
  <c r="J394" i="5" s="1"/>
  <c r="R393" i="1"/>
  <c r="J393" i="5" s="1"/>
  <c r="R392" i="1"/>
  <c r="J392" i="5" s="1"/>
  <c r="R391" i="1"/>
  <c r="J391" i="5" s="1"/>
  <c r="R390" i="1"/>
  <c r="J390" i="5" s="1"/>
  <c r="R389" i="1"/>
  <c r="J389" i="5" s="1"/>
  <c r="R388" i="1"/>
  <c r="J388" i="5" s="1"/>
  <c r="R387" i="1"/>
  <c r="J387" i="5" s="1"/>
  <c r="R386" i="1"/>
  <c r="J386" i="5" s="1"/>
  <c r="R385" i="1"/>
  <c r="J385" i="5" s="1"/>
  <c r="R384" i="1"/>
  <c r="J384" i="5" s="1"/>
  <c r="R383" i="1"/>
  <c r="J383" i="5" s="1"/>
  <c r="R382" i="1"/>
  <c r="J382" i="5" s="1"/>
  <c r="R381" i="1"/>
  <c r="J381" i="5" s="1"/>
  <c r="R380" i="1"/>
  <c r="J380" i="5" s="1"/>
  <c r="R379" i="1"/>
  <c r="J379" i="5" s="1"/>
  <c r="R378" i="1"/>
  <c r="J378" i="5" s="1"/>
  <c r="R377" i="1"/>
  <c r="J377" i="5" s="1"/>
  <c r="R376" i="1"/>
  <c r="J376" i="5" s="1"/>
  <c r="R375" i="1"/>
  <c r="J375" i="5" s="1"/>
  <c r="R374" i="1"/>
  <c r="J374" i="5" s="1"/>
  <c r="R373" i="1"/>
  <c r="J373" i="5" s="1"/>
  <c r="R372" i="1"/>
  <c r="J372" i="5" s="1"/>
  <c r="R371" i="1"/>
  <c r="J371" i="5" s="1"/>
  <c r="R370" i="1"/>
  <c r="J370" i="5" s="1"/>
  <c r="R369" i="1"/>
  <c r="J369" i="5" s="1"/>
  <c r="R368" i="1"/>
  <c r="J368" i="5" s="1"/>
  <c r="R367" i="1"/>
  <c r="J367" i="5" s="1"/>
  <c r="R366" i="1"/>
  <c r="J366" i="5" s="1"/>
  <c r="R365" i="1"/>
  <c r="J365" i="5" s="1"/>
  <c r="R364" i="1"/>
  <c r="J364" i="5" s="1"/>
  <c r="R363" i="1"/>
  <c r="J363" i="5" s="1"/>
  <c r="R362" i="1"/>
  <c r="J362" i="5" s="1"/>
  <c r="R361" i="1"/>
  <c r="J361" i="5" s="1"/>
  <c r="R360" i="1"/>
  <c r="J360" i="5" s="1"/>
  <c r="R359" i="1"/>
  <c r="J359" i="5" s="1"/>
  <c r="R358" i="1"/>
  <c r="J358" i="5" s="1"/>
  <c r="R357" i="1"/>
  <c r="J357" i="5" s="1"/>
  <c r="R356" i="1"/>
  <c r="J356" i="5" s="1"/>
  <c r="R355" i="1"/>
  <c r="J355" i="5" s="1"/>
  <c r="R354" i="1"/>
  <c r="J354" i="5" s="1"/>
  <c r="R353" i="1"/>
  <c r="J353" i="5" s="1"/>
  <c r="R352" i="1"/>
  <c r="J352" i="5" s="1"/>
  <c r="R351" i="1"/>
  <c r="J351" i="5" s="1"/>
  <c r="R350" i="1"/>
  <c r="J350" i="5" s="1"/>
  <c r="R349" i="1"/>
  <c r="J349" i="5" s="1"/>
  <c r="R348" i="1"/>
  <c r="J348" i="5" s="1"/>
  <c r="R347" i="1"/>
  <c r="J347" i="5" s="1"/>
  <c r="R346" i="1"/>
  <c r="J346" i="5" s="1"/>
  <c r="R345" i="1"/>
  <c r="J345" i="5" s="1"/>
  <c r="R344" i="1"/>
  <c r="J344" i="5" s="1"/>
  <c r="R343" i="1"/>
  <c r="J343" i="5" s="1"/>
  <c r="R342" i="1"/>
  <c r="J342" i="5" s="1"/>
  <c r="R341" i="1"/>
  <c r="J341" i="5" s="1"/>
  <c r="R340" i="1"/>
  <c r="J340" i="5" s="1"/>
  <c r="R339" i="1"/>
  <c r="J339" i="5" s="1"/>
  <c r="R338" i="1"/>
  <c r="J338" i="5" s="1"/>
  <c r="R337" i="1"/>
  <c r="J337" i="5" s="1"/>
  <c r="R336" i="1"/>
  <c r="J336" i="5" s="1"/>
  <c r="R335" i="1"/>
  <c r="J335" i="5" s="1"/>
  <c r="R334" i="1"/>
  <c r="J334" i="5" s="1"/>
  <c r="R333" i="1"/>
  <c r="J333" i="5" s="1"/>
  <c r="R332" i="1"/>
  <c r="J332" i="5" s="1"/>
  <c r="R331" i="1"/>
  <c r="J331" i="5" s="1"/>
  <c r="R330" i="1"/>
  <c r="J330" i="5" s="1"/>
  <c r="R329" i="1"/>
  <c r="J329" i="5" s="1"/>
  <c r="R328" i="1"/>
  <c r="J328" i="5" s="1"/>
  <c r="R327" i="1"/>
  <c r="J327" i="5" s="1"/>
  <c r="R326" i="1"/>
  <c r="J326" i="5" s="1"/>
  <c r="R325" i="1"/>
  <c r="J325" i="5" s="1"/>
  <c r="R324" i="1"/>
  <c r="J324" i="5" s="1"/>
  <c r="R323" i="1"/>
  <c r="J323" i="5" s="1"/>
  <c r="R322" i="1"/>
  <c r="J322" i="5" s="1"/>
  <c r="R321" i="1"/>
  <c r="J321" i="5" s="1"/>
  <c r="R320" i="1"/>
  <c r="J320" i="5" s="1"/>
  <c r="R319" i="1"/>
  <c r="J319" i="5" s="1"/>
  <c r="R318" i="1"/>
  <c r="J318" i="5" s="1"/>
  <c r="R317" i="1"/>
  <c r="J317" i="5" s="1"/>
  <c r="R316" i="1"/>
  <c r="J316" i="5" s="1"/>
  <c r="R315" i="1"/>
  <c r="J315" i="5" s="1"/>
  <c r="R314" i="1"/>
  <c r="J314" i="5" s="1"/>
  <c r="R313" i="1"/>
  <c r="J313" i="5" s="1"/>
  <c r="R312" i="1"/>
  <c r="J312" i="5" s="1"/>
  <c r="R311" i="1"/>
  <c r="J311" i="5" s="1"/>
  <c r="R310" i="1"/>
  <c r="J310" i="5" s="1"/>
  <c r="R309" i="1"/>
  <c r="J309" i="5" s="1"/>
  <c r="R308" i="1"/>
  <c r="J308" i="5" s="1"/>
  <c r="R307" i="1"/>
  <c r="J307" i="5" s="1"/>
  <c r="R306" i="1"/>
  <c r="J306" i="5" s="1"/>
  <c r="R305" i="1"/>
  <c r="J305" i="5" s="1"/>
  <c r="R304" i="1"/>
  <c r="J304" i="5" s="1"/>
  <c r="R303" i="1"/>
  <c r="J303" i="5" s="1"/>
  <c r="R302" i="1"/>
  <c r="J302" i="5" s="1"/>
  <c r="R301" i="1"/>
  <c r="J301" i="5" s="1"/>
  <c r="R300" i="1"/>
  <c r="J300" i="5" s="1"/>
  <c r="R299" i="1"/>
  <c r="J299" i="5" s="1"/>
  <c r="R298" i="1"/>
  <c r="J298" i="5" s="1"/>
  <c r="R297" i="1"/>
  <c r="J297" i="5" s="1"/>
  <c r="R296" i="1"/>
  <c r="J296" i="5" s="1"/>
  <c r="R295" i="1"/>
  <c r="J295" i="5" s="1"/>
  <c r="R294" i="1"/>
  <c r="J294" i="5" s="1"/>
  <c r="R293" i="1"/>
  <c r="J293" i="5" s="1"/>
  <c r="R292" i="1"/>
  <c r="J292" i="5" s="1"/>
  <c r="R291" i="1"/>
  <c r="J291" i="5" s="1"/>
  <c r="R290" i="1"/>
  <c r="J290" i="5" s="1"/>
  <c r="R289" i="1"/>
  <c r="J289" i="5" s="1"/>
  <c r="R288" i="1"/>
  <c r="J288" i="5" s="1"/>
  <c r="R287" i="1"/>
  <c r="J287" i="5" s="1"/>
  <c r="R286" i="1"/>
  <c r="J286" i="5" s="1"/>
  <c r="R285" i="1"/>
  <c r="J285" i="5" s="1"/>
  <c r="R284" i="1"/>
  <c r="J284" i="5" s="1"/>
  <c r="R283" i="1"/>
  <c r="J283" i="5" s="1"/>
  <c r="R282" i="1"/>
  <c r="J282" i="5" s="1"/>
  <c r="R281" i="1"/>
  <c r="J281" i="5" s="1"/>
  <c r="R280" i="1"/>
  <c r="J280" i="5" s="1"/>
  <c r="R279" i="1"/>
  <c r="J279" i="5" s="1"/>
  <c r="R278" i="1"/>
  <c r="J278" i="5" s="1"/>
  <c r="R277" i="1"/>
  <c r="J277" i="5" s="1"/>
  <c r="R276" i="1"/>
  <c r="J276" i="5" s="1"/>
  <c r="R275" i="1"/>
  <c r="J275" i="5" s="1"/>
  <c r="R274" i="1"/>
  <c r="J274" i="5" s="1"/>
  <c r="R273" i="1"/>
  <c r="J273" i="5" s="1"/>
  <c r="R272" i="1"/>
  <c r="J272" i="5" s="1"/>
  <c r="R271" i="1"/>
  <c r="J271" i="5" s="1"/>
  <c r="R270" i="1"/>
  <c r="J270" i="5" s="1"/>
  <c r="R269" i="1"/>
  <c r="J269" i="5" s="1"/>
  <c r="R268" i="1"/>
  <c r="J268" i="5" s="1"/>
  <c r="R267" i="1"/>
  <c r="J267" i="5" s="1"/>
  <c r="R266" i="1"/>
  <c r="J266" i="5" s="1"/>
  <c r="R265" i="1"/>
  <c r="J265" i="5" s="1"/>
  <c r="R264" i="1"/>
  <c r="J264" i="5" s="1"/>
  <c r="R263" i="1"/>
  <c r="J263" i="5" s="1"/>
  <c r="R262" i="1"/>
  <c r="J262" i="5" s="1"/>
  <c r="R261" i="1"/>
  <c r="J261" i="5" s="1"/>
  <c r="R260" i="1"/>
  <c r="J260" i="5" s="1"/>
  <c r="R259" i="1"/>
  <c r="J259" i="5" s="1"/>
  <c r="R258" i="1"/>
  <c r="J258" i="5" s="1"/>
  <c r="R257" i="1"/>
  <c r="J257" i="5" s="1"/>
  <c r="R256" i="1"/>
  <c r="J256" i="5" s="1"/>
  <c r="R255" i="1"/>
  <c r="J255" i="5" s="1"/>
  <c r="R254" i="1"/>
  <c r="J254" i="5" s="1"/>
  <c r="R253" i="1"/>
  <c r="J253" i="5" s="1"/>
  <c r="R252" i="1"/>
  <c r="J252" i="5" s="1"/>
  <c r="R251" i="1"/>
  <c r="J251" i="5" s="1"/>
  <c r="R250" i="1"/>
  <c r="J250" i="5" s="1"/>
  <c r="R249" i="1"/>
  <c r="J249" i="5" s="1"/>
  <c r="R248" i="1"/>
  <c r="J248" i="5" s="1"/>
  <c r="R247" i="1"/>
  <c r="J247" i="5" s="1"/>
  <c r="R246" i="1"/>
  <c r="J246" i="5" s="1"/>
  <c r="R245" i="1"/>
  <c r="J245" i="5" s="1"/>
  <c r="R244" i="1"/>
  <c r="J244" i="5" s="1"/>
  <c r="R243" i="1"/>
  <c r="J243" i="5" s="1"/>
  <c r="R242" i="1"/>
  <c r="J242" i="5" s="1"/>
  <c r="R241" i="1"/>
  <c r="J241" i="5" s="1"/>
  <c r="R240" i="1"/>
  <c r="J240" i="5" s="1"/>
  <c r="R239" i="1"/>
  <c r="J239" i="5" s="1"/>
  <c r="R238" i="1"/>
  <c r="J238" i="5" s="1"/>
  <c r="R237" i="1"/>
  <c r="J237" i="5" s="1"/>
  <c r="R236" i="1"/>
  <c r="J236" i="5" s="1"/>
  <c r="R235" i="1"/>
  <c r="J235" i="5" s="1"/>
  <c r="R234" i="1"/>
  <c r="J234" i="5" s="1"/>
  <c r="R233" i="1"/>
  <c r="J233" i="5" s="1"/>
  <c r="R232" i="1"/>
  <c r="J232" i="5" s="1"/>
  <c r="R231" i="1"/>
  <c r="J231" i="5" s="1"/>
  <c r="R230" i="1"/>
  <c r="J230" i="5" s="1"/>
  <c r="R229" i="1"/>
  <c r="J229" i="5" s="1"/>
  <c r="R228" i="1"/>
  <c r="J228" i="5" s="1"/>
  <c r="R227" i="1"/>
  <c r="J227" i="5" s="1"/>
  <c r="R226" i="1"/>
  <c r="J226" i="5" s="1"/>
  <c r="R225" i="1"/>
  <c r="J225" i="5" s="1"/>
  <c r="R224" i="1"/>
  <c r="J224" i="5" s="1"/>
  <c r="R223" i="1"/>
  <c r="J223" i="5" s="1"/>
  <c r="R222" i="1"/>
  <c r="J222" i="5" s="1"/>
  <c r="R221" i="1"/>
  <c r="J221" i="5" s="1"/>
  <c r="R220" i="1"/>
  <c r="J220" i="5" s="1"/>
  <c r="R219" i="1"/>
  <c r="J219" i="5" s="1"/>
  <c r="R218" i="1"/>
  <c r="J218" i="5" s="1"/>
  <c r="R217" i="1"/>
  <c r="J217" i="5" s="1"/>
  <c r="R216" i="1"/>
  <c r="J216" i="5" s="1"/>
  <c r="R215" i="1"/>
  <c r="J215" i="5" s="1"/>
  <c r="R214" i="1"/>
  <c r="J214" i="5" s="1"/>
  <c r="R213" i="1"/>
  <c r="J213" i="5" s="1"/>
  <c r="R212" i="1"/>
  <c r="J212" i="5" s="1"/>
  <c r="R211" i="1"/>
  <c r="J211" i="5" s="1"/>
  <c r="R210" i="1"/>
  <c r="J210" i="5" s="1"/>
  <c r="R209" i="1"/>
  <c r="J209" i="5" s="1"/>
  <c r="R208" i="1"/>
  <c r="J208" i="5" s="1"/>
  <c r="R207" i="1"/>
  <c r="J207" i="5" s="1"/>
  <c r="R206" i="1"/>
  <c r="J206" i="5" s="1"/>
  <c r="R205" i="1"/>
  <c r="J205" i="5" s="1"/>
  <c r="R204" i="1"/>
  <c r="J204" i="5" s="1"/>
  <c r="R203" i="1"/>
  <c r="J203" i="5" s="1"/>
  <c r="R202" i="1"/>
  <c r="J202" i="5" s="1"/>
  <c r="R201" i="1"/>
  <c r="J201" i="5" s="1"/>
  <c r="R200" i="1"/>
  <c r="J200" i="5" s="1"/>
  <c r="R199" i="1"/>
  <c r="J199" i="5" s="1"/>
  <c r="R198" i="1"/>
  <c r="J198" i="5" s="1"/>
  <c r="R197" i="1"/>
  <c r="J197" i="5" s="1"/>
  <c r="R196" i="1"/>
  <c r="J196" i="5" s="1"/>
  <c r="R195" i="1"/>
  <c r="J195" i="5" s="1"/>
  <c r="R194" i="1"/>
  <c r="J194" i="5" s="1"/>
  <c r="R193" i="1"/>
  <c r="J193" i="5" s="1"/>
  <c r="R192" i="1"/>
  <c r="J192" i="5" s="1"/>
  <c r="R191" i="1"/>
  <c r="J191" i="5" s="1"/>
  <c r="R190" i="1"/>
  <c r="J190" i="5" s="1"/>
  <c r="R189" i="1"/>
  <c r="J189" i="5" s="1"/>
  <c r="R188" i="1"/>
  <c r="J188" i="5" s="1"/>
  <c r="R187" i="1"/>
  <c r="J187" i="5" s="1"/>
  <c r="R186" i="1"/>
  <c r="J186" i="5" s="1"/>
  <c r="R185" i="1"/>
  <c r="J185" i="5" s="1"/>
  <c r="R184" i="1"/>
  <c r="J184" i="5" s="1"/>
  <c r="R183" i="1"/>
  <c r="J183" i="5" s="1"/>
  <c r="R182" i="1"/>
  <c r="J182" i="5" s="1"/>
  <c r="R181" i="1"/>
  <c r="J181" i="5" s="1"/>
  <c r="R180" i="1"/>
  <c r="J180" i="5" s="1"/>
  <c r="R179" i="1"/>
  <c r="J179" i="5" s="1"/>
  <c r="R178" i="1"/>
  <c r="J178" i="5" s="1"/>
  <c r="R177" i="1"/>
  <c r="J177" i="5" s="1"/>
  <c r="R176" i="1"/>
  <c r="J176" i="5" s="1"/>
  <c r="R175" i="1"/>
  <c r="J175" i="5" s="1"/>
  <c r="R174" i="1"/>
  <c r="J174" i="5" s="1"/>
  <c r="R173" i="1"/>
  <c r="J173" i="5" s="1"/>
  <c r="R172" i="1"/>
  <c r="J172" i="5" s="1"/>
  <c r="R171" i="1"/>
  <c r="J171" i="5" s="1"/>
  <c r="R170" i="1"/>
  <c r="J170" i="5" s="1"/>
  <c r="R169" i="1"/>
  <c r="J169" i="5" s="1"/>
  <c r="R168" i="1"/>
  <c r="J168" i="5" s="1"/>
  <c r="R167" i="1"/>
  <c r="J167" i="5" s="1"/>
  <c r="R166" i="1"/>
  <c r="J166" i="5" s="1"/>
  <c r="R165" i="1"/>
  <c r="J165" i="5" s="1"/>
  <c r="R164" i="1"/>
  <c r="J164" i="5" s="1"/>
  <c r="R163" i="1"/>
  <c r="J163" i="5" s="1"/>
  <c r="R162" i="1"/>
  <c r="J162" i="5" s="1"/>
  <c r="R161" i="1"/>
  <c r="J161" i="5" s="1"/>
  <c r="R160" i="1"/>
  <c r="J160" i="5" s="1"/>
  <c r="R159" i="1"/>
  <c r="J159" i="5" s="1"/>
  <c r="R158" i="1"/>
  <c r="J158" i="5" s="1"/>
  <c r="R157" i="1"/>
  <c r="J157" i="5" s="1"/>
  <c r="R156" i="1"/>
  <c r="J156" i="5" s="1"/>
  <c r="R155" i="1"/>
  <c r="J155" i="5" s="1"/>
  <c r="R154" i="1"/>
  <c r="J154" i="5" s="1"/>
  <c r="R153" i="1"/>
  <c r="J153" i="5" s="1"/>
  <c r="R152" i="1"/>
  <c r="J152" i="5" s="1"/>
  <c r="R151" i="1"/>
  <c r="J151" i="5" s="1"/>
  <c r="R150" i="1"/>
  <c r="J150" i="5" s="1"/>
  <c r="R149" i="1"/>
  <c r="J149" i="5" s="1"/>
  <c r="R148" i="1"/>
  <c r="J148" i="5" s="1"/>
  <c r="R147" i="1"/>
  <c r="J147" i="5" s="1"/>
  <c r="R146" i="1"/>
  <c r="J146" i="5" s="1"/>
  <c r="R145" i="1"/>
  <c r="J145" i="5" s="1"/>
  <c r="R144" i="1"/>
  <c r="J144" i="5" s="1"/>
  <c r="R143" i="1"/>
  <c r="J143" i="5" s="1"/>
  <c r="R142" i="1"/>
  <c r="J142" i="5" s="1"/>
  <c r="R141" i="1"/>
  <c r="J141" i="5" s="1"/>
  <c r="R140" i="1"/>
  <c r="J140" i="5" s="1"/>
  <c r="R139" i="1"/>
  <c r="J139" i="5" s="1"/>
  <c r="R138" i="1"/>
  <c r="J138" i="5" s="1"/>
  <c r="R137" i="1"/>
  <c r="J137" i="5" s="1"/>
  <c r="R136" i="1"/>
  <c r="J136" i="5" s="1"/>
  <c r="R135" i="1"/>
  <c r="J135" i="5" s="1"/>
  <c r="R134" i="1"/>
  <c r="J134" i="5" s="1"/>
  <c r="R133" i="1"/>
  <c r="J133" i="5" s="1"/>
  <c r="R132" i="1"/>
  <c r="J132" i="5" s="1"/>
  <c r="R131" i="1"/>
  <c r="J131" i="5" s="1"/>
  <c r="R130" i="1"/>
  <c r="J130" i="5" s="1"/>
  <c r="R129" i="1"/>
  <c r="J129" i="5" s="1"/>
  <c r="R128" i="1"/>
  <c r="J128" i="5" s="1"/>
  <c r="R127" i="1"/>
  <c r="J127" i="5" s="1"/>
  <c r="R126" i="1"/>
  <c r="J126" i="5" s="1"/>
  <c r="R125" i="1"/>
  <c r="J125" i="5" s="1"/>
  <c r="R124" i="1"/>
  <c r="J124" i="5" s="1"/>
  <c r="R123" i="1"/>
  <c r="J123" i="5" s="1"/>
  <c r="R122" i="1"/>
  <c r="J122" i="5" s="1"/>
  <c r="R121" i="1"/>
  <c r="J121" i="5" s="1"/>
  <c r="R120" i="1"/>
  <c r="J120" i="5" s="1"/>
  <c r="R119" i="1"/>
  <c r="J119" i="5" s="1"/>
  <c r="R118" i="1"/>
  <c r="J118" i="5" s="1"/>
  <c r="R117" i="1"/>
  <c r="J117" i="5" s="1"/>
  <c r="R116" i="1"/>
  <c r="J116" i="5" s="1"/>
  <c r="R115" i="1"/>
  <c r="J115" i="5" s="1"/>
  <c r="R114" i="1"/>
  <c r="J114" i="5" s="1"/>
  <c r="R113" i="1"/>
  <c r="J113" i="5" s="1"/>
  <c r="R112" i="1"/>
  <c r="J112" i="5" s="1"/>
  <c r="R111" i="1"/>
  <c r="J111" i="5" s="1"/>
  <c r="R110" i="1"/>
  <c r="J110" i="5" s="1"/>
  <c r="R109" i="1"/>
  <c r="J109" i="5" s="1"/>
  <c r="R108" i="1"/>
  <c r="J108" i="5" s="1"/>
  <c r="R107" i="1"/>
  <c r="J107" i="5" s="1"/>
  <c r="R106" i="1"/>
  <c r="J106" i="5" s="1"/>
  <c r="R105" i="1"/>
  <c r="J105" i="5" s="1"/>
  <c r="R104" i="1"/>
  <c r="J104" i="5" s="1"/>
  <c r="R103" i="1"/>
  <c r="J103" i="5" s="1"/>
  <c r="R102" i="1"/>
  <c r="J102" i="5" s="1"/>
  <c r="R101" i="1"/>
  <c r="J101" i="5" s="1"/>
  <c r="R100" i="1"/>
  <c r="J100" i="5" s="1"/>
  <c r="R99" i="1"/>
  <c r="J99" i="5" s="1"/>
  <c r="R98" i="1"/>
  <c r="J98" i="5" s="1"/>
  <c r="R97" i="1"/>
  <c r="J97" i="5" s="1"/>
  <c r="R96" i="1"/>
  <c r="J96" i="5" s="1"/>
  <c r="R95" i="1"/>
  <c r="J95" i="5" s="1"/>
  <c r="R94" i="1"/>
  <c r="J94" i="5" s="1"/>
  <c r="R93" i="1"/>
  <c r="J93" i="5" s="1"/>
  <c r="R92" i="1"/>
  <c r="J92" i="5" s="1"/>
  <c r="R91" i="1"/>
  <c r="J91" i="5" s="1"/>
  <c r="R90" i="1"/>
  <c r="J90" i="5" s="1"/>
  <c r="R89" i="1"/>
  <c r="J89" i="5" s="1"/>
  <c r="R88" i="1"/>
  <c r="J88" i="5" s="1"/>
  <c r="R87" i="1"/>
  <c r="J87" i="5" s="1"/>
  <c r="R86" i="1"/>
  <c r="J86" i="5" s="1"/>
  <c r="R85" i="1"/>
  <c r="J85" i="5" s="1"/>
  <c r="R84" i="1"/>
  <c r="J84" i="5" s="1"/>
  <c r="R83" i="1"/>
  <c r="J83" i="5" s="1"/>
  <c r="R82" i="1"/>
  <c r="J82" i="5" s="1"/>
  <c r="R81" i="1"/>
  <c r="J81" i="5" s="1"/>
  <c r="R80" i="1"/>
  <c r="J80" i="5" s="1"/>
  <c r="R79" i="1"/>
  <c r="J79" i="5" s="1"/>
  <c r="R78" i="1"/>
  <c r="J78" i="5" s="1"/>
  <c r="R77" i="1"/>
  <c r="J77" i="5" s="1"/>
  <c r="R76" i="1"/>
  <c r="J76" i="5" s="1"/>
  <c r="R75" i="1"/>
  <c r="J75" i="5" s="1"/>
  <c r="R74" i="1"/>
  <c r="J74" i="5" s="1"/>
  <c r="R73" i="1"/>
  <c r="J73" i="5" s="1"/>
  <c r="R72" i="1"/>
  <c r="J72" i="5" s="1"/>
  <c r="R71" i="1"/>
  <c r="J71" i="5" s="1"/>
  <c r="R70" i="1"/>
  <c r="J70" i="5" s="1"/>
  <c r="R69" i="1"/>
  <c r="J69" i="5" s="1"/>
  <c r="R68" i="1"/>
  <c r="J68" i="5" s="1"/>
  <c r="R67" i="1"/>
  <c r="J67" i="5" s="1"/>
  <c r="R66" i="1"/>
  <c r="J66" i="5" s="1"/>
  <c r="R65" i="1"/>
  <c r="J65" i="5" s="1"/>
  <c r="R64" i="1"/>
  <c r="J64" i="5" s="1"/>
  <c r="R63" i="1"/>
  <c r="J63" i="5" s="1"/>
  <c r="R62" i="1"/>
  <c r="J62" i="5" s="1"/>
  <c r="R61" i="1"/>
  <c r="J61" i="5" s="1"/>
  <c r="R60" i="1"/>
  <c r="J60" i="5" s="1"/>
  <c r="R59" i="1"/>
  <c r="J59" i="5" s="1"/>
  <c r="R58" i="1"/>
  <c r="J58" i="5" s="1"/>
  <c r="R57" i="1"/>
  <c r="J57" i="5" s="1"/>
  <c r="R56" i="1"/>
  <c r="J56" i="5" s="1"/>
  <c r="R55" i="1"/>
  <c r="J55" i="5" s="1"/>
  <c r="R54" i="1"/>
  <c r="J54" i="5" s="1"/>
  <c r="R53" i="1"/>
  <c r="J53" i="5" s="1"/>
  <c r="R52" i="1"/>
  <c r="J52" i="5" s="1"/>
  <c r="R51" i="1"/>
  <c r="J51" i="5" s="1"/>
  <c r="R50" i="1"/>
  <c r="J50" i="5" s="1"/>
  <c r="R49" i="1"/>
  <c r="J49" i="5" s="1"/>
  <c r="R48" i="1"/>
  <c r="J48" i="5" s="1"/>
  <c r="R47" i="1"/>
  <c r="J47" i="5" s="1"/>
  <c r="R46" i="1"/>
  <c r="J46" i="5" s="1"/>
  <c r="R45" i="1"/>
  <c r="J45" i="5" s="1"/>
  <c r="R44" i="1"/>
  <c r="J44" i="5" s="1"/>
  <c r="R43" i="1"/>
  <c r="J43" i="5" s="1"/>
  <c r="R42" i="1"/>
  <c r="J42" i="5" s="1"/>
  <c r="R41" i="1"/>
  <c r="J41" i="5" s="1"/>
  <c r="R40" i="1"/>
  <c r="J40" i="5" s="1"/>
  <c r="R39" i="1"/>
  <c r="J39" i="5" s="1"/>
  <c r="R38" i="1"/>
  <c r="J38" i="5" s="1"/>
  <c r="R37" i="1"/>
  <c r="J37" i="5" s="1"/>
  <c r="R36" i="1"/>
  <c r="J36" i="5" s="1"/>
  <c r="R35" i="1"/>
  <c r="J35" i="5" s="1"/>
  <c r="R34" i="1"/>
  <c r="J34" i="5" s="1"/>
  <c r="R33" i="1"/>
  <c r="J33" i="5" s="1"/>
  <c r="R32" i="1"/>
  <c r="J32" i="5" s="1"/>
  <c r="R31" i="1"/>
  <c r="J31" i="5" s="1"/>
  <c r="R30" i="1"/>
  <c r="J30" i="5" s="1"/>
  <c r="R29" i="1"/>
  <c r="J29" i="5" s="1"/>
  <c r="R28" i="1"/>
  <c r="J28" i="5" s="1"/>
  <c r="R27" i="1"/>
  <c r="J27" i="5" s="1"/>
  <c r="R26" i="1"/>
  <c r="J26" i="5" s="1"/>
  <c r="R25" i="1"/>
  <c r="J25" i="5" s="1"/>
  <c r="R24" i="1"/>
  <c r="J24" i="5" s="1"/>
  <c r="R23" i="1"/>
  <c r="J23" i="5" s="1"/>
  <c r="R22" i="1"/>
  <c r="J22" i="5" s="1"/>
  <c r="R21" i="1"/>
  <c r="J21" i="5" s="1"/>
  <c r="R20" i="1"/>
  <c r="J20" i="5" s="1"/>
  <c r="R19" i="1"/>
  <c r="J19" i="5" s="1"/>
  <c r="R18" i="1"/>
  <c r="J18" i="5" s="1"/>
  <c r="R17" i="1"/>
  <c r="J17" i="5" s="1"/>
  <c r="R16" i="1"/>
  <c r="J16" i="5" s="1"/>
  <c r="R15" i="1"/>
  <c r="J15" i="5" s="1"/>
  <c r="R14" i="1"/>
  <c r="J14" i="5" s="1"/>
  <c r="R13" i="1"/>
  <c r="J13" i="5" s="1"/>
  <c r="R12" i="1"/>
  <c r="J12" i="5" s="1"/>
  <c r="R11" i="1"/>
  <c r="J11" i="5" s="1"/>
  <c r="R10" i="1"/>
  <c r="J10" i="5" s="1"/>
  <c r="R9" i="1"/>
  <c r="J9" i="5" s="1"/>
  <c r="R8" i="1"/>
  <c r="J8" i="5" s="1"/>
  <c r="R7" i="1"/>
  <c r="J7" i="5" s="1"/>
  <c r="R6" i="1"/>
  <c r="J6" i="5" s="1"/>
  <c r="R5" i="1"/>
  <c r="J5" i="5" s="1"/>
  <c r="R4" i="1"/>
  <c r="J4" i="5" s="1"/>
  <c r="R3" i="1"/>
  <c r="J3" i="5" s="1"/>
  <c r="R2" i="1"/>
  <c r="J2" i="5" s="1"/>
  <c r="Q1003" i="1"/>
  <c r="N2" i="1"/>
  <c r="O2" i="1" s="1"/>
  <c r="P2" i="1" s="1"/>
  <c r="N3" i="1"/>
  <c r="O3" i="1" s="1"/>
  <c r="P3" i="1" s="1"/>
  <c r="N4" i="1"/>
  <c r="O4" i="1" s="1"/>
  <c r="P4" i="1" s="1"/>
  <c r="N5" i="1"/>
  <c r="O5" i="1" s="1"/>
  <c r="P5" i="1" s="1"/>
  <c r="N6" i="1"/>
  <c r="O6" i="1" s="1"/>
  <c r="P6" i="1" s="1"/>
  <c r="N7" i="1"/>
  <c r="O7" i="1" s="1"/>
  <c r="P7" i="1" s="1"/>
  <c r="N8" i="1"/>
  <c r="O8" i="1" s="1"/>
  <c r="P8" i="1" s="1"/>
  <c r="N9" i="1"/>
  <c r="O9" i="1" s="1"/>
  <c r="P9" i="1" s="1"/>
  <c r="N10" i="1"/>
  <c r="O10" i="1" s="1"/>
  <c r="P10" i="1" s="1"/>
  <c r="N11" i="1"/>
  <c r="O11" i="1" s="1"/>
  <c r="P11" i="1" s="1"/>
  <c r="N12" i="1"/>
  <c r="O12" i="1" s="1"/>
  <c r="P12" i="1" s="1"/>
  <c r="N13" i="1"/>
  <c r="O13" i="1" s="1"/>
  <c r="P13" i="1" s="1"/>
  <c r="N14" i="1"/>
  <c r="O14" i="1" s="1"/>
  <c r="P14" i="1" s="1"/>
  <c r="N15" i="1"/>
  <c r="O15" i="1" s="1"/>
  <c r="P15" i="1" s="1"/>
  <c r="N16" i="1"/>
  <c r="O16" i="1" s="1"/>
  <c r="P16" i="1" s="1"/>
  <c r="N17" i="1"/>
  <c r="O17" i="1" s="1"/>
  <c r="P17" i="1" s="1"/>
  <c r="N18" i="1"/>
  <c r="O18" i="1" s="1"/>
  <c r="P18" i="1" s="1"/>
  <c r="N19" i="1"/>
  <c r="O19" i="1" s="1"/>
  <c r="P19" i="1" s="1"/>
  <c r="N20" i="1"/>
  <c r="O20" i="1" s="1"/>
  <c r="P20" i="1" s="1"/>
  <c r="N21" i="1"/>
  <c r="O21" i="1" s="1"/>
  <c r="P21" i="1" s="1"/>
  <c r="N22" i="1"/>
  <c r="O22" i="1" s="1"/>
  <c r="P22" i="1" s="1"/>
  <c r="N23" i="1"/>
  <c r="O23" i="1" s="1"/>
  <c r="P23" i="1" s="1"/>
  <c r="N24" i="1"/>
  <c r="O24" i="1" s="1"/>
  <c r="P24" i="1" s="1"/>
  <c r="N25" i="1"/>
  <c r="O25" i="1" s="1"/>
  <c r="P25" i="1" s="1"/>
  <c r="N26" i="1"/>
  <c r="O26" i="1" s="1"/>
  <c r="P26" i="1" s="1"/>
  <c r="N27" i="1"/>
  <c r="O27" i="1" s="1"/>
  <c r="P27" i="1" s="1"/>
  <c r="N28" i="1"/>
  <c r="O28" i="1" s="1"/>
  <c r="P28" i="1" s="1"/>
  <c r="N29" i="1"/>
  <c r="O29" i="1" s="1"/>
  <c r="P29" i="1" s="1"/>
  <c r="N30" i="1"/>
  <c r="O30" i="1" s="1"/>
  <c r="P30" i="1" s="1"/>
  <c r="N31" i="1"/>
  <c r="O31" i="1" s="1"/>
  <c r="P31" i="1" s="1"/>
  <c r="N32" i="1"/>
  <c r="O32" i="1" s="1"/>
  <c r="P32" i="1" s="1"/>
  <c r="N33" i="1"/>
  <c r="O33" i="1" s="1"/>
  <c r="P33" i="1" s="1"/>
  <c r="N34" i="1"/>
  <c r="O34" i="1" s="1"/>
  <c r="P34" i="1" s="1"/>
  <c r="N35" i="1"/>
  <c r="O35" i="1" s="1"/>
  <c r="P35" i="1" s="1"/>
  <c r="N36" i="1"/>
  <c r="O36" i="1" s="1"/>
  <c r="P36" i="1" s="1"/>
  <c r="N37" i="1"/>
  <c r="O37" i="1" s="1"/>
  <c r="P37" i="1" s="1"/>
  <c r="N38" i="1"/>
  <c r="O38" i="1" s="1"/>
  <c r="P38" i="1" s="1"/>
  <c r="N39" i="1"/>
  <c r="O39" i="1" s="1"/>
  <c r="P39" i="1" s="1"/>
  <c r="N40" i="1"/>
  <c r="O40" i="1" s="1"/>
  <c r="P40" i="1" s="1"/>
  <c r="N41" i="1"/>
  <c r="O41" i="1" s="1"/>
  <c r="P41" i="1" s="1"/>
  <c r="N42" i="1"/>
  <c r="O42" i="1" s="1"/>
  <c r="P42" i="1" s="1"/>
  <c r="N43" i="1"/>
  <c r="O43" i="1" s="1"/>
  <c r="P43" i="1" s="1"/>
  <c r="N44" i="1"/>
  <c r="O44" i="1" s="1"/>
  <c r="P44" i="1" s="1"/>
  <c r="N45" i="1"/>
  <c r="O45" i="1" s="1"/>
  <c r="P45" i="1" s="1"/>
  <c r="N46" i="1"/>
  <c r="O46" i="1" s="1"/>
  <c r="P46" i="1" s="1"/>
  <c r="N47" i="1"/>
  <c r="O47" i="1" s="1"/>
  <c r="P47" i="1" s="1"/>
  <c r="N48" i="1"/>
  <c r="O48" i="1" s="1"/>
  <c r="P48" i="1" s="1"/>
  <c r="N49" i="1"/>
  <c r="O49" i="1" s="1"/>
  <c r="P49" i="1" s="1"/>
  <c r="N50" i="1"/>
  <c r="O50" i="1" s="1"/>
  <c r="P50" i="1" s="1"/>
  <c r="N51" i="1"/>
  <c r="O51" i="1" s="1"/>
  <c r="P51" i="1" s="1"/>
  <c r="N52" i="1"/>
  <c r="O52" i="1" s="1"/>
  <c r="P52" i="1" s="1"/>
  <c r="N53" i="1"/>
  <c r="O53" i="1" s="1"/>
  <c r="P53" i="1" s="1"/>
  <c r="N54" i="1"/>
  <c r="O54" i="1" s="1"/>
  <c r="P54" i="1" s="1"/>
  <c r="N55" i="1"/>
  <c r="O55" i="1" s="1"/>
  <c r="P55" i="1" s="1"/>
  <c r="N56" i="1"/>
  <c r="O56" i="1" s="1"/>
  <c r="P56" i="1" s="1"/>
  <c r="N57" i="1"/>
  <c r="O57" i="1" s="1"/>
  <c r="P57" i="1" s="1"/>
  <c r="N58" i="1"/>
  <c r="O58" i="1" s="1"/>
  <c r="P58" i="1" s="1"/>
  <c r="N59" i="1"/>
  <c r="O59" i="1" s="1"/>
  <c r="P59" i="1" s="1"/>
  <c r="N60" i="1"/>
  <c r="O60" i="1" s="1"/>
  <c r="P60" i="1" s="1"/>
  <c r="N61" i="1"/>
  <c r="O61" i="1" s="1"/>
  <c r="P61" i="1" s="1"/>
  <c r="N62" i="1"/>
  <c r="O62" i="1" s="1"/>
  <c r="P62" i="1" s="1"/>
  <c r="N63" i="1"/>
  <c r="O63" i="1" s="1"/>
  <c r="P63" i="1" s="1"/>
  <c r="N64" i="1"/>
  <c r="O64" i="1" s="1"/>
  <c r="P64" i="1" s="1"/>
  <c r="N65" i="1"/>
  <c r="O65" i="1" s="1"/>
  <c r="P65" i="1" s="1"/>
  <c r="N66" i="1"/>
  <c r="O66" i="1" s="1"/>
  <c r="P66" i="1" s="1"/>
  <c r="N67" i="1"/>
  <c r="O67" i="1" s="1"/>
  <c r="P67" i="1" s="1"/>
  <c r="N68" i="1"/>
  <c r="O68" i="1" s="1"/>
  <c r="P68" i="1" s="1"/>
  <c r="N69" i="1"/>
  <c r="O69" i="1" s="1"/>
  <c r="P69" i="1" s="1"/>
  <c r="N70" i="1"/>
  <c r="O70" i="1" s="1"/>
  <c r="P70" i="1" s="1"/>
  <c r="N71" i="1"/>
  <c r="O71" i="1" s="1"/>
  <c r="P71" i="1" s="1"/>
  <c r="N72" i="1"/>
  <c r="O72" i="1" s="1"/>
  <c r="P72" i="1" s="1"/>
  <c r="N73" i="1"/>
  <c r="O73" i="1" s="1"/>
  <c r="P73" i="1" s="1"/>
  <c r="N74" i="1"/>
  <c r="O74" i="1" s="1"/>
  <c r="P74" i="1" s="1"/>
  <c r="N75" i="1"/>
  <c r="O75" i="1" s="1"/>
  <c r="P75" i="1" s="1"/>
  <c r="N76" i="1"/>
  <c r="O76" i="1" s="1"/>
  <c r="P76" i="1" s="1"/>
  <c r="N77" i="1"/>
  <c r="O77" i="1" s="1"/>
  <c r="P77" i="1" s="1"/>
  <c r="N78" i="1"/>
  <c r="O78" i="1" s="1"/>
  <c r="P78" i="1" s="1"/>
  <c r="N79" i="1"/>
  <c r="O79" i="1" s="1"/>
  <c r="P79" i="1" s="1"/>
  <c r="N80" i="1"/>
  <c r="O80" i="1" s="1"/>
  <c r="P80" i="1" s="1"/>
  <c r="N81" i="1"/>
  <c r="O81" i="1" s="1"/>
  <c r="P81" i="1" s="1"/>
  <c r="N82" i="1"/>
  <c r="O82" i="1" s="1"/>
  <c r="P82" i="1" s="1"/>
  <c r="N83" i="1"/>
  <c r="O83" i="1" s="1"/>
  <c r="P83" i="1" s="1"/>
  <c r="N84" i="1"/>
  <c r="O84" i="1" s="1"/>
  <c r="P84" i="1" s="1"/>
  <c r="N85" i="1"/>
  <c r="O85" i="1" s="1"/>
  <c r="P85" i="1" s="1"/>
  <c r="N86" i="1"/>
  <c r="O86" i="1" s="1"/>
  <c r="P86" i="1" s="1"/>
  <c r="N87" i="1"/>
  <c r="O87" i="1" s="1"/>
  <c r="P87" i="1" s="1"/>
  <c r="N88" i="1"/>
  <c r="O88" i="1" s="1"/>
  <c r="P88" i="1" s="1"/>
  <c r="N89" i="1"/>
  <c r="O89" i="1" s="1"/>
  <c r="P89" i="1" s="1"/>
  <c r="N90" i="1"/>
  <c r="O90" i="1" s="1"/>
  <c r="P90" i="1" s="1"/>
  <c r="N91" i="1"/>
  <c r="O91" i="1" s="1"/>
  <c r="P91" i="1" s="1"/>
  <c r="N92" i="1"/>
  <c r="O92" i="1" s="1"/>
  <c r="P92" i="1" s="1"/>
  <c r="N93" i="1"/>
  <c r="O93" i="1" s="1"/>
  <c r="P93" i="1" s="1"/>
  <c r="N94" i="1"/>
  <c r="O94" i="1" s="1"/>
  <c r="P94" i="1" s="1"/>
  <c r="N95" i="1"/>
  <c r="O95" i="1" s="1"/>
  <c r="P95" i="1" s="1"/>
  <c r="N96" i="1"/>
  <c r="O96" i="1" s="1"/>
  <c r="P96" i="1" s="1"/>
  <c r="N97" i="1"/>
  <c r="O97" i="1" s="1"/>
  <c r="P97" i="1" s="1"/>
  <c r="N98" i="1"/>
  <c r="O98" i="1" s="1"/>
  <c r="P98" i="1" s="1"/>
  <c r="N99" i="1"/>
  <c r="O99" i="1" s="1"/>
  <c r="P99" i="1" s="1"/>
  <c r="N100" i="1"/>
  <c r="O100" i="1" s="1"/>
  <c r="P100" i="1" s="1"/>
  <c r="N101" i="1"/>
  <c r="O101" i="1" s="1"/>
  <c r="P101" i="1" s="1"/>
  <c r="N102" i="1"/>
  <c r="O102" i="1" s="1"/>
  <c r="P102" i="1" s="1"/>
  <c r="N103" i="1"/>
  <c r="O103" i="1" s="1"/>
  <c r="P103" i="1" s="1"/>
  <c r="N104" i="1"/>
  <c r="O104" i="1" s="1"/>
  <c r="P104" i="1" s="1"/>
  <c r="N105" i="1"/>
  <c r="O105" i="1" s="1"/>
  <c r="P105" i="1" s="1"/>
  <c r="N106" i="1"/>
  <c r="O106" i="1" s="1"/>
  <c r="P106" i="1" s="1"/>
  <c r="N107" i="1"/>
  <c r="O107" i="1" s="1"/>
  <c r="P107" i="1" s="1"/>
  <c r="N108" i="1"/>
  <c r="O108" i="1" s="1"/>
  <c r="P108" i="1" s="1"/>
  <c r="N109" i="1"/>
  <c r="O109" i="1" s="1"/>
  <c r="P109" i="1" s="1"/>
  <c r="N110" i="1"/>
  <c r="O110" i="1" s="1"/>
  <c r="P110" i="1" s="1"/>
  <c r="N111" i="1"/>
  <c r="O111" i="1" s="1"/>
  <c r="P111" i="1" s="1"/>
  <c r="N112" i="1"/>
  <c r="O112" i="1" s="1"/>
  <c r="P112" i="1" s="1"/>
  <c r="N113" i="1"/>
  <c r="O113" i="1" s="1"/>
  <c r="P113" i="1" s="1"/>
  <c r="N114" i="1"/>
  <c r="O114" i="1" s="1"/>
  <c r="P114" i="1" s="1"/>
  <c r="N115" i="1"/>
  <c r="O115" i="1" s="1"/>
  <c r="P115" i="1" s="1"/>
  <c r="N116" i="1"/>
  <c r="O116" i="1" s="1"/>
  <c r="P116" i="1" s="1"/>
  <c r="N117" i="1"/>
  <c r="O117" i="1" s="1"/>
  <c r="P117" i="1" s="1"/>
  <c r="N118" i="1"/>
  <c r="O118" i="1" s="1"/>
  <c r="P118" i="1" s="1"/>
  <c r="N119" i="1"/>
  <c r="O119" i="1" s="1"/>
  <c r="P119" i="1" s="1"/>
  <c r="N120" i="1"/>
  <c r="O120" i="1" s="1"/>
  <c r="P120" i="1" s="1"/>
  <c r="N121" i="1"/>
  <c r="O121" i="1" s="1"/>
  <c r="P121" i="1" s="1"/>
  <c r="N122" i="1"/>
  <c r="O122" i="1" s="1"/>
  <c r="P122" i="1" s="1"/>
  <c r="N123" i="1"/>
  <c r="O123" i="1" s="1"/>
  <c r="P123" i="1" s="1"/>
  <c r="N124" i="1"/>
  <c r="O124" i="1" s="1"/>
  <c r="P124" i="1" s="1"/>
  <c r="N125" i="1"/>
  <c r="O125" i="1" s="1"/>
  <c r="P125" i="1" s="1"/>
  <c r="N126" i="1"/>
  <c r="O126" i="1" s="1"/>
  <c r="P126" i="1" s="1"/>
  <c r="N127" i="1"/>
  <c r="O127" i="1" s="1"/>
  <c r="P127" i="1" s="1"/>
  <c r="N128" i="1"/>
  <c r="O128" i="1" s="1"/>
  <c r="P128" i="1" s="1"/>
  <c r="N129" i="1"/>
  <c r="O129" i="1" s="1"/>
  <c r="P129" i="1" s="1"/>
  <c r="N130" i="1"/>
  <c r="O130" i="1" s="1"/>
  <c r="P130" i="1" s="1"/>
  <c r="N131" i="1"/>
  <c r="O131" i="1" s="1"/>
  <c r="P131" i="1" s="1"/>
  <c r="N132" i="1"/>
  <c r="O132" i="1" s="1"/>
  <c r="P132" i="1" s="1"/>
  <c r="N133" i="1"/>
  <c r="O133" i="1" s="1"/>
  <c r="P133" i="1" s="1"/>
  <c r="N134" i="1"/>
  <c r="O134" i="1" s="1"/>
  <c r="P134" i="1" s="1"/>
  <c r="N135" i="1"/>
  <c r="O135" i="1" s="1"/>
  <c r="P135" i="1" s="1"/>
  <c r="N136" i="1"/>
  <c r="O136" i="1" s="1"/>
  <c r="P136" i="1" s="1"/>
  <c r="N137" i="1"/>
  <c r="O137" i="1" s="1"/>
  <c r="P137" i="1" s="1"/>
  <c r="N138" i="1"/>
  <c r="O138" i="1" s="1"/>
  <c r="P138" i="1" s="1"/>
  <c r="N139" i="1"/>
  <c r="O139" i="1" s="1"/>
  <c r="P139" i="1" s="1"/>
  <c r="N140" i="1"/>
  <c r="O140" i="1" s="1"/>
  <c r="P140" i="1" s="1"/>
  <c r="N141" i="1"/>
  <c r="O141" i="1" s="1"/>
  <c r="P141" i="1" s="1"/>
  <c r="N142" i="1"/>
  <c r="O142" i="1" s="1"/>
  <c r="P142" i="1" s="1"/>
  <c r="N143" i="1"/>
  <c r="O143" i="1" s="1"/>
  <c r="P143" i="1" s="1"/>
  <c r="N144" i="1"/>
  <c r="O144" i="1" s="1"/>
  <c r="P144" i="1" s="1"/>
  <c r="N145" i="1"/>
  <c r="O145" i="1" s="1"/>
  <c r="P145" i="1" s="1"/>
  <c r="N146" i="1"/>
  <c r="O146" i="1" s="1"/>
  <c r="P146" i="1" s="1"/>
  <c r="N147" i="1"/>
  <c r="O147" i="1" s="1"/>
  <c r="P147" i="1" s="1"/>
  <c r="N148" i="1"/>
  <c r="O148" i="1" s="1"/>
  <c r="P148" i="1" s="1"/>
  <c r="N149" i="1"/>
  <c r="O149" i="1" s="1"/>
  <c r="P149" i="1" s="1"/>
  <c r="N150" i="1"/>
  <c r="O150" i="1" s="1"/>
  <c r="P150" i="1" s="1"/>
  <c r="N151" i="1"/>
  <c r="O151" i="1" s="1"/>
  <c r="P151" i="1" s="1"/>
  <c r="N152" i="1"/>
  <c r="O152" i="1" s="1"/>
  <c r="P152" i="1" s="1"/>
  <c r="N153" i="1"/>
  <c r="O153" i="1" s="1"/>
  <c r="P153" i="1" s="1"/>
  <c r="N154" i="1"/>
  <c r="O154" i="1" s="1"/>
  <c r="P154" i="1" s="1"/>
  <c r="N155" i="1"/>
  <c r="O155" i="1" s="1"/>
  <c r="P155" i="1" s="1"/>
  <c r="N156" i="1"/>
  <c r="O156" i="1" s="1"/>
  <c r="P156" i="1" s="1"/>
  <c r="N157" i="1"/>
  <c r="O157" i="1" s="1"/>
  <c r="P157" i="1" s="1"/>
  <c r="N158" i="1"/>
  <c r="O158" i="1" s="1"/>
  <c r="P158" i="1" s="1"/>
  <c r="N159" i="1"/>
  <c r="O159" i="1" s="1"/>
  <c r="P159" i="1" s="1"/>
  <c r="N160" i="1"/>
  <c r="O160" i="1" s="1"/>
  <c r="P160" i="1" s="1"/>
  <c r="N161" i="1"/>
  <c r="O161" i="1" s="1"/>
  <c r="P161" i="1" s="1"/>
  <c r="N162" i="1"/>
  <c r="O162" i="1" s="1"/>
  <c r="P162" i="1" s="1"/>
  <c r="N163" i="1"/>
  <c r="O163" i="1" s="1"/>
  <c r="P163" i="1" s="1"/>
  <c r="N164" i="1"/>
  <c r="O164" i="1" s="1"/>
  <c r="P164" i="1" s="1"/>
  <c r="N165" i="1"/>
  <c r="O165" i="1" s="1"/>
  <c r="P165" i="1" s="1"/>
  <c r="N166" i="1"/>
  <c r="O166" i="1" s="1"/>
  <c r="P166" i="1" s="1"/>
  <c r="N167" i="1"/>
  <c r="O167" i="1" s="1"/>
  <c r="P167" i="1" s="1"/>
  <c r="N168" i="1"/>
  <c r="O168" i="1" s="1"/>
  <c r="P168" i="1" s="1"/>
  <c r="N169" i="1"/>
  <c r="O169" i="1" s="1"/>
  <c r="P169" i="1" s="1"/>
  <c r="N170" i="1"/>
  <c r="O170" i="1" s="1"/>
  <c r="P170" i="1" s="1"/>
  <c r="N171" i="1"/>
  <c r="O171" i="1" s="1"/>
  <c r="P171" i="1" s="1"/>
  <c r="N172" i="1"/>
  <c r="O172" i="1" s="1"/>
  <c r="P172" i="1" s="1"/>
  <c r="N173" i="1"/>
  <c r="O173" i="1" s="1"/>
  <c r="P173" i="1" s="1"/>
  <c r="N174" i="1"/>
  <c r="O174" i="1" s="1"/>
  <c r="P174" i="1" s="1"/>
  <c r="N175" i="1"/>
  <c r="O175" i="1" s="1"/>
  <c r="P175" i="1" s="1"/>
  <c r="N176" i="1"/>
  <c r="O176" i="1" s="1"/>
  <c r="P176" i="1" s="1"/>
  <c r="N177" i="1"/>
  <c r="O177" i="1" s="1"/>
  <c r="P177" i="1" s="1"/>
  <c r="N178" i="1"/>
  <c r="O178" i="1" s="1"/>
  <c r="P178" i="1" s="1"/>
  <c r="N179" i="1"/>
  <c r="O179" i="1" s="1"/>
  <c r="P179" i="1" s="1"/>
  <c r="N180" i="1"/>
  <c r="O180" i="1" s="1"/>
  <c r="P180" i="1" s="1"/>
  <c r="N181" i="1"/>
  <c r="O181" i="1" s="1"/>
  <c r="P181" i="1" s="1"/>
  <c r="N182" i="1"/>
  <c r="O182" i="1" s="1"/>
  <c r="P182" i="1" s="1"/>
  <c r="N183" i="1"/>
  <c r="O183" i="1" s="1"/>
  <c r="P183" i="1" s="1"/>
  <c r="N184" i="1"/>
  <c r="O184" i="1" s="1"/>
  <c r="P184" i="1" s="1"/>
  <c r="N185" i="1"/>
  <c r="O185" i="1" s="1"/>
  <c r="P185" i="1" s="1"/>
  <c r="N186" i="1"/>
  <c r="O186" i="1" s="1"/>
  <c r="P186" i="1" s="1"/>
  <c r="N187" i="1"/>
  <c r="O187" i="1" s="1"/>
  <c r="P187" i="1" s="1"/>
  <c r="N188" i="1"/>
  <c r="O188" i="1" s="1"/>
  <c r="P188" i="1" s="1"/>
  <c r="N189" i="1"/>
  <c r="O189" i="1" s="1"/>
  <c r="P189" i="1" s="1"/>
  <c r="N190" i="1"/>
  <c r="O190" i="1" s="1"/>
  <c r="P190" i="1" s="1"/>
  <c r="N191" i="1"/>
  <c r="O191" i="1" s="1"/>
  <c r="P191" i="1" s="1"/>
  <c r="N192" i="1"/>
  <c r="O192" i="1" s="1"/>
  <c r="P192" i="1" s="1"/>
  <c r="N193" i="1"/>
  <c r="O193" i="1" s="1"/>
  <c r="P193" i="1" s="1"/>
  <c r="N194" i="1"/>
  <c r="O194" i="1" s="1"/>
  <c r="P194" i="1" s="1"/>
  <c r="N195" i="1"/>
  <c r="O195" i="1" s="1"/>
  <c r="P195" i="1" s="1"/>
  <c r="N196" i="1"/>
  <c r="O196" i="1" s="1"/>
  <c r="P196" i="1" s="1"/>
  <c r="N197" i="1"/>
  <c r="O197" i="1" s="1"/>
  <c r="P197" i="1" s="1"/>
  <c r="N198" i="1"/>
  <c r="O198" i="1" s="1"/>
  <c r="P198" i="1" s="1"/>
  <c r="N199" i="1"/>
  <c r="O199" i="1" s="1"/>
  <c r="P199" i="1" s="1"/>
  <c r="N200" i="1"/>
  <c r="O200" i="1" s="1"/>
  <c r="P200" i="1" s="1"/>
  <c r="N201" i="1"/>
  <c r="O201" i="1" s="1"/>
  <c r="P201" i="1" s="1"/>
  <c r="N202" i="1"/>
  <c r="O202" i="1" s="1"/>
  <c r="P202" i="1" s="1"/>
  <c r="N203" i="1"/>
  <c r="O203" i="1" s="1"/>
  <c r="P203" i="1" s="1"/>
  <c r="N204" i="1"/>
  <c r="O204" i="1" s="1"/>
  <c r="P204" i="1" s="1"/>
  <c r="N205" i="1"/>
  <c r="O205" i="1" s="1"/>
  <c r="P205" i="1" s="1"/>
  <c r="N206" i="1"/>
  <c r="O206" i="1" s="1"/>
  <c r="P206" i="1" s="1"/>
  <c r="N207" i="1"/>
  <c r="O207" i="1" s="1"/>
  <c r="P207" i="1" s="1"/>
  <c r="N208" i="1"/>
  <c r="O208" i="1" s="1"/>
  <c r="P208" i="1" s="1"/>
  <c r="N209" i="1"/>
  <c r="O209" i="1" s="1"/>
  <c r="P209" i="1" s="1"/>
  <c r="N210" i="1"/>
  <c r="O210" i="1" s="1"/>
  <c r="P210" i="1" s="1"/>
  <c r="N211" i="1"/>
  <c r="O211" i="1" s="1"/>
  <c r="P211" i="1" s="1"/>
  <c r="N212" i="1"/>
  <c r="O212" i="1" s="1"/>
  <c r="P212" i="1" s="1"/>
  <c r="N213" i="1"/>
  <c r="O213" i="1" s="1"/>
  <c r="P213" i="1" s="1"/>
  <c r="N214" i="1"/>
  <c r="O214" i="1" s="1"/>
  <c r="P214" i="1" s="1"/>
  <c r="N215" i="1"/>
  <c r="O215" i="1" s="1"/>
  <c r="P215" i="1" s="1"/>
  <c r="N216" i="1"/>
  <c r="O216" i="1" s="1"/>
  <c r="P216" i="1" s="1"/>
  <c r="N217" i="1"/>
  <c r="O217" i="1" s="1"/>
  <c r="P217" i="1" s="1"/>
  <c r="N218" i="1"/>
  <c r="O218" i="1" s="1"/>
  <c r="P218" i="1" s="1"/>
  <c r="N219" i="1"/>
  <c r="O219" i="1" s="1"/>
  <c r="P219" i="1" s="1"/>
  <c r="N220" i="1"/>
  <c r="O220" i="1" s="1"/>
  <c r="P220" i="1" s="1"/>
  <c r="N221" i="1"/>
  <c r="O221" i="1" s="1"/>
  <c r="P221" i="1" s="1"/>
  <c r="N222" i="1"/>
  <c r="O222" i="1" s="1"/>
  <c r="P222" i="1" s="1"/>
  <c r="N223" i="1"/>
  <c r="O223" i="1" s="1"/>
  <c r="P223" i="1" s="1"/>
  <c r="N224" i="1"/>
  <c r="O224" i="1" s="1"/>
  <c r="P224" i="1" s="1"/>
  <c r="N225" i="1"/>
  <c r="O225" i="1" s="1"/>
  <c r="P225" i="1" s="1"/>
  <c r="N226" i="1"/>
  <c r="O226" i="1" s="1"/>
  <c r="P226" i="1" s="1"/>
  <c r="N227" i="1"/>
  <c r="O227" i="1" s="1"/>
  <c r="P227" i="1" s="1"/>
  <c r="N228" i="1"/>
  <c r="O228" i="1" s="1"/>
  <c r="P228" i="1" s="1"/>
  <c r="N229" i="1"/>
  <c r="O229" i="1" s="1"/>
  <c r="P229" i="1" s="1"/>
  <c r="N230" i="1"/>
  <c r="O230" i="1" s="1"/>
  <c r="P230" i="1" s="1"/>
  <c r="N231" i="1"/>
  <c r="O231" i="1" s="1"/>
  <c r="P231" i="1" s="1"/>
  <c r="N232" i="1"/>
  <c r="O232" i="1" s="1"/>
  <c r="P232" i="1" s="1"/>
  <c r="N233" i="1"/>
  <c r="O233" i="1" s="1"/>
  <c r="P233" i="1" s="1"/>
  <c r="N234" i="1"/>
  <c r="O234" i="1" s="1"/>
  <c r="P234" i="1" s="1"/>
  <c r="N235" i="1"/>
  <c r="O235" i="1" s="1"/>
  <c r="P235" i="1" s="1"/>
  <c r="N236" i="1"/>
  <c r="O236" i="1" s="1"/>
  <c r="P236" i="1" s="1"/>
  <c r="N237" i="1"/>
  <c r="O237" i="1" s="1"/>
  <c r="P237" i="1" s="1"/>
  <c r="N238" i="1"/>
  <c r="O238" i="1" s="1"/>
  <c r="P238" i="1" s="1"/>
  <c r="N239" i="1"/>
  <c r="O239" i="1" s="1"/>
  <c r="P239" i="1" s="1"/>
  <c r="N240" i="1"/>
  <c r="O240" i="1" s="1"/>
  <c r="P240" i="1" s="1"/>
  <c r="N241" i="1"/>
  <c r="O241" i="1" s="1"/>
  <c r="P241" i="1" s="1"/>
  <c r="N242" i="1"/>
  <c r="O242" i="1" s="1"/>
  <c r="P242" i="1" s="1"/>
  <c r="N243" i="1"/>
  <c r="O243" i="1" s="1"/>
  <c r="P243" i="1" s="1"/>
  <c r="N244" i="1"/>
  <c r="O244" i="1" s="1"/>
  <c r="P244" i="1" s="1"/>
  <c r="N245" i="1"/>
  <c r="O245" i="1" s="1"/>
  <c r="P245" i="1" s="1"/>
  <c r="N246" i="1"/>
  <c r="O246" i="1" s="1"/>
  <c r="P246" i="1" s="1"/>
  <c r="N247" i="1"/>
  <c r="O247" i="1" s="1"/>
  <c r="P247" i="1" s="1"/>
  <c r="N248" i="1"/>
  <c r="O248" i="1" s="1"/>
  <c r="P248" i="1" s="1"/>
  <c r="N249" i="1"/>
  <c r="O249" i="1" s="1"/>
  <c r="P249" i="1" s="1"/>
  <c r="N250" i="1"/>
  <c r="O250" i="1" s="1"/>
  <c r="P250" i="1" s="1"/>
  <c r="N251" i="1"/>
  <c r="O251" i="1" s="1"/>
  <c r="P251" i="1" s="1"/>
  <c r="N252" i="1"/>
  <c r="O252" i="1" s="1"/>
  <c r="P252" i="1" s="1"/>
  <c r="N253" i="1"/>
  <c r="O253" i="1" s="1"/>
  <c r="P253" i="1" s="1"/>
  <c r="N254" i="1"/>
  <c r="O254" i="1" s="1"/>
  <c r="P254" i="1" s="1"/>
  <c r="N255" i="1"/>
  <c r="O255" i="1" s="1"/>
  <c r="P255" i="1" s="1"/>
  <c r="N256" i="1"/>
  <c r="O256" i="1" s="1"/>
  <c r="P256" i="1" s="1"/>
  <c r="N257" i="1"/>
  <c r="O257" i="1" s="1"/>
  <c r="P257" i="1" s="1"/>
  <c r="N258" i="1"/>
  <c r="O258" i="1" s="1"/>
  <c r="P258" i="1" s="1"/>
  <c r="N259" i="1"/>
  <c r="O259" i="1" s="1"/>
  <c r="P259" i="1" s="1"/>
  <c r="N260" i="1"/>
  <c r="O260" i="1" s="1"/>
  <c r="P260" i="1" s="1"/>
  <c r="N261" i="1"/>
  <c r="O261" i="1" s="1"/>
  <c r="P261" i="1" s="1"/>
  <c r="N262" i="1"/>
  <c r="O262" i="1" s="1"/>
  <c r="P262" i="1" s="1"/>
  <c r="N263" i="1"/>
  <c r="O263" i="1" s="1"/>
  <c r="P263" i="1" s="1"/>
  <c r="N264" i="1"/>
  <c r="O264" i="1" s="1"/>
  <c r="P264" i="1" s="1"/>
  <c r="N265" i="1"/>
  <c r="O265" i="1" s="1"/>
  <c r="P265" i="1" s="1"/>
  <c r="N266" i="1"/>
  <c r="O266" i="1" s="1"/>
  <c r="P266" i="1" s="1"/>
  <c r="N267" i="1"/>
  <c r="O267" i="1" s="1"/>
  <c r="P267" i="1" s="1"/>
  <c r="N268" i="1"/>
  <c r="O268" i="1" s="1"/>
  <c r="P268" i="1" s="1"/>
  <c r="N269" i="1"/>
  <c r="O269" i="1" s="1"/>
  <c r="P269" i="1" s="1"/>
  <c r="N270" i="1"/>
  <c r="O270" i="1" s="1"/>
  <c r="P270" i="1" s="1"/>
  <c r="N271" i="1"/>
  <c r="O271" i="1" s="1"/>
  <c r="P271" i="1" s="1"/>
  <c r="N272" i="1"/>
  <c r="O272" i="1" s="1"/>
  <c r="P272" i="1" s="1"/>
  <c r="N273" i="1"/>
  <c r="O273" i="1" s="1"/>
  <c r="P273" i="1" s="1"/>
  <c r="N274" i="1"/>
  <c r="O274" i="1" s="1"/>
  <c r="P274" i="1" s="1"/>
  <c r="N275" i="1"/>
  <c r="O275" i="1" s="1"/>
  <c r="P275" i="1" s="1"/>
  <c r="N276" i="1"/>
  <c r="O276" i="1" s="1"/>
  <c r="P276" i="1" s="1"/>
  <c r="N277" i="1"/>
  <c r="O277" i="1" s="1"/>
  <c r="P277" i="1" s="1"/>
  <c r="N278" i="1"/>
  <c r="O278" i="1" s="1"/>
  <c r="P278" i="1" s="1"/>
  <c r="N279" i="1"/>
  <c r="O279" i="1" s="1"/>
  <c r="P279" i="1" s="1"/>
  <c r="N280" i="1"/>
  <c r="O280" i="1" s="1"/>
  <c r="P280" i="1" s="1"/>
  <c r="N281" i="1"/>
  <c r="O281" i="1" s="1"/>
  <c r="P281" i="1" s="1"/>
  <c r="N282" i="1"/>
  <c r="O282" i="1" s="1"/>
  <c r="P282" i="1" s="1"/>
  <c r="N283" i="1"/>
  <c r="O283" i="1" s="1"/>
  <c r="P283" i="1" s="1"/>
  <c r="N284" i="1"/>
  <c r="O284" i="1" s="1"/>
  <c r="P284" i="1" s="1"/>
  <c r="N285" i="1"/>
  <c r="O285" i="1" s="1"/>
  <c r="P285" i="1" s="1"/>
  <c r="N286" i="1"/>
  <c r="O286" i="1" s="1"/>
  <c r="P286" i="1" s="1"/>
  <c r="N287" i="1"/>
  <c r="O287" i="1" s="1"/>
  <c r="P287" i="1" s="1"/>
  <c r="N288" i="1"/>
  <c r="O288" i="1" s="1"/>
  <c r="P288" i="1" s="1"/>
  <c r="N289" i="1"/>
  <c r="O289" i="1" s="1"/>
  <c r="P289" i="1" s="1"/>
  <c r="N290" i="1"/>
  <c r="O290" i="1" s="1"/>
  <c r="P290" i="1" s="1"/>
  <c r="N291" i="1"/>
  <c r="O291" i="1" s="1"/>
  <c r="P291" i="1" s="1"/>
  <c r="N292" i="1"/>
  <c r="O292" i="1" s="1"/>
  <c r="P292" i="1" s="1"/>
  <c r="N293" i="1"/>
  <c r="O293" i="1" s="1"/>
  <c r="P293" i="1" s="1"/>
  <c r="N294" i="1"/>
  <c r="O294" i="1" s="1"/>
  <c r="P294" i="1" s="1"/>
  <c r="N295" i="1"/>
  <c r="O295" i="1" s="1"/>
  <c r="P295" i="1" s="1"/>
  <c r="N296" i="1"/>
  <c r="O296" i="1" s="1"/>
  <c r="P296" i="1" s="1"/>
  <c r="N297" i="1"/>
  <c r="O297" i="1" s="1"/>
  <c r="P297" i="1" s="1"/>
  <c r="N298" i="1"/>
  <c r="O298" i="1" s="1"/>
  <c r="P298" i="1" s="1"/>
  <c r="N299" i="1"/>
  <c r="O299" i="1" s="1"/>
  <c r="P299" i="1" s="1"/>
  <c r="N300" i="1"/>
  <c r="O300" i="1" s="1"/>
  <c r="P300" i="1" s="1"/>
  <c r="N301" i="1"/>
  <c r="O301" i="1" s="1"/>
  <c r="P301" i="1" s="1"/>
  <c r="N302" i="1"/>
  <c r="O302" i="1" s="1"/>
  <c r="P302" i="1" s="1"/>
  <c r="N303" i="1"/>
  <c r="O303" i="1" s="1"/>
  <c r="P303" i="1" s="1"/>
  <c r="N304" i="1"/>
  <c r="O304" i="1" s="1"/>
  <c r="P304" i="1" s="1"/>
  <c r="N305" i="1"/>
  <c r="O305" i="1" s="1"/>
  <c r="P305" i="1" s="1"/>
  <c r="N306" i="1"/>
  <c r="O306" i="1" s="1"/>
  <c r="P306" i="1" s="1"/>
  <c r="N307" i="1"/>
  <c r="O307" i="1" s="1"/>
  <c r="P307" i="1" s="1"/>
  <c r="N308" i="1"/>
  <c r="O308" i="1" s="1"/>
  <c r="P308" i="1" s="1"/>
  <c r="N309" i="1"/>
  <c r="O309" i="1" s="1"/>
  <c r="P309" i="1" s="1"/>
  <c r="N310" i="1"/>
  <c r="O310" i="1" s="1"/>
  <c r="P310" i="1" s="1"/>
  <c r="N311" i="1"/>
  <c r="O311" i="1" s="1"/>
  <c r="P311" i="1" s="1"/>
  <c r="N312" i="1"/>
  <c r="O312" i="1" s="1"/>
  <c r="P312" i="1" s="1"/>
  <c r="N313" i="1"/>
  <c r="O313" i="1" s="1"/>
  <c r="P313" i="1" s="1"/>
  <c r="N314" i="1"/>
  <c r="O314" i="1" s="1"/>
  <c r="P314" i="1" s="1"/>
  <c r="N315" i="1"/>
  <c r="O315" i="1" s="1"/>
  <c r="P315" i="1" s="1"/>
  <c r="N316" i="1"/>
  <c r="O316" i="1" s="1"/>
  <c r="P316" i="1" s="1"/>
  <c r="N317" i="1"/>
  <c r="O317" i="1" s="1"/>
  <c r="P317" i="1" s="1"/>
  <c r="N318" i="1"/>
  <c r="O318" i="1" s="1"/>
  <c r="P318" i="1" s="1"/>
  <c r="N319" i="1"/>
  <c r="O319" i="1" s="1"/>
  <c r="P319" i="1" s="1"/>
  <c r="N320" i="1"/>
  <c r="O320" i="1" s="1"/>
  <c r="P320" i="1" s="1"/>
  <c r="N321" i="1"/>
  <c r="O321" i="1" s="1"/>
  <c r="P321" i="1" s="1"/>
  <c r="N322" i="1"/>
  <c r="O322" i="1" s="1"/>
  <c r="P322" i="1" s="1"/>
  <c r="N323" i="1"/>
  <c r="O323" i="1" s="1"/>
  <c r="P323" i="1" s="1"/>
  <c r="N324" i="1"/>
  <c r="O324" i="1" s="1"/>
  <c r="P324" i="1" s="1"/>
  <c r="N325" i="1"/>
  <c r="O325" i="1" s="1"/>
  <c r="P325" i="1" s="1"/>
  <c r="N326" i="1"/>
  <c r="O326" i="1" s="1"/>
  <c r="P326" i="1" s="1"/>
  <c r="N327" i="1"/>
  <c r="O327" i="1" s="1"/>
  <c r="P327" i="1" s="1"/>
  <c r="N328" i="1"/>
  <c r="O328" i="1" s="1"/>
  <c r="P328" i="1" s="1"/>
  <c r="N329" i="1"/>
  <c r="O329" i="1" s="1"/>
  <c r="P329" i="1" s="1"/>
  <c r="N330" i="1"/>
  <c r="O330" i="1" s="1"/>
  <c r="P330" i="1" s="1"/>
  <c r="N331" i="1"/>
  <c r="O331" i="1" s="1"/>
  <c r="P331" i="1" s="1"/>
  <c r="N332" i="1"/>
  <c r="O332" i="1" s="1"/>
  <c r="P332" i="1" s="1"/>
  <c r="N333" i="1"/>
  <c r="O333" i="1" s="1"/>
  <c r="P333" i="1" s="1"/>
  <c r="N334" i="1"/>
  <c r="O334" i="1" s="1"/>
  <c r="P334" i="1" s="1"/>
  <c r="N335" i="1"/>
  <c r="O335" i="1" s="1"/>
  <c r="P335" i="1" s="1"/>
  <c r="N336" i="1"/>
  <c r="O336" i="1" s="1"/>
  <c r="P336" i="1" s="1"/>
  <c r="N337" i="1"/>
  <c r="O337" i="1" s="1"/>
  <c r="P337" i="1" s="1"/>
  <c r="N338" i="1"/>
  <c r="O338" i="1" s="1"/>
  <c r="P338" i="1" s="1"/>
  <c r="N339" i="1"/>
  <c r="O339" i="1" s="1"/>
  <c r="P339" i="1" s="1"/>
  <c r="N340" i="1"/>
  <c r="O340" i="1" s="1"/>
  <c r="P340" i="1" s="1"/>
  <c r="N341" i="1"/>
  <c r="O341" i="1" s="1"/>
  <c r="P341" i="1" s="1"/>
  <c r="N342" i="1"/>
  <c r="O342" i="1" s="1"/>
  <c r="P342" i="1" s="1"/>
  <c r="N343" i="1"/>
  <c r="O343" i="1" s="1"/>
  <c r="P343" i="1" s="1"/>
  <c r="N344" i="1"/>
  <c r="O344" i="1" s="1"/>
  <c r="P344" i="1" s="1"/>
  <c r="N345" i="1"/>
  <c r="O345" i="1" s="1"/>
  <c r="P345" i="1" s="1"/>
  <c r="N346" i="1"/>
  <c r="O346" i="1" s="1"/>
  <c r="P346" i="1" s="1"/>
  <c r="N347" i="1"/>
  <c r="O347" i="1" s="1"/>
  <c r="P347" i="1" s="1"/>
  <c r="N348" i="1"/>
  <c r="O348" i="1" s="1"/>
  <c r="P348" i="1" s="1"/>
  <c r="N349" i="1"/>
  <c r="O349" i="1" s="1"/>
  <c r="P349" i="1" s="1"/>
  <c r="N350" i="1"/>
  <c r="O350" i="1" s="1"/>
  <c r="P350" i="1" s="1"/>
  <c r="N351" i="1"/>
  <c r="O351" i="1" s="1"/>
  <c r="P351" i="1" s="1"/>
  <c r="N352" i="1"/>
  <c r="O352" i="1" s="1"/>
  <c r="P352" i="1" s="1"/>
  <c r="N353" i="1"/>
  <c r="O353" i="1" s="1"/>
  <c r="P353" i="1" s="1"/>
  <c r="N354" i="1"/>
  <c r="O354" i="1" s="1"/>
  <c r="P354" i="1" s="1"/>
  <c r="N355" i="1"/>
  <c r="O355" i="1" s="1"/>
  <c r="P355" i="1" s="1"/>
  <c r="N356" i="1"/>
  <c r="O356" i="1" s="1"/>
  <c r="P356" i="1" s="1"/>
  <c r="N357" i="1"/>
  <c r="O357" i="1" s="1"/>
  <c r="P357" i="1" s="1"/>
  <c r="N358" i="1"/>
  <c r="O358" i="1" s="1"/>
  <c r="P358" i="1" s="1"/>
  <c r="N359" i="1"/>
  <c r="O359" i="1" s="1"/>
  <c r="P359" i="1" s="1"/>
  <c r="N360" i="1"/>
  <c r="O360" i="1" s="1"/>
  <c r="P360" i="1" s="1"/>
  <c r="N361" i="1"/>
  <c r="O361" i="1" s="1"/>
  <c r="P361" i="1" s="1"/>
  <c r="N362" i="1"/>
  <c r="O362" i="1" s="1"/>
  <c r="P362" i="1" s="1"/>
  <c r="N363" i="1"/>
  <c r="O363" i="1" s="1"/>
  <c r="P363" i="1" s="1"/>
  <c r="N364" i="1"/>
  <c r="O364" i="1" s="1"/>
  <c r="P364" i="1" s="1"/>
  <c r="N365" i="1"/>
  <c r="O365" i="1" s="1"/>
  <c r="P365" i="1" s="1"/>
  <c r="N366" i="1"/>
  <c r="O366" i="1" s="1"/>
  <c r="P366" i="1" s="1"/>
  <c r="N367" i="1"/>
  <c r="O367" i="1" s="1"/>
  <c r="P367" i="1" s="1"/>
  <c r="N368" i="1"/>
  <c r="O368" i="1" s="1"/>
  <c r="P368" i="1" s="1"/>
  <c r="N369" i="1"/>
  <c r="O369" i="1" s="1"/>
  <c r="P369" i="1" s="1"/>
  <c r="N370" i="1"/>
  <c r="O370" i="1" s="1"/>
  <c r="P370" i="1" s="1"/>
  <c r="N371" i="1"/>
  <c r="O371" i="1" s="1"/>
  <c r="P371" i="1" s="1"/>
  <c r="N372" i="1"/>
  <c r="O372" i="1" s="1"/>
  <c r="P372" i="1" s="1"/>
  <c r="N373" i="1"/>
  <c r="O373" i="1" s="1"/>
  <c r="P373" i="1" s="1"/>
  <c r="N374" i="1"/>
  <c r="O374" i="1" s="1"/>
  <c r="P374" i="1" s="1"/>
  <c r="N375" i="1"/>
  <c r="O375" i="1" s="1"/>
  <c r="P375" i="1" s="1"/>
  <c r="N376" i="1"/>
  <c r="O376" i="1" s="1"/>
  <c r="P376" i="1" s="1"/>
  <c r="N377" i="1"/>
  <c r="O377" i="1" s="1"/>
  <c r="P377" i="1" s="1"/>
  <c r="N378" i="1"/>
  <c r="O378" i="1" s="1"/>
  <c r="P378" i="1" s="1"/>
  <c r="N379" i="1"/>
  <c r="O379" i="1" s="1"/>
  <c r="P379" i="1" s="1"/>
  <c r="N380" i="1"/>
  <c r="O380" i="1" s="1"/>
  <c r="P380" i="1" s="1"/>
  <c r="N381" i="1"/>
  <c r="O381" i="1" s="1"/>
  <c r="P381" i="1" s="1"/>
  <c r="N382" i="1"/>
  <c r="O382" i="1" s="1"/>
  <c r="P382" i="1" s="1"/>
  <c r="N383" i="1"/>
  <c r="O383" i="1" s="1"/>
  <c r="P383" i="1" s="1"/>
  <c r="N384" i="1"/>
  <c r="O384" i="1" s="1"/>
  <c r="P384" i="1" s="1"/>
  <c r="N385" i="1"/>
  <c r="O385" i="1" s="1"/>
  <c r="P385" i="1" s="1"/>
  <c r="N386" i="1"/>
  <c r="O386" i="1" s="1"/>
  <c r="P386" i="1" s="1"/>
  <c r="N387" i="1"/>
  <c r="O387" i="1" s="1"/>
  <c r="P387" i="1" s="1"/>
  <c r="N388" i="1"/>
  <c r="O388" i="1" s="1"/>
  <c r="P388" i="1" s="1"/>
  <c r="N389" i="1"/>
  <c r="O389" i="1" s="1"/>
  <c r="P389" i="1" s="1"/>
  <c r="N390" i="1"/>
  <c r="O390" i="1" s="1"/>
  <c r="P390" i="1" s="1"/>
  <c r="N391" i="1"/>
  <c r="O391" i="1" s="1"/>
  <c r="P391" i="1" s="1"/>
  <c r="N392" i="1"/>
  <c r="O392" i="1" s="1"/>
  <c r="P392" i="1" s="1"/>
  <c r="N393" i="1"/>
  <c r="O393" i="1" s="1"/>
  <c r="P393" i="1" s="1"/>
  <c r="N394" i="1"/>
  <c r="O394" i="1" s="1"/>
  <c r="P394" i="1" s="1"/>
  <c r="N395" i="1"/>
  <c r="O395" i="1" s="1"/>
  <c r="P395" i="1" s="1"/>
  <c r="N396" i="1"/>
  <c r="O396" i="1" s="1"/>
  <c r="P396" i="1" s="1"/>
  <c r="N397" i="1"/>
  <c r="O397" i="1" s="1"/>
  <c r="P397" i="1" s="1"/>
  <c r="N398" i="1"/>
  <c r="O398" i="1" s="1"/>
  <c r="P398" i="1" s="1"/>
  <c r="N399" i="1"/>
  <c r="O399" i="1" s="1"/>
  <c r="P399" i="1" s="1"/>
  <c r="N400" i="1"/>
  <c r="O400" i="1" s="1"/>
  <c r="P400" i="1" s="1"/>
  <c r="N401" i="1"/>
  <c r="O401" i="1" s="1"/>
  <c r="P401" i="1" s="1"/>
  <c r="N402" i="1"/>
  <c r="O402" i="1" s="1"/>
  <c r="P402" i="1" s="1"/>
  <c r="N403" i="1"/>
  <c r="O403" i="1" s="1"/>
  <c r="P403" i="1" s="1"/>
  <c r="N404" i="1"/>
  <c r="O404" i="1" s="1"/>
  <c r="P404" i="1" s="1"/>
  <c r="N405" i="1"/>
  <c r="O405" i="1" s="1"/>
  <c r="P405" i="1" s="1"/>
  <c r="N406" i="1"/>
  <c r="O406" i="1" s="1"/>
  <c r="P406" i="1" s="1"/>
  <c r="N407" i="1"/>
  <c r="O407" i="1" s="1"/>
  <c r="P407" i="1" s="1"/>
  <c r="N408" i="1"/>
  <c r="O408" i="1" s="1"/>
  <c r="P408" i="1" s="1"/>
  <c r="N409" i="1"/>
  <c r="O409" i="1" s="1"/>
  <c r="P409" i="1" s="1"/>
  <c r="N410" i="1"/>
  <c r="O410" i="1" s="1"/>
  <c r="P410" i="1" s="1"/>
  <c r="N411" i="1"/>
  <c r="O411" i="1" s="1"/>
  <c r="P411" i="1" s="1"/>
  <c r="N412" i="1"/>
  <c r="O412" i="1" s="1"/>
  <c r="P412" i="1" s="1"/>
  <c r="N413" i="1"/>
  <c r="O413" i="1" s="1"/>
  <c r="P413" i="1" s="1"/>
  <c r="N414" i="1"/>
  <c r="O414" i="1" s="1"/>
  <c r="P414" i="1" s="1"/>
  <c r="N415" i="1"/>
  <c r="O415" i="1" s="1"/>
  <c r="P415" i="1" s="1"/>
  <c r="N416" i="1"/>
  <c r="O416" i="1" s="1"/>
  <c r="P416" i="1" s="1"/>
  <c r="N417" i="1"/>
  <c r="O417" i="1" s="1"/>
  <c r="P417" i="1" s="1"/>
  <c r="N418" i="1"/>
  <c r="O418" i="1" s="1"/>
  <c r="P418" i="1" s="1"/>
  <c r="N419" i="1"/>
  <c r="O419" i="1" s="1"/>
  <c r="P419" i="1" s="1"/>
  <c r="N420" i="1"/>
  <c r="O420" i="1" s="1"/>
  <c r="P420" i="1" s="1"/>
  <c r="N421" i="1"/>
  <c r="O421" i="1" s="1"/>
  <c r="P421" i="1" s="1"/>
  <c r="N422" i="1"/>
  <c r="O422" i="1" s="1"/>
  <c r="P422" i="1" s="1"/>
  <c r="N423" i="1"/>
  <c r="O423" i="1" s="1"/>
  <c r="P423" i="1" s="1"/>
  <c r="N424" i="1"/>
  <c r="O424" i="1" s="1"/>
  <c r="P424" i="1" s="1"/>
  <c r="N425" i="1"/>
  <c r="O425" i="1" s="1"/>
  <c r="P425" i="1" s="1"/>
  <c r="N426" i="1"/>
  <c r="O426" i="1" s="1"/>
  <c r="P426" i="1" s="1"/>
  <c r="N427" i="1"/>
  <c r="O427" i="1" s="1"/>
  <c r="P427" i="1" s="1"/>
  <c r="N428" i="1"/>
  <c r="O428" i="1" s="1"/>
  <c r="P428" i="1" s="1"/>
  <c r="N429" i="1"/>
  <c r="O429" i="1" s="1"/>
  <c r="P429" i="1" s="1"/>
  <c r="N430" i="1"/>
  <c r="O430" i="1" s="1"/>
  <c r="P430" i="1" s="1"/>
  <c r="N431" i="1"/>
  <c r="O431" i="1" s="1"/>
  <c r="P431" i="1" s="1"/>
  <c r="N432" i="1"/>
  <c r="O432" i="1" s="1"/>
  <c r="P432" i="1" s="1"/>
  <c r="N433" i="1"/>
  <c r="O433" i="1" s="1"/>
  <c r="P433" i="1" s="1"/>
  <c r="N434" i="1"/>
  <c r="O434" i="1" s="1"/>
  <c r="P434" i="1" s="1"/>
  <c r="N435" i="1"/>
  <c r="O435" i="1" s="1"/>
  <c r="P435" i="1" s="1"/>
  <c r="N436" i="1"/>
  <c r="O436" i="1" s="1"/>
  <c r="P436" i="1" s="1"/>
  <c r="N437" i="1"/>
  <c r="O437" i="1" s="1"/>
  <c r="P437" i="1" s="1"/>
  <c r="N438" i="1"/>
  <c r="O438" i="1" s="1"/>
  <c r="P438" i="1" s="1"/>
  <c r="N439" i="1"/>
  <c r="O439" i="1" s="1"/>
  <c r="P439" i="1" s="1"/>
  <c r="N440" i="1"/>
  <c r="O440" i="1" s="1"/>
  <c r="P440" i="1" s="1"/>
  <c r="N441" i="1"/>
  <c r="O441" i="1" s="1"/>
  <c r="P441" i="1" s="1"/>
  <c r="N442" i="1"/>
  <c r="O442" i="1" s="1"/>
  <c r="P442" i="1" s="1"/>
  <c r="N443" i="1"/>
  <c r="O443" i="1" s="1"/>
  <c r="P443" i="1" s="1"/>
  <c r="N444" i="1"/>
  <c r="O444" i="1" s="1"/>
  <c r="P444" i="1" s="1"/>
  <c r="N445" i="1"/>
  <c r="O445" i="1" s="1"/>
  <c r="P445" i="1" s="1"/>
  <c r="N446" i="1"/>
  <c r="O446" i="1" s="1"/>
  <c r="P446" i="1" s="1"/>
  <c r="N447" i="1"/>
  <c r="O447" i="1" s="1"/>
  <c r="P447" i="1" s="1"/>
  <c r="N448" i="1"/>
  <c r="O448" i="1" s="1"/>
  <c r="P448" i="1" s="1"/>
  <c r="N449" i="1"/>
  <c r="O449" i="1" s="1"/>
  <c r="P449" i="1" s="1"/>
  <c r="N450" i="1"/>
  <c r="O450" i="1" s="1"/>
  <c r="P450" i="1" s="1"/>
  <c r="N451" i="1"/>
  <c r="O451" i="1" s="1"/>
  <c r="P451" i="1" s="1"/>
  <c r="N452" i="1"/>
  <c r="O452" i="1" s="1"/>
  <c r="P452" i="1" s="1"/>
  <c r="N453" i="1"/>
  <c r="O453" i="1" s="1"/>
  <c r="P453" i="1" s="1"/>
  <c r="N454" i="1"/>
  <c r="O454" i="1" s="1"/>
  <c r="P454" i="1" s="1"/>
  <c r="N455" i="1"/>
  <c r="O455" i="1" s="1"/>
  <c r="P455" i="1" s="1"/>
  <c r="N456" i="1"/>
  <c r="O456" i="1" s="1"/>
  <c r="P456" i="1" s="1"/>
  <c r="N457" i="1"/>
  <c r="O457" i="1" s="1"/>
  <c r="P457" i="1" s="1"/>
  <c r="N458" i="1"/>
  <c r="O458" i="1" s="1"/>
  <c r="P458" i="1" s="1"/>
  <c r="N459" i="1"/>
  <c r="O459" i="1" s="1"/>
  <c r="P459" i="1" s="1"/>
  <c r="N460" i="1"/>
  <c r="O460" i="1" s="1"/>
  <c r="P460" i="1" s="1"/>
  <c r="N461" i="1"/>
  <c r="O461" i="1" s="1"/>
  <c r="P461" i="1" s="1"/>
  <c r="N462" i="1"/>
  <c r="O462" i="1" s="1"/>
  <c r="P462" i="1" s="1"/>
  <c r="N463" i="1"/>
  <c r="O463" i="1" s="1"/>
  <c r="P463" i="1" s="1"/>
  <c r="N464" i="1"/>
  <c r="O464" i="1" s="1"/>
  <c r="P464" i="1" s="1"/>
  <c r="N465" i="1"/>
  <c r="O465" i="1" s="1"/>
  <c r="P465" i="1" s="1"/>
  <c r="N466" i="1"/>
  <c r="O466" i="1" s="1"/>
  <c r="P466" i="1" s="1"/>
  <c r="N467" i="1"/>
  <c r="O467" i="1" s="1"/>
  <c r="P467" i="1" s="1"/>
  <c r="N468" i="1"/>
  <c r="O468" i="1" s="1"/>
  <c r="P468" i="1" s="1"/>
  <c r="N469" i="1"/>
  <c r="O469" i="1" s="1"/>
  <c r="P469" i="1" s="1"/>
  <c r="N470" i="1"/>
  <c r="O470" i="1" s="1"/>
  <c r="P470" i="1" s="1"/>
  <c r="N471" i="1"/>
  <c r="O471" i="1" s="1"/>
  <c r="P471" i="1" s="1"/>
  <c r="N472" i="1"/>
  <c r="O472" i="1" s="1"/>
  <c r="P472" i="1" s="1"/>
  <c r="N473" i="1"/>
  <c r="O473" i="1" s="1"/>
  <c r="P473" i="1" s="1"/>
  <c r="N474" i="1"/>
  <c r="O474" i="1" s="1"/>
  <c r="P474" i="1" s="1"/>
  <c r="N475" i="1"/>
  <c r="O475" i="1" s="1"/>
  <c r="P475" i="1" s="1"/>
  <c r="N476" i="1"/>
  <c r="O476" i="1" s="1"/>
  <c r="P476" i="1" s="1"/>
  <c r="N477" i="1"/>
  <c r="O477" i="1" s="1"/>
  <c r="P477" i="1" s="1"/>
  <c r="N478" i="1"/>
  <c r="O478" i="1" s="1"/>
  <c r="P478" i="1" s="1"/>
  <c r="N479" i="1"/>
  <c r="O479" i="1" s="1"/>
  <c r="P479" i="1" s="1"/>
  <c r="N480" i="1"/>
  <c r="O480" i="1" s="1"/>
  <c r="P480" i="1" s="1"/>
  <c r="N481" i="1"/>
  <c r="O481" i="1" s="1"/>
  <c r="P481" i="1" s="1"/>
  <c r="N482" i="1"/>
  <c r="O482" i="1" s="1"/>
  <c r="P482" i="1" s="1"/>
  <c r="N483" i="1"/>
  <c r="O483" i="1" s="1"/>
  <c r="P483" i="1" s="1"/>
  <c r="N484" i="1"/>
  <c r="O484" i="1" s="1"/>
  <c r="P484" i="1" s="1"/>
  <c r="N485" i="1"/>
  <c r="O485" i="1" s="1"/>
  <c r="P485" i="1" s="1"/>
  <c r="N486" i="1"/>
  <c r="O486" i="1" s="1"/>
  <c r="P486" i="1" s="1"/>
  <c r="N487" i="1"/>
  <c r="O487" i="1" s="1"/>
  <c r="P487" i="1" s="1"/>
  <c r="N488" i="1"/>
  <c r="O488" i="1" s="1"/>
  <c r="P488" i="1" s="1"/>
  <c r="N489" i="1"/>
  <c r="O489" i="1" s="1"/>
  <c r="P489" i="1" s="1"/>
  <c r="N490" i="1"/>
  <c r="O490" i="1" s="1"/>
  <c r="P490" i="1" s="1"/>
  <c r="N491" i="1"/>
  <c r="O491" i="1" s="1"/>
  <c r="P491" i="1" s="1"/>
  <c r="N492" i="1"/>
  <c r="O492" i="1" s="1"/>
  <c r="P492" i="1" s="1"/>
  <c r="N493" i="1"/>
  <c r="O493" i="1" s="1"/>
  <c r="P493" i="1" s="1"/>
  <c r="N494" i="1"/>
  <c r="O494" i="1" s="1"/>
  <c r="P494" i="1" s="1"/>
  <c r="N495" i="1"/>
  <c r="O495" i="1" s="1"/>
  <c r="P495" i="1" s="1"/>
  <c r="N496" i="1"/>
  <c r="O496" i="1" s="1"/>
  <c r="P496" i="1" s="1"/>
  <c r="N497" i="1"/>
  <c r="O497" i="1" s="1"/>
  <c r="P497" i="1" s="1"/>
  <c r="N498" i="1"/>
  <c r="O498" i="1" s="1"/>
  <c r="P498" i="1" s="1"/>
  <c r="N499" i="1"/>
  <c r="O499" i="1" s="1"/>
  <c r="P499" i="1" s="1"/>
  <c r="N500" i="1"/>
  <c r="O500" i="1" s="1"/>
  <c r="P500" i="1" s="1"/>
  <c r="N501" i="1"/>
  <c r="O501" i="1" s="1"/>
  <c r="P501" i="1" s="1"/>
  <c r="N502" i="1"/>
  <c r="O502" i="1" s="1"/>
  <c r="P502" i="1" s="1"/>
  <c r="N503" i="1"/>
  <c r="O503" i="1" s="1"/>
  <c r="P503" i="1" s="1"/>
  <c r="N504" i="1"/>
  <c r="O504" i="1" s="1"/>
  <c r="P504" i="1" s="1"/>
  <c r="N505" i="1"/>
  <c r="O505" i="1" s="1"/>
  <c r="P505" i="1" s="1"/>
  <c r="N506" i="1"/>
  <c r="O506" i="1" s="1"/>
  <c r="P506" i="1" s="1"/>
  <c r="N507" i="1"/>
  <c r="O507" i="1" s="1"/>
  <c r="P507" i="1" s="1"/>
  <c r="N508" i="1"/>
  <c r="O508" i="1" s="1"/>
  <c r="P508" i="1" s="1"/>
  <c r="N509" i="1"/>
  <c r="O509" i="1" s="1"/>
  <c r="P509" i="1" s="1"/>
  <c r="N510" i="1"/>
  <c r="O510" i="1" s="1"/>
  <c r="P510" i="1" s="1"/>
  <c r="N511" i="1"/>
  <c r="O511" i="1" s="1"/>
  <c r="P511" i="1" s="1"/>
  <c r="N512" i="1"/>
  <c r="O512" i="1" s="1"/>
  <c r="P512" i="1" s="1"/>
  <c r="N513" i="1"/>
  <c r="O513" i="1" s="1"/>
  <c r="P513" i="1" s="1"/>
  <c r="N514" i="1"/>
  <c r="O514" i="1" s="1"/>
  <c r="P514" i="1" s="1"/>
  <c r="N515" i="1"/>
  <c r="O515" i="1" s="1"/>
  <c r="P515" i="1" s="1"/>
  <c r="N516" i="1"/>
  <c r="O516" i="1" s="1"/>
  <c r="P516" i="1" s="1"/>
  <c r="N517" i="1"/>
  <c r="O517" i="1" s="1"/>
  <c r="P517" i="1" s="1"/>
  <c r="N518" i="1"/>
  <c r="O518" i="1" s="1"/>
  <c r="P518" i="1" s="1"/>
  <c r="N519" i="1"/>
  <c r="O519" i="1" s="1"/>
  <c r="P519" i="1" s="1"/>
  <c r="N520" i="1"/>
  <c r="O520" i="1" s="1"/>
  <c r="P520" i="1" s="1"/>
  <c r="N521" i="1"/>
  <c r="O521" i="1" s="1"/>
  <c r="P521" i="1" s="1"/>
  <c r="N522" i="1"/>
  <c r="O522" i="1" s="1"/>
  <c r="P522" i="1" s="1"/>
  <c r="N523" i="1"/>
  <c r="O523" i="1" s="1"/>
  <c r="P523" i="1" s="1"/>
  <c r="N524" i="1"/>
  <c r="O524" i="1" s="1"/>
  <c r="P524" i="1" s="1"/>
  <c r="N525" i="1"/>
  <c r="O525" i="1" s="1"/>
  <c r="P525" i="1" s="1"/>
  <c r="N526" i="1"/>
  <c r="O526" i="1" s="1"/>
  <c r="P526" i="1" s="1"/>
  <c r="N527" i="1"/>
  <c r="O527" i="1" s="1"/>
  <c r="P527" i="1" s="1"/>
  <c r="N528" i="1"/>
  <c r="O528" i="1" s="1"/>
  <c r="P528" i="1" s="1"/>
  <c r="N529" i="1"/>
  <c r="O529" i="1" s="1"/>
  <c r="P529" i="1" s="1"/>
  <c r="N530" i="1"/>
  <c r="O530" i="1" s="1"/>
  <c r="P530" i="1" s="1"/>
  <c r="N531" i="1"/>
  <c r="O531" i="1" s="1"/>
  <c r="P531" i="1" s="1"/>
  <c r="N532" i="1"/>
  <c r="O532" i="1" s="1"/>
  <c r="P532" i="1" s="1"/>
  <c r="N533" i="1"/>
  <c r="O533" i="1" s="1"/>
  <c r="P533" i="1" s="1"/>
  <c r="N534" i="1"/>
  <c r="O534" i="1" s="1"/>
  <c r="P534" i="1" s="1"/>
  <c r="N535" i="1"/>
  <c r="O535" i="1" s="1"/>
  <c r="P535" i="1" s="1"/>
  <c r="N536" i="1"/>
  <c r="O536" i="1" s="1"/>
  <c r="P536" i="1" s="1"/>
  <c r="N537" i="1"/>
  <c r="O537" i="1" s="1"/>
  <c r="P537" i="1" s="1"/>
  <c r="N538" i="1"/>
  <c r="O538" i="1" s="1"/>
  <c r="P538" i="1" s="1"/>
  <c r="N539" i="1"/>
  <c r="O539" i="1" s="1"/>
  <c r="P539" i="1" s="1"/>
  <c r="N540" i="1"/>
  <c r="O540" i="1" s="1"/>
  <c r="P540" i="1" s="1"/>
  <c r="N541" i="1"/>
  <c r="O541" i="1" s="1"/>
  <c r="P541" i="1" s="1"/>
  <c r="N542" i="1"/>
  <c r="O542" i="1" s="1"/>
  <c r="P542" i="1" s="1"/>
  <c r="N543" i="1"/>
  <c r="O543" i="1" s="1"/>
  <c r="P543" i="1" s="1"/>
  <c r="N544" i="1"/>
  <c r="O544" i="1" s="1"/>
  <c r="P544" i="1" s="1"/>
  <c r="N545" i="1"/>
  <c r="O545" i="1" s="1"/>
  <c r="P545" i="1" s="1"/>
  <c r="N546" i="1"/>
  <c r="O546" i="1" s="1"/>
  <c r="P546" i="1" s="1"/>
  <c r="N547" i="1"/>
  <c r="O547" i="1" s="1"/>
  <c r="P547" i="1" s="1"/>
  <c r="N548" i="1"/>
  <c r="O548" i="1" s="1"/>
  <c r="P548" i="1" s="1"/>
  <c r="N549" i="1"/>
  <c r="O549" i="1" s="1"/>
  <c r="P549" i="1" s="1"/>
  <c r="N550" i="1"/>
  <c r="O550" i="1" s="1"/>
  <c r="P550" i="1" s="1"/>
  <c r="N551" i="1"/>
  <c r="O551" i="1" s="1"/>
  <c r="P551" i="1" s="1"/>
  <c r="N552" i="1"/>
  <c r="O552" i="1" s="1"/>
  <c r="P552" i="1" s="1"/>
  <c r="N553" i="1"/>
  <c r="O553" i="1" s="1"/>
  <c r="P553" i="1" s="1"/>
  <c r="N554" i="1"/>
  <c r="O554" i="1" s="1"/>
  <c r="P554" i="1" s="1"/>
  <c r="N555" i="1"/>
  <c r="O555" i="1" s="1"/>
  <c r="P555" i="1" s="1"/>
  <c r="N556" i="1"/>
  <c r="O556" i="1" s="1"/>
  <c r="P556" i="1" s="1"/>
  <c r="N557" i="1"/>
  <c r="O557" i="1" s="1"/>
  <c r="P557" i="1" s="1"/>
  <c r="N558" i="1"/>
  <c r="O558" i="1" s="1"/>
  <c r="P558" i="1" s="1"/>
  <c r="N559" i="1"/>
  <c r="O559" i="1" s="1"/>
  <c r="P559" i="1" s="1"/>
  <c r="N560" i="1"/>
  <c r="O560" i="1" s="1"/>
  <c r="P560" i="1" s="1"/>
  <c r="N561" i="1"/>
  <c r="O561" i="1" s="1"/>
  <c r="P561" i="1" s="1"/>
  <c r="N562" i="1"/>
  <c r="O562" i="1" s="1"/>
  <c r="P562" i="1" s="1"/>
  <c r="N563" i="1"/>
  <c r="O563" i="1" s="1"/>
  <c r="P563" i="1" s="1"/>
  <c r="N564" i="1"/>
  <c r="O564" i="1" s="1"/>
  <c r="P564" i="1" s="1"/>
  <c r="N565" i="1"/>
  <c r="O565" i="1" s="1"/>
  <c r="P565" i="1" s="1"/>
  <c r="N566" i="1"/>
  <c r="O566" i="1" s="1"/>
  <c r="P566" i="1" s="1"/>
  <c r="N567" i="1"/>
  <c r="O567" i="1" s="1"/>
  <c r="P567" i="1" s="1"/>
  <c r="N568" i="1"/>
  <c r="O568" i="1" s="1"/>
  <c r="P568" i="1" s="1"/>
  <c r="N569" i="1"/>
  <c r="O569" i="1" s="1"/>
  <c r="P569" i="1" s="1"/>
  <c r="N570" i="1"/>
  <c r="O570" i="1" s="1"/>
  <c r="P570" i="1" s="1"/>
  <c r="N571" i="1"/>
  <c r="O571" i="1" s="1"/>
  <c r="P571" i="1" s="1"/>
  <c r="N572" i="1"/>
  <c r="O572" i="1" s="1"/>
  <c r="P572" i="1" s="1"/>
  <c r="N573" i="1"/>
  <c r="O573" i="1" s="1"/>
  <c r="P573" i="1" s="1"/>
  <c r="N574" i="1"/>
  <c r="O574" i="1" s="1"/>
  <c r="P574" i="1" s="1"/>
  <c r="N575" i="1"/>
  <c r="O575" i="1" s="1"/>
  <c r="P575" i="1" s="1"/>
  <c r="N576" i="1"/>
  <c r="O576" i="1" s="1"/>
  <c r="P576" i="1" s="1"/>
  <c r="N577" i="1"/>
  <c r="O577" i="1" s="1"/>
  <c r="P577" i="1" s="1"/>
  <c r="N578" i="1"/>
  <c r="O578" i="1" s="1"/>
  <c r="P578" i="1" s="1"/>
  <c r="N579" i="1"/>
  <c r="O579" i="1" s="1"/>
  <c r="P579" i="1" s="1"/>
  <c r="N580" i="1"/>
  <c r="O580" i="1" s="1"/>
  <c r="P580" i="1" s="1"/>
  <c r="N581" i="1"/>
  <c r="O581" i="1" s="1"/>
  <c r="P581" i="1" s="1"/>
  <c r="N582" i="1"/>
  <c r="O582" i="1" s="1"/>
  <c r="P582" i="1" s="1"/>
  <c r="N583" i="1"/>
  <c r="O583" i="1" s="1"/>
  <c r="P583" i="1" s="1"/>
  <c r="N584" i="1"/>
  <c r="O584" i="1" s="1"/>
  <c r="P584" i="1" s="1"/>
  <c r="N585" i="1"/>
  <c r="O585" i="1" s="1"/>
  <c r="P585" i="1" s="1"/>
  <c r="N586" i="1"/>
  <c r="O586" i="1" s="1"/>
  <c r="P586" i="1" s="1"/>
  <c r="N587" i="1"/>
  <c r="O587" i="1" s="1"/>
  <c r="P587" i="1" s="1"/>
  <c r="N588" i="1"/>
  <c r="O588" i="1" s="1"/>
  <c r="P588" i="1" s="1"/>
  <c r="N589" i="1"/>
  <c r="O589" i="1" s="1"/>
  <c r="P589" i="1" s="1"/>
  <c r="N590" i="1"/>
  <c r="O590" i="1" s="1"/>
  <c r="P590" i="1" s="1"/>
  <c r="N591" i="1"/>
  <c r="O591" i="1" s="1"/>
  <c r="P591" i="1" s="1"/>
  <c r="N592" i="1"/>
  <c r="O592" i="1" s="1"/>
  <c r="P592" i="1" s="1"/>
  <c r="N593" i="1"/>
  <c r="O593" i="1" s="1"/>
  <c r="P593" i="1" s="1"/>
  <c r="N594" i="1"/>
  <c r="O594" i="1" s="1"/>
  <c r="P594" i="1" s="1"/>
  <c r="N595" i="1"/>
  <c r="O595" i="1" s="1"/>
  <c r="P595" i="1" s="1"/>
  <c r="N596" i="1"/>
  <c r="O596" i="1" s="1"/>
  <c r="P596" i="1" s="1"/>
  <c r="N597" i="1"/>
  <c r="O597" i="1" s="1"/>
  <c r="P597" i="1" s="1"/>
  <c r="N598" i="1"/>
  <c r="O598" i="1" s="1"/>
  <c r="P598" i="1" s="1"/>
  <c r="N599" i="1"/>
  <c r="O599" i="1" s="1"/>
  <c r="P599" i="1" s="1"/>
  <c r="N600" i="1"/>
  <c r="O600" i="1" s="1"/>
  <c r="P600" i="1" s="1"/>
  <c r="N601" i="1"/>
  <c r="O601" i="1" s="1"/>
  <c r="P601" i="1" s="1"/>
  <c r="N602" i="1"/>
  <c r="O602" i="1" s="1"/>
  <c r="P602" i="1" s="1"/>
  <c r="N603" i="1"/>
  <c r="O603" i="1" s="1"/>
  <c r="P603" i="1" s="1"/>
  <c r="N604" i="1"/>
  <c r="O604" i="1" s="1"/>
  <c r="P604" i="1" s="1"/>
  <c r="N605" i="1"/>
  <c r="O605" i="1" s="1"/>
  <c r="P605" i="1" s="1"/>
  <c r="N606" i="1"/>
  <c r="O606" i="1" s="1"/>
  <c r="P606" i="1" s="1"/>
  <c r="N607" i="1"/>
  <c r="O607" i="1" s="1"/>
  <c r="P607" i="1" s="1"/>
  <c r="N608" i="1"/>
  <c r="O608" i="1" s="1"/>
  <c r="P608" i="1" s="1"/>
  <c r="N609" i="1"/>
  <c r="O609" i="1" s="1"/>
  <c r="P609" i="1" s="1"/>
  <c r="N610" i="1"/>
  <c r="O610" i="1" s="1"/>
  <c r="P610" i="1" s="1"/>
  <c r="N611" i="1"/>
  <c r="O611" i="1" s="1"/>
  <c r="P611" i="1" s="1"/>
  <c r="N612" i="1"/>
  <c r="O612" i="1" s="1"/>
  <c r="P612" i="1" s="1"/>
  <c r="N613" i="1"/>
  <c r="O613" i="1" s="1"/>
  <c r="P613" i="1" s="1"/>
  <c r="N614" i="1"/>
  <c r="O614" i="1" s="1"/>
  <c r="P614" i="1" s="1"/>
  <c r="N615" i="1"/>
  <c r="O615" i="1" s="1"/>
  <c r="P615" i="1" s="1"/>
  <c r="N616" i="1"/>
  <c r="O616" i="1" s="1"/>
  <c r="P616" i="1" s="1"/>
  <c r="N617" i="1"/>
  <c r="O617" i="1" s="1"/>
  <c r="P617" i="1" s="1"/>
  <c r="N618" i="1"/>
  <c r="O618" i="1" s="1"/>
  <c r="P618" i="1" s="1"/>
  <c r="N619" i="1"/>
  <c r="O619" i="1" s="1"/>
  <c r="P619" i="1" s="1"/>
  <c r="N620" i="1"/>
  <c r="O620" i="1" s="1"/>
  <c r="P620" i="1" s="1"/>
  <c r="N621" i="1"/>
  <c r="O621" i="1" s="1"/>
  <c r="P621" i="1" s="1"/>
  <c r="N622" i="1"/>
  <c r="O622" i="1" s="1"/>
  <c r="P622" i="1" s="1"/>
  <c r="N623" i="1"/>
  <c r="O623" i="1" s="1"/>
  <c r="P623" i="1" s="1"/>
  <c r="N624" i="1"/>
  <c r="O624" i="1" s="1"/>
  <c r="P624" i="1" s="1"/>
  <c r="N625" i="1"/>
  <c r="O625" i="1" s="1"/>
  <c r="P625" i="1" s="1"/>
  <c r="N626" i="1"/>
  <c r="O626" i="1" s="1"/>
  <c r="P626" i="1" s="1"/>
  <c r="N627" i="1"/>
  <c r="O627" i="1" s="1"/>
  <c r="P627" i="1" s="1"/>
  <c r="N628" i="1"/>
  <c r="O628" i="1" s="1"/>
  <c r="P628" i="1" s="1"/>
  <c r="N629" i="1"/>
  <c r="O629" i="1" s="1"/>
  <c r="P629" i="1" s="1"/>
  <c r="N630" i="1"/>
  <c r="O630" i="1" s="1"/>
  <c r="P630" i="1" s="1"/>
  <c r="N631" i="1"/>
  <c r="O631" i="1" s="1"/>
  <c r="P631" i="1" s="1"/>
  <c r="N632" i="1"/>
  <c r="O632" i="1" s="1"/>
  <c r="P632" i="1" s="1"/>
  <c r="N633" i="1"/>
  <c r="O633" i="1" s="1"/>
  <c r="P633" i="1" s="1"/>
  <c r="N634" i="1"/>
  <c r="O634" i="1" s="1"/>
  <c r="P634" i="1" s="1"/>
  <c r="N635" i="1"/>
  <c r="O635" i="1" s="1"/>
  <c r="P635" i="1" s="1"/>
  <c r="N636" i="1"/>
  <c r="O636" i="1" s="1"/>
  <c r="P636" i="1" s="1"/>
  <c r="N637" i="1"/>
  <c r="O637" i="1" s="1"/>
  <c r="P637" i="1" s="1"/>
  <c r="N638" i="1"/>
  <c r="O638" i="1" s="1"/>
  <c r="P638" i="1" s="1"/>
  <c r="N639" i="1"/>
  <c r="O639" i="1" s="1"/>
  <c r="P639" i="1" s="1"/>
  <c r="N640" i="1"/>
  <c r="O640" i="1" s="1"/>
  <c r="P640" i="1" s="1"/>
  <c r="N641" i="1"/>
  <c r="O641" i="1" s="1"/>
  <c r="P641" i="1" s="1"/>
  <c r="N642" i="1"/>
  <c r="O642" i="1" s="1"/>
  <c r="P642" i="1" s="1"/>
  <c r="N643" i="1"/>
  <c r="O643" i="1" s="1"/>
  <c r="P643" i="1" s="1"/>
  <c r="N644" i="1"/>
  <c r="O644" i="1" s="1"/>
  <c r="P644" i="1" s="1"/>
  <c r="N645" i="1"/>
  <c r="O645" i="1" s="1"/>
  <c r="P645" i="1" s="1"/>
  <c r="N646" i="1"/>
  <c r="O646" i="1" s="1"/>
  <c r="P646" i="1" s="1"/>
  <c r="N647" i="1"/>
  <c r="O647" i="1" s="1"/>
  <c r="P647" i="1" s="1"/>
  <c r="N648" i="1"/>
  <c r="O648" i="1" s="1"/>
  <c r="P648" i="1" s="1"/>
  <c r="N649" i="1"/>
  <c r="O649" i="1" s="1"/>
  <c r="P649" i="1" s="1"/>
  <c r="N650" i="1"/>
  <c r="O650" i="1" s="1"/>
  <c r="P650" i="1" s="1"/>
  <c r="N651" i="1"/>
  <c r="O651" i="1" s="1"/>
  <c r="P651" i="1" s="1"/>
  <c r="N652" i="1"/>
  <c r="O652" i="1" s="1"/>
  <c r="P652" i="1" s="1"/>
  <c r="N653" i="1"/>
  <c r="O653" i="1" s="1"/>
  <c r="P653" i="1" s="1"/>
  <c r="N654" i="1"/>
  <c r="O654" i="1" s="1"/>
  <c r="P654" i="1" s="1"/>
  <c r="N655" i="1"/>
  <c r="O655" i="1" s="1"/>
  <c r="P655" i="1" s="1"/>
  <c r="N656" i="1"/>
  <c r="O656" i="1" s="1"/>
  <c r="P656" i="1" s="1"/>
  <c r="N657" i="1"/>
  <c r="O657" i="1" s="1"/>
  <c r="P657" i="1" s="1"/>
  <c r="N658" i="1"/>
  <c r="O658" i="1" s="1"/>
  <c r="P658" i="1" s="1"/>
  <c r="N659" i="1"/>
  <c r="O659" i="1" s="1"/>
  <c r="P659" i="1" s="1"/>
  <c r="N660" i="1"/>
  <c r="O660" i="1" s="1"/>
  <c r="P660" i="1" s="1"/>
  <c r="N661" i="1"/>
  <c r="O661" i="1" s="1"/>
  <c r="P661" i="1" s="1"/>
  <c r="N662" i="1"/>
  <c r="O662" i="1" s="1"/>
  <c r="P662" i="1" s="1"/>
  <c r="N663" i="1"/>
  <c r="O663" i="1" s="1"/>
  <c r="P663" i="1" s="1"/>
  <c r="N664" i="1"/>
  <c r="O664" i="1" s="1"/>
  <c r="P664" i="1" s="1"/>
  <c r="N665" i="1"/>
  <c r="O665" i="1" s="1"/>
  <c r="P665" i="1" s="1"/>
  <c r="N666" i="1"/>
  <c r="O666" i="1" s="1"/>
  <c r="P666" i="1" s="1"/>
  <c r="N667" i="1"/>
  <c r="O667" i="1" s="1"/>
  <c r="P667" i="1" s="1"/>
  <c r="N668" i="1"/>
  <c r="O668" i="1" s="1"/>
  <c r="P668" i="1" s="1"/>
  <c r="N669" i="1"/>
  <c r="O669" i="1" s="1"/>
  <c r="P669" i="1" s="1"/>
  <c r="N670" i="1"/>
  <c r="O670" i="1" s="1"/>
  <c r="P670" i="1" s="1"/>
  <c r="N671" i="1"/>
  <c r="O671" i="1" s="1"/>
  <c r="P671" i="1" s="1"/>
  <c r="N672" i="1"/>
  <c r="O672" i="1" s="1"/>
  <c r="P672" i="1" s="1"/>
  <c r="N673" i="1"/>
  <c r="O673" i="1" s="1"/>
  <c r="P673" i="1" s="1"/>
  <c r="N674" i="1"/>
  <c r="O674" i="1" s="1"/>
  <c r="P674" i="1" s="1"/>
  <c r="N675" i="1"/>
  <c r="O675" i="1" s="1"/>
  <c r="P675" i="1" s="1"/>
  <c r="N676" i="1"/>
  <c r="O676" i="1" s="1"/>
  <c r="P676" i="1" s="1"/>
  <c r="N677" i="1"/>
  <c r="O677" i="1" s="1"/>
  <c r="P677" i="1" s="1"/>
  <c r="N678" i="1"/>
  <c r="O678" i="1" s="1"/>
  <c r="P678" i="1" s="1"/>
  <c r="N679" i="1"/>
  <c r="O679" i="1" s="1"/>
  <c r="P679" i="1" s="1"/>
  <c r="N680" i="1"/>
  <c r="O680" i="1" s="1"/>
  <c r="P680" i="1" s="1"/>
  <c r="N681" i="1"/>
  <c r="O681" i="1" s="1"/>
  <c r="P681" i="1" s="1"/>
  <c r="N682" i="1"/>
  <c r="O682" i="1" s="1"/>
  <c r="P682" i="1" s="1"/>
  <c r="N683" i="1"/>
  <c r="O683" i="1" s="1"/>
  <c r="P683" i="1" s="1"/>
  <c r="N684" i="1"/>
  <c r="O684" i="1" s="1"/>
  <c r="P684" i="1" s="1"/>
  <c r="N685" i="1"/>
  <c r="O685" i="1" s="1"/>
  <c r="P685" i="1" s="1"/>
  <c r="N686" i="1"/>
  <c r="O686" i="1" s="1"/>
  <c r="P686" i="1" s="1"/>
  <c r="N687" i="1"/>
  <c r="O687" i="1" s="1"/>
  <c r="P687" i="1" s="1"/>
  <c r="N688" i="1"/>
  <c r="O688" i="1" s="1"/>
  <c r="P688" i="1" s="1"/>
  <c r="N689" i="1"/>
  <c r="O689" i="1" s="1"/>
  <c r="P689" i="1" s="1"/>
  <c r="N690" i="1"/>
  <c r="O690" i="1" s="1"/>
  <c r="P690" i="1" s="1"/>
  <c r="N691" i="1"/>
  <c r="O691" i="1" s="1"/>
  <c r="P691" i="1" s="1"/>
  <c r="N692" i="1"/>
  <c r="O692" i="1" s="1"/>
  <c r="P692" i="1" s="1"/>
  <c r="N693" i="1"/>
  <c r="O693" i="1" s="1"/>
  <c r="P693" i="1" s="1"/>
  <c r="N694" i="1"/>
  <c r="O694" i="1" s="1"/>
  <c r="P694" i="1" s="1"/>
  <c r="N695" i="1"/>
  <c r="O695" i="1" s="1"/>
  <c r="P695" i="1" s="1"/>
  <c r="N696" i="1"/>
  <c r="O696" i="1" s="1"/>
  <c r="P696" i="1" s="1"/>
  <c r="N697" i="1"/>
  <c r="O697" i="1" s="1"/>
  <c r="P697" i="1" s="1"/>
  <c r="N698" i="1"/>
  <c r="O698" i="1" s="1"/>
  <c r="P698" i="1" s="1"/>
  <c r="N699" i="1"/>
  <c r="O699" i="1" s="1"/>
  <c r="P699" i="1" s="1"/>
  <c r="N700" i="1"/>
  <c r="O700" i="1" s="1"/>
  <c r="P700" i="1" s="1"/>
  <c r="N701" i="1"/>
  <c r="O701" i="1" s="1"/>
  <c r="P701" i="1" s="1"/>
  <c r="N702" i="1"/>
  <c r="O702" i="1" s="1"/>
  <c r="P702" i="1" s="1"/>
  <c r="N703" i="1"/>
  <c r="O703" i="1" s="1"/>
  <c r="P703" i="1" s="1"/>
  <c r="N704" i="1"/>
  <c r="O704" i="1" s="1"/>
  <c r="P704" i="1" s="1"/>
  <c r="N705" i="1"/>
  <c r="O705" i="1" s="1"/>
  <c r="P705" i="1" s="1"/>
  <c r="N706" i="1"/>
  <c r="O706" i="1" s="1"/>
  <c r="P706" i="1" s="1"/>
  <c r="N707" i="1"/>
  <c r="O707" i="1" s="1"/>
  <c r="P707" i="1" s="1"/>
  <c r="N708" i="1"/>
  <c r="O708" i="1" s="1"/>
  <c r="P708" i="1" s="1"/>
  <c r="N709" i="1"/>
  <c r="O709" i="1" s="1"/>
  <c r="P709" i="1" s="1"/>
  <c r="N710" i="1"/>
  <c r="O710" i="1" s="1"/>
  <c r="P710" i="1" s="1"/>
  <c r="N711" i="1"/>
  <c r="O711" i="1" s="1"/>
  <c r="P711" i="1" s="1"/>
  <c r="N712" i="1"/>
  <c r="O712" i="1" s="1"/>
  <c r="P712" i="1" s="1"/>
  <c r="N713" i="1"/>
  <c r="O713" i="1" s="1"/>
  <c r="P713" i="1" s="1"/>
  <c r="N714" i="1"/>
  <c r="O714" i="1" s="1"/>
  <c r="P714" i="1" s="1"/>
  <c r="N715" i="1"/>
  <c r="O715" i="1" s="1"/>
  <c r="P715" i="1" s="1"/>
  <c r="N716" i="1"/>
  <c r="O716" i="1" s="1"/>
  <c r="P716" i="1" s="1"/>
  <c r="N717" i="1"/>
  <c r="O717" i="1" s="1"/>
  <c r="P717" i="1" s="1"/>
  <c r="N718" i="1"/>
  <c r="O718" i="1" s="1"/>
  <c r="P718" i="1" s="1"/>
  <c r="N719" i="1"/>
  <c r="O719" i="1" s="1"/>
  <c r="P719" i="1" s="1"/>
  <c r="N720" i="1"/>
  <c r="O720" i="1" s="1"/>
  <c r="P720" i="1" s="1"/>
  <c r="N721" i="1"/>
  <c r="O721" i="1" s="1"/>
  <c r="P721" i="1" s="1"/>
  <c r="N722" i="1"/>
  <c r="O722" i="1" s="1"/>
  <c r="P722" i="1" s="1"/>
  <c r="N723" i="1"/>
  <c r="O723" i="1" s="1"/>
  <c r="P723" i="1" s="1"/>
  <c r="N724" i="1"/>
  <c r="O724" i="1" s="1"/>
  <c r="P724" i="1" s="1"/>
  <c r="N725" i="1"/>
  <c r="O725" i="1" s="1"/>
  <c r="P725" i="1" s="1"/>
  <c r="N726" i="1"/>
  <c r="O726" i="1" s="1"/>
  <c r="P726" i="1" s="1"/>
  <c r="N727" i="1"/>
  <c r="O727" i="1" s="1"/>
  <c r="P727" i="1" s="1"/>
  <c r="N728" i="1"/>
  <c r="O728" i="1" s="1"/>
  <c r="P728" i="1" s="1"/>
  <c r="N729" i="1"/>
  <c r="O729" i="1" s="1"/>
  <c r="P729" i="1" s="1"/>
  <c r="N730" i="1"/>
  <c r="O730" i="1" s="1"/>
  <c r="P730" i="1" s="1"/>
  <c r="N731" i="1"/>
  <c r="O731" i="1" s="1"/>
  <c r="P731" i="1" s="1"/>
  <c r="N732" i="1"/>
  <c r="O732" i="1" s="1"/>
  <c r="P732" i="1" s="1"/>
  <c r="N733" i="1"/>
  <c r="O733" i="1" s="1"/>
  <c r="P733" i="1" s="1"/>
  <c r="N734" i="1"/>
  <c r="O734" i="1" s="1"/>
  <c r="P734" i="1" s="1"/>
  <c r="N735" i="1"/>
  <c r="O735" i="1" s="1"/>
  <c r="P735" i="1" s="1"/>
  <c r="N736" i="1"/>
  <c r="O736" i="1" s="1"/>
  <c r="P736" i="1" s="1"/>
  <c r="N737" i="1"/>
  <c r="O737" i="1" s="1"/>
  <c r="P737" i="1" s="1"/>
  <c r="N738" i="1"/>
  <c r="O738" i="1" s="1"/>
  <c r="P738" i="1" s="1"/>
  <c r="N739" i="1"/>
  <c r="O739" i="1" s="1"/>
  <c r="P739" i="1" s="1"/>
  <c r="N740" i="1"/>
  <c r="O740" i="1" s="1"/>
  <c r="P740" i="1" s="1"/>
  <c r="N741" i="1"/>
  <c r="O741" i="1" s="1"/>
  <c r="P741" i="1" s="1"/>
  <c r="N742" i="1"/>
  <c r="O742" i="1" s="1"/>
  <c r="P742" i="1" s="1"/>
  <c r="N743" i="1"/>
  <c r="O743" i="1" s="1"/>
  <c r="P743" i="1" s="1"/>
  <c r="N744" i="1"/>
  <c r="O744" i="1" s="1"/>
  <c r="P744" i="1" s="1"/>
  <c r="N745" i="1"/>
  <c r="O745" i="1" s="1"/>
  <c r="P745" i="1" s="1"/>
  <c r="N746" i="1"/>
  <c r="O746" i="1" s="1"/>
  <c r="P746" i="1" s="1"/>
  <c r="N747" i="1"/>
  <c r="O747" i="1" s="1"/>
  <c r="P747" i="1" s="1"/>
  <c r="N748" i="1"/>
  <c r="O748" i="1" s="1"/>
  <c r="P748" i="1" s="1"/>
  <c r="N749" i="1"/>
  <c r="O749" i="1" s="1"/>
  <c r="P749" i="1" s="1"/>
  <c r="N750" i="1"/>
  <c r="O750" i="1" s="1"/>
  <c r="P750" i="1" s="1"/>
  <c r="N751" i="1"/>
  <c r="O751" i="1" s="1"/>
  <c r="P751" i="1" s="1"/>
  <c r="N752" i="1"/>
  <c r="O752" i="1" s="1"/>
  <c r="P752" i="1" s="1"/>
  <c r="N753" i="1"/>
  <c r="O753" i="1" s="1"/>
  <c r="P753" i="1" s="1"/>
  <c r="N754" i="1"/>
  <c r="O754" i="1" s="1"/>
  <c r="P754" i="1" s="1"/>
  <c r="N755" i="1"/>
  <c r="O755" i="1" s="1"/>
  <c r="P755" i="1" s="1"/>
  <c r="N756" i="1"/>
  <c r="O756" i="1" s="1"/>
  <c r="P756" i="1" s="1"/>
  <c r="N757" i="1"/>
  <c r="O757" i="1" s="1"/>
  <c r="P757" i="1" s="1"/>
  <c r="N758" i="1"/>
  <c r="O758" i="1" s="1"/>
  <c r="P758" i="1" s="1"/>
  <c r="N759" i="1"/>
  <c r="O759" i="1" s="1"/>
  <c r="P759" i="1" s="1"/>
  <c r="N760" i="1"/>
  <c r="O760" i="1" s="1"/>
  <c r="P760" i="1" s="1"/>
  <c r="N761" i="1"/>
  <c r="O761" i="1" s="1"/>
  <c r="P761" i="1" s="1"/>
  <c r="N762" i="1"/>
  <c r="O762" i="1" s="1"/>
  <c r="P762" i="1" s="1"/>
  <c r="N763" i="1"/>
  <c r="O763" i="1" s="1"/>
  <c r="P763" i="1" s="1"/>
  <c r="N764" i="1"/>
  <c r="O764" i="1" s="1"/>
  <c r="P764" i="1" s="1"/>
  <c r="N765" i="1"/>
  <c r="O765" i="1" s="1"/>
  <c r="P765" i="1" s="1"/>
  <c r="N766" i="1"/>
  <c r="O766" i="1" s="1"/>
  <c r="P766" i="1" s="1"/>
  <c r="N767" i="1"/>
  <c r="O767" i="1" s="1"/>
  <c r="P767" i="1" s="1"/>
  <c r="N768" i="1"/>
  <c r="O768" i="1" s="1"/>
  <c r="P768" i="1" s="1"/>
  <c r="N769" i="1"/>
  <c r="O769" i="1" s="1"/>
  <c r="P769" i="1" s="1"/>
  <c r="N770" i="1"/>
  <c r="O770" i="1" s="1"/>
  <c r="P770" i="1" s="1"/>
  <c r="N771" i="1"/>
  <c r="O771" i="1" s="1"/>
  <c r="P771" i="1" s="1"/>
  <c r="N772" i="1"/>
  <c r="O772" i="1" s="1"/>
  <c r="P772" i="1" s="1"/>
  <c r="N773" i="1"/>
  <c r="O773" i="1" s="1"/>
  <c r="P773" i="1" s="1"/>
  <c r="N774" i="1"/>
  <c r="O774" i="1" s="1"/>
  <c r="P774" i="1" s="1"/>
  <c r="N775" i="1"/>
  <c r="O775" i="1" s="1"/>
  <c r="P775" i="1" s="1"/>
  <c r="N776" i="1"/>
  <c r="O776" i="1" s="1"/>
  <c r="P776" i="1" s="1"/>
  <c r="N777" i="1"/>
  <c r="O777" i="1" s="1"/>
  <c r="P777" i="1" s="1"/>
  <c r="N778" i="1"/>
  <c r="O778" i="1" s="1"/>
  <c r="P778" i="1" s="1"/>
  <c r="N779" i="1"/>
  <c r="O779" i="1" s="1"/>
  <c r="P779" i="1" s="1"/>
  <c r="N780" i="1"/>
  <c r="O780" i="1" s="1"/>
  <c r="P780" i="1" s="1"/>
  <c r="N781" i="1"/>
  <c r="O781" i="1" s="1"/>
  <c r="P781" i="1" s="1"/>
  <c r="N782" i="1"/>
  <c r="O782" i="1" s="1"/>
  <c r="P782" i="1" s="1"/>
  <c r="N783" i="1"/>
  <c r="O783" i="1" s="1"/>
  <c r="P783" i="1" s="1"/>
  <c r="N784" i="1"/>
  <c r="O784" i="1" s="1"/>
  <c r="P784" i="1" s="1"/>
  <c r="N785" i="1"/>
  <c r="O785" i="1" s="1"/>
  <c r="P785" i="1" s="1"/>
  <c r="N786" i="1"/>
  <c r="O786" i="1" s="1"/>
  <c r="P786" i="1" s="1"/>
  <c r="N787" i="1"/>
  <c r="O787" i="1" s="1"/>
  <c r="P787" i="1" s="1"/>
  <c r="N788" i="1"/>
  <c r="O788" i="1" s="1"/>
  <c r="P788" i="1" s="1"/>
  <c r="N789" i="1"/>
  <c r="O789" i="1" s="1"/>
  <c r="P789" i="1" s="1"/>
  <c r="N790" i="1"/>
  <c r="O790" i="1" s="1"/>
  <c r="P790" i="1" s="1"/>
  <c r="N791" i="1"/>
  <c r="O791" i="1" s="1"/>
  <c r="P791" i="1" s="1"/>
  <c r="N792" i="1"/>
  <c r="O792" i="1" s="1"/>
  <c r="P792" i="1" s="1"/>
  <c r="N793" i="1"/>
  <c r="O793" i="1" s="1"/>
  <c r="P793" i="1" s="1"/>
  <c r="N794" i="1"/>
  <c r="O794" i="1" s="1"/>
  <c r="P794" i="1" s="1"/>
  <c r="N795" i="1"/>
  <c r="O795" i="1" s="1"/>
  <c r="P795" i="1" s="1"/>
  <c r="N796" i="1"/>
  <c r="O796" i="1" s="1"/>
  <c r="P796" i="1" s="1"/>
  <c r="N797" i="1"/>
  <c r="O797" i="1" s="1"/>
  <c r="P797" i="1" s="1"/>
  <c r="N798" i="1"/>
  <c r="O798" i="1" s="1"/>
  <c r="P798" i="1" s="1"/>
  <c r="N799" i="1"/>
  <c r="O799" i="1" s="1"/>
  <c r="P799" i="1" s="1"/>
  <c r="N800" i="1"/>
  <c r="O800" i="1" s="1"/>
  <c r="P800" i="1" s="1"/>
  <c r="N801" i="1"/>
  <c r="O801" i="1" s="1"/>
  <c r="P801" i="1" s="1"/>
  <c r="N802" i="1"/>
  <c r="O802" i="1" s="1"/>
  <c r="P802" i="1" s="1"/>
  <c r="N803" i="1"/>
  <c r="O803" i="1" s="1"/>
  <c r="P803" i="1" s="1"/>
  <c r="N804" i="1"/>
  <c r="O804" i="1" s="1"/>
  <c r="P804" i="1" s="1"/>
  <c r="N805" i="1"/>
  <c r="O805" i="1" s="1"/>
  <c r="P805" i="1" s="1"/>
  <c r="N806" i="1"/>
  <c r="O806" i="1" s="1"/>
  <c r="P806" i="1" s="1"/>
  <c r="N807" i="1"/>
  <c r="O807" i="1" s="1"/>
  <c r="P807" i="1" s="1"/>
  <c r="N808" i="1"/>
  <c r="O808" i="1" s="1"/>
  <c r="P808" i="1" s="1"/>
  <c r="N809" i="1"/>
  <c r="O809" i="1" s="1"/>
  <c r="P809" i="1" s="1"/>
  <c r="N810" i="1"/>
  <c r="O810" i="1" s="1"/>
  <c r="P810" i="1" s="1"/>
  <c r="N811" i="1"/>
  <c r="O811" i="1" s="1"/>
  <c r="P811" i="1" s="1"/>
  <c r="N812" i="1"/>
  <c r="O812" i="1" s="1"/>
  <c r="P812" i="1" s="1"/>
  <c r="N813" i="1"/>
  <c r="O813" i="1" s="1"/>
  <c r="P813" i="1" s="1"/>
  <c r="N814" i="1"/>
  <c r="O814" i="1" s="1"/>
  <c r="P814" i="1" s="1"/>
  <c r="N815" i="1"/>
  <c r="O815" i="1" s="1"/>
  <c r="P815" i="1" s="1"/>
  <c r="N816" i="1"/>
  <c r="O816" i="1" s="1"/>
  <c r="P816" i="1" s="1"/>
  <c r="N817" i="1"/>
  <c r="O817" i="1" s="1"/>
  <c r="P817" i="1" s="1"/>
  <c r="N818" i="1"/>
  <c r="O818" i="1" s="1"/>
  <c r="P818" i="1" s="1"/>
  <c r="N819" i="1"/>
  <c r="O819" i="1" s="1"/>
  <c r="P819" i="1" s="1"/>
  <c r="N820" i="1"/>
  <c r="O820" i="1" s="1"/>
  <c r="P820" i="1" s="1"/>
  <c r="N821" i="1"/>
  <c r="O821" i="1" s="1"/>
  <c r="P821" i="1" s="1"/>
  <c r="N822" i="1"/>
  <c r="O822" i="1" s="1"/>
  <c r="P822" i="1" s="1"/>
  <c r="N823" i="1"/>
  <c r="O823" i="1" s="1"/>
  <c r="P823" i="1" s="1"/>
  <c r="N824" i="1"/>
  <c r="O824" i="1" s="1"/>
  <c r="P824" i="1" s="1"/>
  <c r="N825" i="1"/>
  <c r="O825" i="1" s="1"/>
  <c r="P825" i="1" s="1"/>
  <c r="N826" i="1"/>
  <c r="O826" i="1" s="1"/>
  <c r="P826" i="1" s="1"/>
  <c r="N827" i="1"/>
  <c r="O827" i="1" s="1"/>
  <c r="P827" i="1" s="1"/>
  <c r="N828" i="1"/>
  <c r="O828" i="1" s="1"/>
  <c r="P828" i="1" s="1"/>
  <c r="N829" i="1"/>
  <c r="O829" i="1" s="1"/>
  <c r="P829" i="1" s="1"/>
  <c r="N830" i="1"/>
  <c r="O830" i="1" s="1"/>
  <c r="P830" i="1" s="1"/>
  <c r="N831" i="1"/>
  <c r="O831" i="1" s="1"/>
  <c r="P831" i="1" s="1"/>
  <c r="N832" i="1"/>
  <c r="O832" i="1" s="1"/>
  <c r="P832" i="1" s="1"/>
  <c r="N833" i="1"/>
  <c r="O833" i="1" s="1"/>
  <c r="P833" i="1" s="1"/>
  <c r="N834" i="1"/>
  <c r="O834" i="1" s="1"/>
  <c r="P834" i="1" s="1"/>
  <c r="N835" i="1"/>
  <c r="O835" i="1" s="1"/>
  <c r="P835" i="1" s="1"/>
  <c r="N836" i="1"/>
  <c r="O836" i="1" s="1"/>
  <c r="P836" i="1" s="1"/>
  <c r="N837" i="1"/>
  <c r="O837" i="1" s="1"/>
  <c r="P837" i="1" s="1"/>
  <c r="N838" i="1"/>
  <c r="O838" i="1" s="1"/>
  <c r="P838" i="1" s="1"/>
  <c r="N839" i="1"/>
  <c r="O839" i="1" s="1"/>
  <c r="P839" i="1" s="1"/>
  <c r="N840" i="1"/>
  <c r="O840" i="1" s="1"/>
  <c r="P840" i="1" s="1"/>
  <c r="N841" i="1"/>
  <c r="O841" i="1" s="1"/>
  <c r="P841" i="1" s="1"/>
  <c r="N842" i="1"/>
  <c r="O842" i="1" s="1"/>
  <c r="P842" i="1" s="1"/>
  <c r="N843" i="1"/>
  <c r="O843" i="1" s="1"/>
  <c r="P843" i="1" s="1"/>
  <c r="N844" i="1"/>
  <c r="O844" i="1" s="1"/>
  <c r="P844" i="1" s="1"/>
  <c r="N845" i="1"/>
  <c r="O845" i="1" s="1"/>
  <c r="P845" i="1" s="1"/>
  <c r="N846" i="1"/>
  <c r="O846" i="1" s="1"/>
  <c r="P846" i="1" s="1"/>
  <c r="N847" i="1"/>
  <c r="O847" i="1" s="1"/>
  <c r="P847" i="1" s="1"/>
  <c r="N848" i="1"/>
  <c r="O848" i="1" s="1"/>
  <c r="P848" i="1" s="1"/>
  <c r="N849" i="1"/>
  <c r="O849" i="1" s="1"/>
  <c r="P849" i="1" s="1"/>
  <c r="N850" i="1"/>
  <c r="O850" i="1" s="1"/>
  <c r="P850" i="1" s="1"/>
  <c r="N851" i="1"/>
  <c r="O851" i="1" s="1"/>
  <c r="P851" i="1" s="1"/>
  <c r="N852" i="1"/>
  <c r="O852" i="1" s="1"/>
  <c r="P852" i="1" s="1"/>
  <c r="N853" i="1"/>
  <c r="O853" i="1" s="1"/>
  <c r="P853" i="1" s="1"/>
  <c r="N854" i="1"/>
  <c r="O854" i="1" s="1"/>
  <c r="P854" i="1" s="1"/>
  <c r="N855" i="1"/>
  <c r="O855" i="1" s="1"/>
  <c r="P855" i="1" s="1"/>
  <c r="N856" i="1"/>
  <c r="O856" i="1" s="1"/>
  <c r="P856" i="1" s="1"/>
  <c r="N857" i="1"/>
  <c r="O857" i="1" s="1"/>
  <c r="P857" i="1" s="1"/>
  <c r="N858" i="1"/>
  <c r="O858" i="1" s="1"/>
  <c r="P858" i="1" s="1"/>
  <c r="N859" i="1"/>
  <c r="O859" i="1" s="1"/>
  <c r="P859" i="1" s="1"/>
  <c r="N860" i="1"/>
  <c r="O860" i="1" s="1"/>
  <c r="P860" i="1" s="1"/>
  <c r="N861" i="1"/>
  <c r="O861" i="1" s="1"/>
  <c r="P861" i="1" s="1"/>
  <c r="N862" i="1"/>
  <c r="O862" i="1" s="1"/>
  <c r="P862" i="1" s="1"/>
  <c r="N863" i="1"/>
  <c r="O863" i="1" s="1"/>
  <c r="P863" i="1" s="1"/>
  <c r="N864" i="1"/>
  <c r="O864" i="1" s="1"/>
  <c r="P864" i="1" s="1"/>
  <c r="N865" i="1"/>
  <c r="O865" i="1" s="1"/>
  <c r="P865" i="1" s="1"/>
  <c r="N866" i="1"/>
  <c r="O866" i="1" s="1"/>
  <c r="P866" i="1" s="1"/>
  <c r="N867" i="1"/>
  <c r="O867" i="1" s="1"/>
  <c r="P867" i="1" s="1"/>
  <c r="N868" i="1"/>
  <c r="O868" i="1" s="1"/>
  <c r="P868" i="1" s="1"/>
  <c r="N869" i="1"/>
  <c r="O869" i="1" s="1"/>
  <c r="P869" i="1" s="1"/>
  <c r="N870" i="1"/>
  <c r="O870" i="1" s="1"/>
  <c r="P870" i="1" s="1"/>
  <c r="N871" i="1"/>
  <c r="O871" i="1" s="1"/>
  <c r="P871" i="1" s="1"/>
  <c r="N872" i="1"/>
  <c r="O872" i="1" s="1"/>
  <c r="P872" i="1" s="1"/>
  <c r="N873" i="1"/>
  <c r="O873" i="1" s="1"/>
  <c r="P873" i="1" s="1"/>
  <c r="N874" i="1"/>
  <c r="O874" i="1" s="1"/>
  <c r="P874" i="1" s="1"/>
  <c r="N875" i="1"/>
  <c r="O875" i="1" s="1"/>
  <c r="P875" i="1" s="1"/>
  <c r="N876" i="1"/>
  <c r="O876" i="1" s="1"/>
  <c r="P876" i="1" s="1"/>
  <c r="N877" i="1"/>
  <c r="O877" i="1" s="1"/>
  <c r="P877" i="1" s="1"/>
  <c r="N878" i="1"/>
  <c r="O878" i="1" s="1"/>
  <c r="P878" i="1" s="1"/>
  <c r="N879" i="1"/>
  <c r="O879" i="1" s="1"/>
  <c r="P879" i="1" s="1"/>
  <c r="N880" i="1"/>
  <c r="O880" i="1" s="1"/>
  <c r="P880" i="1" s="1"/>
  <c r="N881" i="1"/>
  <c r="O881" i="1" s="1"/>
  <c r="P881" i="1" s="1"/>
  <c r="N882" i="1"/>
  <c r="O882" i="1" s="1"/>
  <c r="P882" i="1" s="1"/>
  <c r="N883" i="1"/>
  <c r="O883" i="1" s="1"/>
  <c r="P883" i="1" s="1"/>
  <c r="N884" i="1"/>
  <c r="O884" i="1" s="1"/>
  <c r="P884" i="1" s="1"/>
  <c r="N885" i="1"/>
  <c r="O885" i="1" s="1"/>
  <c r="P885" i="1" s="1"/>
  <c r="N886" i="1"/>
  <c r="O886" i="1" s="1"/>
  <c r="P886" i="1" s="1"/>
  <c r="N887" i="1"/>
  <c r="O887" i="1" s="1"/>
  <c r="P887" i="1" s="1"/>
  <c r="N888" i="1"/>
  <c r="O888" i="1" s="1"/>
  <c r="P888" i="1" s="1"/>
  <c r="N889" i="1"/>
  <c r="O889" i="1" s="1"/>
  <c r="P889" i="1" s="1"/>
  <c r="N890" i="1"/>
  <c r="O890" i="1" s="1"/>
  <c r="P890" i="1" s="1"/>
  <c r="N891" i="1"/>
  <c r="O891" i="1" s="1"/>
  <c r="P891" i="1" s="1"/>
  <c r="N892" i="1"/>
  <c r="O892" i="1" s="1"/>
  <c r="P892" i="1" s="1"/>
  <c r="N893" i="1"/>
  <c r="O893" i="1" s="1"/>
  <c r="P893" i="1" s="1"/>
  <c r="N894" i="1"/>
  <c r="O894" i="1" s="1"/>
  <c r="P894" i="1" s="1"/>
  <c r="N895" i="1"/>
  <c r="O895" i="1" s="1"/>
  <c r="P895" i="1" s="1"/>
  <c r="N896" i="1"/>
  <c r="O896" i="1" s="1"/>
  <c r="P896" i="1" s="1"/>
  <c r="N897" i="1"/>
  <c r="O897" i="1" s="1"/>
  <c r="P897" i="1" s="1"/>
  <c r="N898" i="1"/>
  <c r="O898" i="1" s="1"/>
  <c r="P898" i="1" s="1"/>
  <c r="N899" i="1"/>
  <c r="O899" i="1" s="1"/>
  <c r="P899" i="1" s="1"/>
  <c r="N900" i="1"/>
  <c r="O900" i="1" s="1"/>
  <c r="P900" i="1" s="1"/>
  <c r="N901" i="1"/>
  <c r="O901" i="1" s="1"/>
  <c r="P901" i="1" s="1"/>
  <c r="N902" i="1"/>
  <c r="O902" i="1" s="1"/>
  <c r="P902" i="1" s="1"/>
  <c r="N903" i="1"/>
  <c r="O903" i="1" s="1"/>
  <c r="P903" i="1" s="1"/>
  <c r="N904" i="1"/>
  <c r="O904" i="1" s="1"/>
  <c r="P904" i="1" s="1"/>
  <c r="N905" i="1"/>
  <c r="O905" i="1" s="1"/>
  <c r="P905" i="1" s="1"/>
  <c r="N906" i="1"/>
  <c r="O906" i="1" s="1"/>
  <c r="P906" i="1" s="1"/>
  <c r="N907" i="1"/>
  <c r="O907" i="1" s="1"/>
  <c r="P907" i="1" s="1"/>
  <c r="N908" i="1"/>
  <c r="O908" i="1" s="1"/>
  <c r="P908" i="1" s="1"/>
  <c r="N909" i="1"/>
  <c r="O909" i="1" s="1"/>
  <c r="P909" i="1" s="1"/>
  <c r="N910" i="1"/>
  <c r="O910" i="1" s="1"/>
  <c r="P910" i="1" s="1"/>
  <c r="N911" i="1"/>
  <c r="O911" i="1" s="1"/>
  <c r="P911" i="1" s="1"/>
  <c r="N912" i="1"/>
  <c r="O912" i="1" s="1"/>
  <c r="P912" i="1" s="1"/>
  <c r="N913" i="1"/>
  <c r="O913" i="1" s="1"/>
  <c r="P913" i="1" s="1"/>
  <c r="N914" i="1"/>
  <c r="O914" i="1" s="1"/>
  <c r="P914" i="1" s="1"/>
  <c r="N915" i="1"/>
  <c r="O915" i="1" s="1"/>
  <c r="P915" i="1" s="1"/>
  <c r="N916" i="1"/>
  <c r="O916" i="1" s="1"/>
  <c r="P916" i="1" s="1"/>
  <c r="N917" i="1"/>
  <c r="O917" i="1" s="1"/>
  <c r="P917" i="1" s="1"/>
  <c r="N918" i="1"/>
  <c r="O918" i="1" s="1"/>
  <c r="P918" i="1" s="1"/>
  <c r="N919" i="1"/>
  <c r="O919" i="1" s="1"/>
  <c r="P919" i="1" s="1"/>
  <c r="N920" i="1"/>
  <c r="O920" i="1" s="1"/>
  <c r="P920" i="1" s="1"/>
  <c r="N921" i="1"/>
  <c r="O921" i="1" s="1"/>
  <c r="P921" i="1" s="1"/>
  <c r="N922" i="1"/>
  <c r="O922" i="1" s="1"/>
  <c r="P922" i="1" s="1"/>
  <c r="N923" i="1"/>
  <c r="O923" i="1" s="1"/>
  <c r="P923" i="1" s="1"/>
  <c r="N924" i="1"/>
  <c r="O924" i="1" s="1"/>
  <c r="P924" i="1" s="1"/>
  <c r="N925" i="1"/>
  <c r="O925" i="1" s="1"/>
  <c r="P925" i="1" s="1"/>
  <c r="N926" i="1"/>
  <c r="O926" i="1" s="1"/>
  <c r="P926" i="1" s="1"/>
  <c r="N927" i="1"/>
  <c r="O927" i="1" s="1"/>
  <c r="P927" i="1" s="1"/>
  <c r="N928" i="1"/>
  <c r="O928" i="1" s="1"/>
  <c r="P928" i="1" s="1"/>
  <c r="N929" i="1"/>
  <c r="O929" i="1" s="1"/>
  <c r="P929" i="1" s="1"/>
  <c r="N930" i="1"/>
  <c r="O930" i="1" s="1"/>
  <c r="P930" i="1" s="1"/>
  <c r="N931" i="1"/>
  <c r="O931" i="1" s="1"/>
  <c r="P931" i="1" s="1"/>
  <c r="N932" i="1"/>
  <c r="O932" i="1" s="1"/>
  <c r="P932" i="1" s="1"/>
  <c r="N933" i="1"/>
  <c r="O933" i="1" s="1"/>
  <c r="P933" i="1" s="1"/>
  <c r="N934" i="1"/>
  <c r="O934" i="1" s="1"/>
  <c r="P934" i="1" s="1"/>
  <c r="N935" i="1"/>
  <c r="O935" i="1" s="1"/>
  <c r="P935" i="1" s="1"/>
  <c r="N936" i="1"/>
  <c r="O936" i="1" s="1"/>
  <c r="P936" i="1" s="1"/>
  <c r="N937" i="1"/>
  <c r="O937" i="1" s="1"/>
  <c r="P937" i="1" s="1"/>
  <c r="N938" i="1"/>
  <c r="O938" i="1" s="1"/>
  <c r="P938" i="1" s="1"/>
  <c r="N939" i="1"/>
  <c r="O939" i="1" s="1"/>
  <c r="P939" i="1" s="1"/>
  <c r="N940" i="1"/>
  <c r="O940" i="1" s="1"/>
  <c r="P940" i="1" s="1"/>
  <c r="N941" i="1"/>
  <c r="O941" i="1" s="1"/>
  <c r="P941" i="1" s="1"/>
  <c r="N942" i="1"/>
  <c r="O942" i="1" s="1"/>
  <c r="P942" i="1" s="1"/>
  <c r="N943" i="1"/>
  <c r="O943" i="1" s="1"/>
  <c r="P943" i="1" s="1"/>
  <c r="N944" i="1"/>
  <c r="O944" i="1" s="1"/>
  <c r="P944" i="1" s="1"/>
  <c r="N945" i="1"/>
  <c r="O945" i="1" s="1"/>
  <c r="P945" i="1" s="1"/>
  <c r="N946" i="1"/>
  <c r="O946" i="1" s="1"/>
  <c r="P946" i="1" s="1"/>
  <c r="N947" i="1"/>
  <c r="O947" i="1" s="1"/>
  <c r="P947" i="1" s="1"/>
  <c r="N948" i="1"/>
  <c r="O948" i="1" s="1"/>
  <c r="P948" i="1" s="1"/>
  <c r="N949" i="1"/>
  <c r="O949" i="1" s="1"/>
  <c r="P949" i="1" s="1"/>
  <c r="N950" i="1"/>
  <c r="O950" i="1" s="1"/>
  <c r="P950" i="1" s="1"/>
  <c r="N951" i="1"/>
  <c r="O951" i="1" s="1"/>
  <c r="P951" i="1" s="1"/>
  <c r="N952" i="1"/>
  <c r="O952" i="1" s="1"/>
  <c r="P952" i="1" s="1"/>
  <c r="N953" i="1"/>
  <c r="O953" i="1" s="1"/>
  <c r="P953" i="1" s="1"/>
  <c r="N954" i="1"/>
  <c r="O954" i="1" s="1"/>
  <c r="P954" i="1" s="1"/>
  <c r="N955" i="1"/>
  <c r="O955" i="1" s="1"/>
  <c r="P955" i="1" s="1"/>
  <c r="N956" i="1"/>
  <c r="O956" i="1" s="1"/>
  <c r="P956" i="1" s="1"/>
  <c r="N957" i="1"/>
  <c r="O957" i="1" s="1"/>
  <c r="P957" i="1" s="1"/>
  <c r="N958" i="1"/>
  <c r="O958" i="1" s="1"/>
  <c r="P958" i="1" s="1"/>
  <c r="N959" i="1"/>
  <c r="O959" i="1" s="1"/>
  <c r="P959" i="1" s="1"/>
  <c r="N960" i="1"/>
  <c r="O960" i="1" s="1"/>
  <c r="P960" i="1" s="1"/>
  <c r="N961" i="1"/>
  <c r="O961" i="1" s="1"/>
  <c r="P961" i="1" s="1"/>
  <c r="N962" i="1"/>
  <c r="O962" i="1" s="1"/>
  <c r="P962" i="1" s="1"/>
  <c r="N963" i="1"/>
  <c r="O963" i="1" s="1"/>
  <c r="P963" i="1" s="1"/>
  <c r="N964" i="1"/>
  <c r="O964" i="1" s="1"/>
  <c r="P964" i="1" s="1"/>
  <c r="N965" i="1"/>
  <c r="O965" i="1" s="1"/>
  <c r="P965" i="1" s="1"/>
  <c r="N966" i="1"/>
  <c r="O966" i="1" s="1"/>
  <c r="P966" i="1" s="1"/>
  <c r="N967" i="1"/>
  <c r="O967" i="1" s="1"/>
  <c r="P967" i="1" s="1"/>
  <c r="N968" i="1"/>
  <c r="O968" i="1" s="1"/>
  <c r="P968" i="1" s="1"/>
  <c r="N969" i="1"/>
  <c r="O969" i="1" s="1"/>
  <c r="P969" i="1" s="1"/>
  <c r="N970" i="1"/>
  <c r="O970" i="1" s="1"/>
  <c r="P970" i="1" s="1"/>
  <c r="N971" i="1"/>
  <c r="O971" i="1" s="1"/>
  <c r="P971" i="1" s="1"/>
  <c r="N972" i="1"/>
  <c r="O972" i="1" s="1"/>
  <c r="P972" i="1" s="1"/>
  <c r="N973" i="1"/>
  <c r="O973" i="1" s="1"/>
  <c r="P973" i="1" s="1"/>
  <c r="N974" i="1"/>
  <c r="O974" i="1" s="1"/>
  <c r="P974" i="1" s="1"/>
  <c r="N975" i="1"/>
  <c r="O975" i="1" s="1"/>
  <c r="P975" i="1" s="1"/>
  <c r="N976" i="1"/>
  <c r="O976" i="1" s="1"/>
  <c r="P976" i="1" s="1"/>
  <c r="N977" i="1"/>
  <c r="O977" i="1" s="1"/>
  <c r="P977" i="1" s="1"/>
  <c r="N978" i="1"/>
  <c r="O978" i="1" s="1"/>
  <c r="P978" i="1" s="1"/>
  <c r="N979" i="1"/>
  <c r="O979" i="1" s="1"/>
  <c r="P979" i="1" s="1"/>
  <c r="N980" i="1"/>
  <c r="O980" i="1" s="1"/>
  <c r="P980" i="1" s="1"/>
  <c r="N981" i="1"/>
  <c r="O981" i="1" s="1"/>
  <c r="P981" i="1" s="1"/>
  <c r="N982" i="1"/>
  <c r="O982" i="1" s="1"/>
  <c r="P982" i="1" s="1"/>
  <c r="N983" i="1"/>
  <c r="O983" i="1" s="1"/>
  <c r="P983" i="1" s="1"/>
  <c r="N984" i="1"/>
  <c r="O984" i="1" s="1"/>
  <c r="P984" i="1" s="1"/>
  <c r="N985" i="1"/>
  <c r="O985" i="1" s="1"/>
  <c r="P985" i="1" s="1"/>
  <c r="N986" i="1"/>
  <c r="O986" i="1" s="1"/>
  <c r="P986" i="1" s="1"/>
  <c r="N987" i="1"/>
  <c r="O987" i="1" s="1"/>
  <c r="P987" i="1" s="1"/>
  <c r="N988" i="1"/>
  <c r="O988" i="1" s="1"/>
  <c r="P988" i="1" s="1"/>
  <c r="N989" i="1"/>
  <c r="O989" i="1" s="1"/>
  <c r="P989" i="1" s="1"/>
  <c r="N990" i="1"/>
  <c r="O990" i="1" s="1"/>
  <c r="P990" i="1" s="1"/>
  <c r="N991" i="1"/>
  <c r="O991" i="1" s="1"/>
  <c r="P991" i="1" s="1"/>
  <c r="N992" i="1"/>
  <c r="O992" i="1" s="1"/>
  <c r="P992" i="1" s="1"/>
  <c r="N993" i="1"/>
  <c r="O993" i="1" s="1"/>
  <c r="P993" i="1" s="1"/>
  <c r="N994" i="1"/>
  <c r="O994" i="1" s="1"/>
  <c r="P994" i="1" s="1"/>
  <c r="N995" i="1"/>
  <c r="O995" i="1" s="1"/>
  <c r="P995" i="1" s="1"/>
  <c r="N996" i="1"/>
  <c r="O996" i="1" s="1"/>
  <c r="P996" i="1" s="1"/>
  <c r="N997" i="1"/>
  <c r="O997" i="1" s="1"/>
  <c r="P997" i="1" s="1"/>
  <c r="N998" i="1"/>
  <c r="O998" i="1" s="1"/>
  <c r="P998" i="1" s="1"/>
  <c r="N999" i="1"/>
  <c r="O999" i="1" s="1"/>
  <c r="P999" i="1" s="1"/>
  <c r="N1000" i="1"/>
  <c r="O1000" i="1" s="1"/>
  <c r="P1000" i="1" s="1"/>
  <c r="N1001" i="1"/>
  <c r="O1001" i="1" s="1"/>
  <c r="P1001" i="1" s="1"/>
  <c r="M1004" i="1"/>
  <c r="S1004" i="1"/>
  <c r="K1004" i="1"/>
  <c r="J1004" i="1"/>
  <c r="I1004" i="1"/>
  <c r="H1004" i="1"/>
  <c r="E8" i="1"/>
  <c r="C8" i="5" s="1"/>
  <c r="E2" i="1"/>
  <c r="C2" i="5" s="1"/>
  <c r="E3" i="1"/>
  <c r="C3" i="5" s="1"/>
  <c r="E4" i="1"/>
  <c r="C4" i="5" s="1"/>
  <c r="E5" i="1"/>
  <c r="C5" i="5" s="1"/>
  <c r="E6" i="1"/>
  <c r="C6" i="5" s="1"/>
  <c r="E7" i="1"/>
  <c r="C7" i="5" s="1"/>
  <c r="E9" i="1"/>
  <c r="C9" i="5" s="1"/>
  <c r="E10" i="1"/>
  <c r="C10" i="5" s="1"/>
  <c r="E11" i="1"/>
  <c r="C11" i="5" s="1"/>
  <c r="E12" i="1"/>
  <c r="C12" i="5" s="1"/>
  <c r="E13" i="1"/>
  <c r="C13" i="5" s="1"/>
  <c r="E14" i="1"/>
  <c r="C14" i="5" s="1"/>
  <c r="E15" i="1"/>
  <c r="C15" i="5" s="1"/>
  <c r="E16" i="1"/>
  <c r="C16" i="5" s="1"/>
  <c r="E17" i="1"/>
  <c r="C17" i="5" s="1"/>
  <c r="E18" i="1"/>
  <c r="C18" i="5" s="1"/>
  <c r="E19" i="1"/>
  <c r="C19" i="5" s="1"/>
  <c r="E20" i="1"/>
  <c r="C20" i="5" s="1"/>
  <c r="E21" i="1"/>
  <c r="C21" i="5" s="1"/>
  <c r="E22" i="1"/>
  <c r="C22" i="5" s="1"/>
  <c r="E23" i="1"/>
  <c r="C23" i="5" s="1"/>
  <c r="E24" i="1"/>
  <c r="C24" i="5" s="1"/>
  <c r="E25" i="1"/>
  <c r="C25" i="5" s="1"/>
  <c r="E26" i="1"/>
  <c r="C26" i="5" s="1"/>
  <c r="E27" i="1"/>
  <c r="C27" i="5" s="1"/>
  <c r="E28" i="1"/>
  <c r="C28" i="5" s="1"/>
  <c r="E29" i="1"/>
  <c r="C29" i="5" s="1"/>
  <c r="E30" i="1"/>
  <c r="C30" i="5" s="1"/>
  <c r="E31" i="1"/>
  <c r="C31" i="5" s="1"/>
  <c r="E32" i="1"/>
  <c r="C32" i="5" s="1"/>
  <c r="E33" i="1"/>
  <c r="C33" i="5" s="1"/>
  <c r="E34" i="1"/>
  <c r="C34" i="5" s="1"/>
  <c r="E35" i="1"/>
  <c r="C35" i="5" s="1"/>
  <c r="E36" i="1"/>
  <c r="C36" i="5" s="1"/>
  <c r="E37" i="1"/>
  <c r="C37" i="5" s="1"/>
  <c r="E38" i="1"/>
  <c r="C38" i="5" s="1"/>
  <c r="E39" i="1"/>
  <c r="C39" i="5" s="1"/>
  <c r="E40" i="1"/>
  <c r="C40" i="5" s="1"/>
  <c r="E41" i="1"/>
  <c r="C41" i="5" s="1"/>
  <c r="E42" i="1"/>
  <c r="C42" i="5" s="1"/>
  <c r="E43" i="1"/>
  <c r="C43" i="5" s="1"/>
  <c r="E44" i="1"/>
  <c r="C44" i="5" s="1"/>
  <c r="E45" i="1"/>
  <c r="C45" i="5" s="1"/>
  <c r="E46" i="1"/>
  <c r="C46" i="5" s="1"/>
  <c r="E47" i="1"/>
  <c r="C47" i="5" s="1"/>
  <c r="E48" i="1"/>
  <c r="C48" i="5" s="1"/>
  <c r="E49" i="1"/>
  <c r="C49" i="5" s="1"/>
  <c r="E50" i="1"/>
  <c r="C50" i="5" s="1"/>
  <c r="E51" i="1"/>
  <c r="C51" i="5" s="1"/>
  <c r="E52" i="1"/>
  <c r="C52" i="5" s="1"/>
  <c r="E53" i="1"/>
  <c r="C53" i="5" s="1"/>
  <c r="E54" i="1"/>
  <c r="C54" i="5" s="1"/>
  <c r="E55" i="1"/>
  <c r="C55" i="5" s="1"/>
  <c r="E56" i="1"/>
  <c r="C56" i="5" s="1"/>
  <c r="E57" i="1"/>
  <c r="C57" i="5" s="1"/>
  <c r="E58" i="1"/>
  <c r="C58" i="5" s="1"/>
  <c r="E59" i="1"/>
  <c r="C59" i="5" s="1"/>
  <c r="E60" i="1"/>
  <c r="C60" i="5" s="1"/>
  <c r="E61" i="1"/>
  <c r="C61" i="5" s="1"/>
  <c r="E62" i="1"/>
  <c r="C62" i="5" s="1"/>
  <c r="E63" i="1"/>
  <c r="C63" i="5" s="1"/>
  <c r="E64" i="1"/>
  <c r="C64" i="5" s="1"/>
  <c r="E65" i="1"/>
  <c r="C65" i="5" s="1"/>
  <c r="E66" i="1"/>
  <c r="C66" i="5" s="1"/>
  <c r="E67" i="1"/>
  <c r="C67" i="5" s="1"/>
  <c r="E68" i="1"/>
  <c r="C68" i="5" s="1"/>
  <c r="E69" i="1"/>
  <c r="C69" i="5" s="1"/>
  <c r="E70" i="1"/>
  <c r="C70" i="5" s="1"/>
  <c r="E71" i="1"/>
  <c r="C71" i="5" s="1"/>
  <c r="E72" i="1"/>
  <c r="C72" i="5" s="1"/>
  <c r="E73" i="1"/>
  <c r="C73" i="5" s="1"/>
  <c r="E74" i="1"/>
  <c r="C74" i="5" s="1"/>
  <c r="E75" i="1"/>
  <c r="C75" i="5" s="1"/>
  <c r="E76" i="1"/>
  <c r="C76" i="5" s="1"/>
  <c r="E77" i="1"/>
  <c r="C77" i="5" s="1"/>
  <c r="E78" i="1"/>
  <c r="C78" i="5" s="1"/>
  <c r="E79" i="1"/>
  <c r="C79" i="5" s="1"/>
  <c r="E80" i="1"/>
  <c r="C80" i="5" s="1"/>
  <c r="E81" i="1"/>
  <c r="C81" i="5" s="1"/>
  <c r="E82" i="1"/>
  <c r="C82" i="5" s="1"/>
  <c r="E83" i="1"/>
  <c r="C83" i="5" s="1"/>
  <c r="E84" i="1"/>
  <c r="C84" i="5" s="1"/>
  <c r="E85" i="1"/>
  <c r="C85" i="5" s="1"/>
  <c r="E86" i="1"/>
  <c r="C86" i="5" s="1"/>
  <c r="E87" i="1"/>
  <c r="C87" i="5" s="1"/>
  <c r="E88" i="1"/>
  <c r="C88" i="5" s="1"/>
  <c r="E89" i="1"/>
  <c r="C89" i="5" s="1"/>
  <c r="E90" i="1"/>
  <c r="C90" i="5" s="1"/>
  <c r="E91" i="1"/>
  <c r="C91" i="5" s="1"/>
  <c r="E92" i="1"/>
  <c r="C92" i="5" s="1"/>
  <c r="E93" i="1"/>
  <c r="C93" i="5" s="1"/>
  <c r="E94" i="1"/>
  <c r="C94" i="5" s="1"/>
  <c r="E95" i="1"/>
  <c r="C95" i="5" s="1"/>
  <c r="E96" i="1"/>
  <c r="C96" i="5" s="1"/>
  <c r="E97" i="1"/>
  <c r="C97" i="5" s="1"/>
  <c r="E98" i="1"/>
  <c r="C98" i="5" s="1"/>
  <c r="E99" i="1"/>
  <c r="C99" i="5" s="1"/>
  <c r="E100" i="1"/>
  <c r="C100" i="5" s="1"/>
  <c r="E101" i="1"/>
  <c r="C101" i="5" s="1"/>
  <c r="E102" i="1"/>
  <c r="C102" i="5" s="1"/>
  <c r="E103" i="1"/>
  <c r="C103" i="5" s="1"/>
  <c r="E104" i="1"/>
  <c r="C104" i="5" s="1"/>
  <c r="E105" i="1"/>
  <c r="C105" i="5" s="1"/>
  <c r="E106" i="1"/>
  <c r="C106" i="5" s="1"/>
  <c r="E107" i="1"/>
  <c r="C107" i="5" s="1"/>
  <c r="E108" i="1"/>
  <c r="C108" i="5" s="1"/>
  <c r="E109" i="1"/>
  <c r="C109" i="5" s="1"/>
  <c r="E110" i="1"/>
  <c r="C110" i="5" s="1"/>
  <c r="E111" i="1"/>
  <c r="C111" i="5" s="1"/>
  <c r="E112" i="1"/>
  <c r="C112" i="5" s="1"/>
  <c r="E113" i="1"/>
  <c r="C113" i="5" s="1"/>
  <c r="E114" i="1"/>
  <c r="C114" i="5" s="1"/>
  <c r="E115" i="1"/>
  <c r="C115" i="5" s="1"/>
  <c r="E116" i="1"/>
  <c r="C116" i="5" s="1"/>
  <c r="E117" i="1"/>
  <c r="C117" i="5" s="1"/>
  <c r="E118" i="1"/>
  <c r="C118" i="5" s="1"/>
  <c r="E119" i="1"/>
  <c r="C119" i="5" s="1"/>
  <c r="E120" i="1"/>
  <c r="C120" i="5" s="1"/>
  <c r="E121" i="1"/>
  <c r="C121" i="5" s="1"/>
  <c r="E122" i="1"/>
  <c r="C122" i="5" s="1"/>
  <c r="E123" i="1"/>
  <c r="C123" i="5" s="1"/>
  <c r="E124" i="1"/>
  <c r="C124" i="5" s="1"/>
  <c r="E125" i="1"/>
  <c r="C125" i="5" s="1"/>
  <c r="E126" i="1"/>
  <c r="C126" i="5" s="1"/>
  <c r="E127" i="1"/>
  <c r="C127" i="5" s="1"/>
  <c r="E128" i="1"/>
  <c r="C128" i="5" s="1"/>
  <c r="E129" i="1"/>
  <c r="C129" i="5" s="1"/>
  <c r="E130" i="1"/>
  <c r="C130" i="5" s="1"/>
  <c r="E131" i="1"/>
  <c r="C131" i="5" s="1"/>
  <c r="E132" i="1"/>
  <c r="C132" i="5" s="1"/>
  <c r="E133" i="1"/>
  <c r="C133" i="5" s="1"/>
  <c r="E134" i="1"/>
  <c r="C134" i="5" s="1"/>
  <c r="E135" i="1"/>
  <c r="C135" i="5" s="1"/>
  <c r="E136" i="1"/>
  <c r="C136" i="5" s="1"/>
  <c r="E137" i="1"/>
  <c r="C137" i="5" s="1"/>
  <c r="E138" i="1"/>
  <c r="C138" i="5" s="1"/>
  <c r="E139" i="1"/>
  <c r="C139" i="5" s="1"/>
  <c r="E140" i="1"/>
  <c r="C140" i="5" s="1"/>
  <c r="E141" i="1"/>
  <c r="C141" i="5" s="1"/>
  <c r="E142" i="1"/>
  <c r="C142" i="5" s="1"/>
  <c r="E143" i="1"/>
  <c r="C143" i="5" s="1"/>
  <c r="E144" i="1"/>
  <c r="C144" i="5" s="1"/>
  <c r="E145" i="1"/>
  <c r="C145" i="5" s="1"/>
  <c r="E146" i="1"/>
  <c r="C146" i="5" s="1"/>
  <c r="E147" i="1"/>
  <c r="C147" i="5" s="1"/>
  <c r="E148" i="1"/>
  <c r="C148" i="5" s="1"/>
  <c r="E149" i="1"/>
  <c r="C149" i="5" s="1"/>
  <c r="E150" i="1"/>
  <c r="C150" i="5" s="1"/>
  <c r="E151" i="1"/>
  <c r="C151" i="5" s="1"/>
  <c r="E152" i="1"/>
  <c r="C152" i="5" s="1"/>
  <c r="E153" i="1"/>
  <c r="C153" i="5" s="1"/>
  <c r="E154" i="1"/>
  <c r="C154" i="5" s="1"/>
  <c r="E155" i="1"/>
  <c r="C155" i="5" s="1"/>
  <c r="E156" i="1"/>
  <c r="C156" i="5" s="1"/>
  <c r="E157" i="1"/>
  <c r="C157" i="5" s="1"/>
  <c r="E158" i="1"/>
  <c r="C158" i="5" s="1"/>
  <c r="E159" i="1"/>
  <c r="C159" i="5" s="1"/>
  <c r="E160" i="1"/>
  <c r="C160" i="5" s="1"/>
  <c r="E161" i="1"/>
  <c r="C161" i="5" s="1"/>
  <c r="E162" i="1"/>
  <c r="C162" i="5" s="1"/>
  <c r="E163" i="1"/>
  <c r="C163" i="5" s="1"/>
  <c r="E164" i="1"/>
  <c r="C164" i="5" s="1"/>
  <c r="E165" i="1"/>
  <c r="C165" i="5" s="1"/>
  <c r="E166" i="1"/>
  <c r="C166" i="5" s="1"/>
  <c r="E167" i="1"/>
  <c r="C167" i="5" s="1"/>
  <c r="E168" i="1"/>
  <c r="C168" i="5" s="1"/>
  <c r="E169" i="1"/>
  <c r="C169" i="5" s="1"/>
  <c r="E170" i="1"/>
  <c r="C170" i="5" s="1"/>
  <c r="E171" i="1"/>
  <c r="C171" i="5" s="1"/>
  <c r="E172" i="1"/>
  <c r="C172" i="5" s="1"/>
  <c r="E173" i="1"/>
  <c r="C173" i="5" s="1"/>
  <c r="E174" i="1"/>
  <c r="C174" i="5" s="1"/>
  <c r="E175" i="1"/>
  <c r="C175" i="5" s="1"/>
  <c r="E176" i="1"/>
  <c r="C176" i="5" s="1"/>
  <c r="E177" i="1"/>
  <c r="C177" i="5" s="1"/>
  <c r="E178" i="1"/>
  <c r="C178" i="5" s="1"/>
  <c r="E179" i="1"/>
  <c r="C179" i="5" s="1"/>
  <c r="E180" i="1"/>
  <c r="C180" i="5" s="1"/>
  <c r="E181" i="1"/>
  <c r="C181" i="5" s="1"/>
  <c r="E182" i="1"/>
  <c r="C182" i="5" s="1"/>
  <c r="E183" i="1"/>
  <c r="C183" i="5" s="1"/>
  <c r="E184" i="1"/>
  <c r="C184" i="5" s="1"/>
  <c r="E185" i="1"/>
  <c r="C185" i="5" s="1"/>
  <c r="E186" i="1"/>
  <c r="C186" i="5" s="1"/>
  <c r="E187" i="1"/>
  <c r="C187" i="5" s="1"/>
  <c r="E188" i="1"/>
  <c r="C188" i="5" s="1"/>
  <c r="E189" i="1"/>
  <c r="C189" i="5" s="1"/>
  <c r="E190" i="1"/>
  <c r="C190" i="5" s="1"/>
  <c r="E191" i="1"/>
  <c r="C191" i="5" s="1"/>
  <c r="E192" i="1"/>
  <c r="C192" i="5" s="1"/>
  <c r="E193" i="1"/>
  <c r="C193" i="5" s="1"/>
  <c r="E194" i="1"/>
  <c r="C194" i="5" s="1"/>
  <c r="E195" i="1"/>
  <c r="C195" i="5" s="1"/>
  <c r="E196" i="1"/>
  <c r="C196" i="5" s="1"/>
  <c r="E197" i="1"/>
  <c r="C197" i="5" s="1"/>
  <c r="E198" i="1"/>
  <c r="C198" i="5" s="1"/>
  <c r="E199" i="1"/>
  <c r="C199" i="5" s="1"/>
  <c r="E200" i="1"/>
  <c r="C200" i="5" s="1"/>
  <c r="E201" i="1"/>
  <c r="C201" i="5" s="1"/>
  <c r="E202" i="1"/>
  <c r="C202" i="5" s="1"/>
  <c r="E203" i="1"/>
  <c r="C203" i="5" s="1"/>
  <c r="E204" i="1"/>
  <c r="C204" i="5" s="1"/>
  <c r="E205" i="1"/>
  <c r="C205" i="5" s="1"/>
  <c r="E206" i="1"/>
  <c r="C206" i="5" s="1"/>
  <c r="E207" i="1"/>
  <c r="C207" i="5" s="1"/>
  <c r="E208" i="1"/>
  <c r="C208" i="5" s="1"/>
  <c r="E209" i="1"/>
  <c r="C209" i="5" s="1"/>
  <c r="E210" i="1"/>
  <c r="C210" i="5" s="1"/>
  <c r="E211" i="1"/>
  <c r="C211" i="5" s="1"/>
  <c r="E212" i="1"/>
  <c r="C212" i="5" s="1"/>
  <c r="E213" i="1"/>
  <c r="C213" i="5" s="1"/>
  <c r="E214" i="1"/>
  <c r="C214" i="5" s="1"/>
  <c r="E215" i="1"/>
  <c r="C215" i="5" s="1"/>
  <c r="E216" i="1"/>
  <c r="C216" i="5" s="1"/>
  <c r="E217" i="1"/>
  <c r="C217" i="5" s="1"/>
  <c r="E218" i="1"/>
  <c r="C218" i="5" s="1"/>
  <c r="E219" i="1"/>
  <c r="C219" i="5" s="1"/>
  <c r="E220" i="1"/>
  <c r="C220" i="5" s="1"/>
  <c r="E221" i="1"/>
  <c r="C221" i="5" s="1"/>
  <c r="E222" i="1"/>
  <c r="C222" i="5" s="1"/>
  <c r="E223" i="1"/>
  <c r="C223" i="5" s="1"/>
  <c r="E224" i="1"/>
  <c r="C224" i="5" s="1"/>
  <c r="E225" i="1"/>
  <c r="C225" i="5" s="1"/>
  <c r="E226" i="1"/>
  <c r="C226" i="5" s="1"/>
  <c r="E227" i="1"/>
  <c r="C227" i="5" s="1"/>
  <c r="E228" i="1"/>
  <c r="C228" i="5" s="1"/>
  <c r="E229" i="1"/>
  <c r="C229" i="5" s="1"/>
  <c r="E230" i="1"/>
  <c r="C230" i="5" s="1"/>
  <c r="E231" i="1"/>
  <c r="C231" i="5" s="1"/>
  <c r="E232" i="1"/>
  <c r="C232" i="5" s="1"/>
  <c r="E233" i="1"/>
  <c r="C233" i="5" s="1"/>
  <c r="E234" i="1"/>
  <c r="C234" i="5" s="1"/>
  <c r="E235" i="1"/>
  <c r="C235" i="5" s="1"/>
  <c r="E236" i="1"/>
  <c r="C236" i="5" s="1"/>
  <c r="E237" i="1"/>
  <c r="C237" i="5" s="1"/>
  <c r="E238" i="1"/>
  <c r="C238" i="5" s="1"/>
  <c r="E239" i="1"/>
  <c r="C239" i="5" s="1"/>
  <c r="E240" i="1"/>
  <c r="C240" i="5" s="1"/>
  <c r="E241" i="1"/>
  <c r="C241" i="5" s="1"/>
  <c r="E242" i="1"/>
  <c r="C242" i="5" s="1"/>
  <c r="E243" i="1"/>
  <c r="C243" i="5" s="1"/>
  <c r="E244" i="1"/>
  <c r="C244" i="5" s="1"/>
  <c r="E245" i="1"/>
  <c r="C245" i="5" s="1"/>
  <c r="E246" i="1"/>
  <c r="C246" i="5" s="1"/>
  <c r="E247" i="1"/>
  <c r="C247" i="5" s="1"/>
  <c r="E248" i="1"/>
  <c r="C248" i="5" s="1"/>
  <c r="E249" i="1"/>
  <c r="C249" i="5" s="1"/>
  <c r="E250" i="1"/>
  <c r="C250" i="5" s="1"/>
  <c r="E251" i="1"/>
  <c r="C251" i="5" s="1"/>
  <c r="E252" i="1"/>
  <c r="C252" i="5" s="1"/>
  <c r="E253" i="1"/>
  <c r="C253" i="5" s="1"/>
  <c r="E254" i="1"/>
  <c r="C254" i="5" s="1"/>
  <c r="E255" i="1"/>
  <c r="C255" i="5" s="1"/>
  <c r="E256" i="1"/>
  <c r="C256" i="5" s="1"/>
  <c r="E257" i="1"/>
  <c r="C257" i="5" s="1"/>
  <c r="E258" i="1"/>
  <c r="C258" i="5" s="1"/>
  <c r="E259" i="1"/>
  <c r="C259" i="5" s="1"/>
  <c r="E260" i="1"/>
  <c r="C260" i="5" s="1"/>
  <c r="E261" i="1"/>
  <c r="C261" i="5" s="1"/>
  <c r="E262" i="1"/>
  <c r="C262" i="5" s="1"/>
  <c r="E263" i="1"/>
  <c r="C263" i="5" s="1"/>
  <c r="E264" i="1"/>
  <c r="C264" i="5" s="1"/>
  <c r="E265" i="1"/>
  <c r="C265" i="5" s="1"/>
  <c r="E266" i="1"/>
  <c r="C266" i="5" s="1"/>
  <c r="E267" i="1"/>
  <c r="C267" i="5" s="1"/>
  <c r="E268" i="1"/>
  <c r="C268" i="5" s="1"/>
  <c r="E269" i="1"/>
  <c r="C269" i="5" s="1"/>
  <c r="E270" i="1"/>
  <c r="C270" i="5" s="1"/>
  <c r="E271" i="1"/>
  <c r="C271" i="5" s="1"/>
  <c r="E272" i="1"/>
  <c r="C272" i="5" s="1"/>
  <c r="E273" i="1"/>
  <c r="C273" i="5" s="1"/>
  <c r="E274" i="1"/>
  <c r="C274" i="5" s="1"/>
  <c r="E275" i="1"/>
  <c r="C275" i="5" s="1"/>
  <c r="E276" i="1"/>
  <c r="C276" i="5" s="1"/>
  <c r="E277" i="1"/>
  <c r="C277" i="5" s="1"/>
  <c r="E278" i="1"/>
  <c r="C278" i="5" s="1"/>
  <c r="E279" i="1"/>
  <c r="C279" i="5" s="1"/>
  <c r="E280" i="1"/>
  <c r="C280" i="5" s="1"/>
  <c r="E281" i="1"/>
  <c r="C281" i="5" s="1"/>
  <c r="E282" i="1"/>
  <c r="C282" i="5" s="1"/>
  <c r="E283" i="1"/>
  <c r="C283" i="5" s="1"/>
  <c r="E284" i="1"/>
  <c r="C284" i="5" s="1"/>
  <c r="E285" i="1"/>
  <c r="C285" i="5" s="1"/>
  <c r="E286" i="1"/>
  <c r="C286" i="5" s="1"/>
  <c r="E287" i="1"/>
  <c r="C287" i="5" s="1"/>
  <c r="E288" i="1"/>
  <c r="C288" i="5" s="1"/>
  <c r="E289" i="1"/>
  <c r="C289" i="5" s="1"/>
  <c r="E290" i="1"/>
  <c r="C290" i="5" s="1"/>
  <c r="E291" i="1"/>
  <c r="C291" i="5" s="1"/>
  <c r="E292" i="1"/>
  <c r="C292" i="5" s="1"/>
  <c r="E293" i="1"/>
  <c r="C293" i="5" s="1"/>
  <c r="E294" i="1"/>
  <c r="C294" i="5" s="1"/>
  <c r="E295" i="1"/>
  <c r="C295" i="5" s="1"/>
  <c r="E296" i="1"/>
  <c r="C296" i="5" s="1"/>
  <c r="E297" i="1"/>
  <c r="C297" i="5" s="1"/>
  <c r="E298" i="1"/>
  <c r="C298" i="5" s="1"/>
  <c r="E299" i="1"/>
  <c r="C299" i="5" s="1"/>
  <c r="E300" i="1"/>
  <c r="C300" i="5" s="1"/>
  <c r="E301" i="1"/>
  <c r="C301" i="5" s="1"/>
  <c r="E302" i="1"/>
  <c r="C302" i="5" s="1"/>
  <c r="E303" i="1"/>
  <c r="C303" i="5" s="1"/>
  <c r="E304" i="1"/>
  <c r="C304" i="5" s="1"/>
  <c r="E305" i="1"/>
  <c r="C305" i="5" s="1"/>
  <c r="E306" i="1"/>
  <c r="C306" i="5" s="1"/>
  <c r="E307" i="1"/>
  <c r="C307" i="5" s="1"/>
  <c r="E308" i="1"/>
  <c r="C308" i="5" s="1"/>
  <c r="E309" i="1"/>
  <c r="C309" i="5" s="1"/>
  <c r="E310" i="1"/>
  <c r="C310" i="5" s="1"/>
  <c r="E311" i="1"/>
  <c r="C311" i="5" s="1"/>
  <c r="E312" i="1"/>
  <c r="C312" i="5" s="1"/>
  <c r="E313" i="1"/>
  <c r="C313" i="5" s="1"/>
  <c r="E314" i="1"/>
  <c r="C314" i="5" s="1"/>
  <c r="E315" i="1"/>
  <c r="C315" i="5" s="1"/>
  <c r="E316" i="1"/>
  <c r="C316" i="5" s="1"/>
  <c r="E317" i="1"/>
  <c r="C317" i="5" s="1"/>
  <c r="E318" i="1"/>
  <c r="C318" i="5" s="1"/>
  <c r="E319" i="1"/>
  <c r="C319" i="5" s="1"/>
  <c r="E320" i="1"/>
  <c r="C320" i="5" s="1"/>
  <c r="E321" i="1"/>
  <c r="C321" i="5" s="1"/>
  <c r="E322" i="1"/>
  <c r="C322" i="5" s="1"/>
  <c r="E323" i="1"/>
  <c r="C323" i="5" s="1"/>
  <c r="E324" i="1"/>
  <c r="C324" i="5" s="1"/>
  <c r="E325" i="1"/>
  <c r="C325" i="5" s="1"/>
  <c r="E326" i="1"/>
  <c r="C326" i="5" s="1"/>
  <c r="E327" i="1"/>
  <c r="C327" i="5" s="1"/>
  <c r="E328" i="1"/>
  <c r="C328" i="5" s="1"/>
  <c r="E329" i="1"/>
  <c r="C329" i="5" s="1"/>
  <c r="E330" i="1"/>
  <c r="C330" i="5" s="1"/>
  <c r="E331" i="1"/>
  <c r="C331" i="5" s="1"/>
  <c r="E332" i="1"/>
  <c r="C332" i="5" s="1"/>
  <c r="E333" i="1"/>
  <c r="C333" i="5" s="1"/>
  <c r="E334" i="1"/>
  <c r="C334" i="5" s="1"/>
  <c r="E335" i="1"/>
  <c r="C335" i="5" s="1"/>
  <c r="E336" i="1"/>
  <c r="C336" i="5" s="1"/>
  <c r="E337" i="1"/>
  <c r="C337" i="5" s="1"/>
  <c r="E338" i="1"/>
  <c r="C338" i="5" s="1"/>
  <c r="E339" i="1"/>
  <c r="C339" i="5" s="1"/>
  <c r="E340" i="1"/>
  <c r="C340" i="5" s="1"/>
  <c r="E341" i="1"/>
  <c r="C341" i="5" s="1"/>
  <c r="E342" i="1"/>
  <c r="C342" i="5" s="1"/>
  <c r="E343" i="1"/>
  <c r="C343" i="5" s="1"/>
  <c r="E344" i="1"/>
  <c r="C344" i="5" s="1"/>
  <c r="E345" i="1"/>
  <c r="C345" i="5" s="1"/>
  <c r="E346" i="1"/>
  <c r="C346" i="5" s="1"/>
  <c r="E347" i="1"/>
  <c r="C347" i="5" s="1"/>
  <c r="E348" i="1"/>
  <c r="C348" i="5" s="1"/>
  <c r="E349" i="1"/>
  <c r="C349" i="5" s="1"/>
  <c r="E350" i="1"/>
  <c r="C350" i="5" s="1"/>
  <c r="E351" i="1"/>
  <c r="C351" i="5" s="1"/>
  <c r="E352" i="1"/>
  <c r="C352" i="5" s="1"/>
  <c r="E353" i="1"/>
  <c r="C353" i="5" s="1"/>
  <c r="E354" i="1"/>
  <c r="C354" i="5" s="1"/>
  <c r="E355" i="1"/>
  <c r="C355" i="5" s="1"/>
  <c r="E356" i="1"/>
  <c r="C356" i="5" s="1"/>
  <c r="E357" i="1"/>
  <c r="C357" i="5" s="1"/>
  <c r="E358" i="1"/>
  <c r="C358" i="5" s="1"/>
  <c r="E359" i="1"/>
  <c r="C359" i="5" s="1"/>
  <c r="E360" i="1"/>
  <c r="C360" i="5" s="1"/>
  <c r="E361" i="1"/>
  <c r="C361" i="5" s="1"/>
  <c r="E362" i="1"/>
  <c r="C362" i="5" s="1"/>
  <c r="E363" i="1"/>
  <c r="C363" i="5" s="1"/>
  <c r="E364" i="1"/>
  <c r="C364" i="5" s="1"/>
  <c r="E365" i="1"/>
  <c r="C365" i="5" s="1"/>
  <c r="E366" i="1"/>
  <c r="C366" i="5" s="1"/>
  <c r="E367" i="1"/>
  <c r="C367" i="5" s="1"/>
  <c r="E368" i="1"/>
  <c r="C368" i="5" s="1"/>
  <c r="E369" i="1"/>
  <c r="C369" i="5" s="1"/>
  <c r="E370" i="1"/>
  <c r="C370" i="5" s="1"/>
  <c r="E371" i="1"/>
  <c r="C371" i="5" s="1"/>
  <c r="E372" i="1"/>
  <c r="C372" i="5" s="1"/>
  <c r="E373" i="1"/>
  <c r="C373" i="5" s="1"/>
  <c r="E374" i="1"/>
  <c r="C374" i="5" s="1"/>
  <c r="E375" i="1"/>
  <c r="C375" i="5" s="1"/>
  <c r="E376" i="1"/>
  <c r="C376" i="5" s="1"/>
  <c r="E377" i="1"/>
  <c r="C377" i="5" s="1"/>
  <c r="E378" i="1"/>
  <c r="C378" i="5" s="1"/>
  <c r="E379" i="1"/>
  <c r="C379" i="5" s="1"/>
  <c r="E380" i="1"/>
  <c r="C380" i="5" s="1"/>
  <c r="E381" i="1"/>
  <c r="C381" i="5" s="1"/>
  <c r="E382" i="1"/>
  <c r="C382" i="5" s="1"/>
  <c r="E383" i="1"/>
  <c r="C383" i="5" s="1"/>
  <c r="E384" i="1"/>
  <c r="C384" i="5" s="1"/>
  <c r="E385" i="1"/>
  <c r="C385" i="5" s="1"/>
  <c r="E386" i="1"/>
  <c r="C386" i="5" s="1"/>
  <c r="E387" i="1"/>
  <c r="C387" i="5" s="1"/>
  <c r="E388" i="1"/>
  <c r="C388" i="5" s="1"/>
  <c r="E389" i="1"/>
  <c r="C389" i="5" s="1"/>
  <c r="E390" i="1"/>
  <c r="C390" i="5" s="1"/>
  <c r="E391" i="1"/>
  <c r="C391" i="5" s="1"/>
  <c r="E392" i="1"/>
  <c r="C392" i="5" s="1"/>
  <c r="E393" i="1"/>
  <c r="C393" i="5" s="1"/>
  <c r="E394" i="1"/>
  <c r="C394" i="5" s="1"/>
  <c r="E395" i="1"/>
  <c r="C395" i="5" s="1"/>
  <c r="E396" i="1"/>
  <c r="C396" i="5" s="1"/>
  <c r="E397" i="1"/>
  <c r="C397" i="5" s="1"/>
  <c r="E398" i="1"/>
  <c r="C398" i="5" s="1"/>
  <c r="E399" i="1"/>
  <c r="C399" i="5" s="1"/>
  <c r="E400" i="1"/>
  <c r="C400" i="5" s="1"/>
  <c r="E401" i="1"/>
  <c r="C401" i="5" s="1"/>
  <c r="E402" i="1"/>
  <c r="C402" i="5" s="1"/>
  <c r="E403" i="1"/>
  <c r="C403" i="5" s="1"/>
  <c r="E404" i="1"/>
  <c r="C404" i="5" s="1"/>
  <c r="E405" i="1"/>
  <c r="C405" i="5" s="1"/>
  <c r="E406" i="1"/>
  <c r="C406" i="5" s="1"/>
  <c r="E407" i="1"/>
  <c r="C407" i="5" s="1"/>
  <c r="E408" i="1"/>
  <c r="C408" i="5" s="1"/>
  <c r="E409" i="1"/>
  <c r="C409" i="5" s="1"/>
  <c r="E410" i="1"/>
  <c r="C410" i="5" s="1"/>
  <c r="E411" i="1"/>
  <c r="C411" i="5" s="1"/>
  <c r="E412" i="1"/>
  <c r="C412" i="5" s="1"/>
  <c r="E413" i="1"/>
  <c r="C413" i="5" s="1"/>
  <c r="E414" i="1"/>
  <c r="C414" i="5" s="1"/>
  <c r="E415" i="1"/>
  <c r="C415" i="5" s="1"/>
  <c r="E416" i="1"/>
  <c r="C416" i="5" s="1"/>
  <c r="E417" i="1"/>
  <c r="C417" i="5" s="1"/>
  <c r="E418" i="1"/>
  <c r="C418" i="5" s="1"/>
  <c r="E419" i="1"/>
  <c r="C419" i="5" s="1"/>
  <c r="E420" i="1"/>
  <c r="C420" i="5" s="1"/>
  <c r="E421" i="1"/>
  <c r="C421" i="5" s="1"/>
  <c r="E422" i="1"/>
  <c r="C422" i="5" s="1"/>
  <c r="E423" i="1"/>
  <c r="C423" i="5" s="1"/>
  <c r="E424" i="1"/>
  <c r="C424" i="5" s="1"/>
  <c r="E425" i="1"/>
  <c r="C425" i="5" s="1"/>
  <c r="E426" i="1"/>
  <c r="C426" i="5" s="1"/>
  <c r="E427" i="1"/>
  <c r="C427" i="5" s="1"/>
  <c r="E428" i="1"/>
  <c r="C428" i="5" s="1"/>
  <c r="E429" i="1"/>
  <c r="C429" i="5" s="1"/>
  <c r="E430" i="1"/>
  <c r="C430" i="5" s="1"/>
  <c r="E431" i="1"/>
  <c r="C431" i="5" s="1"/>
  <c r="E432" i="1"/>
  <c r="C432" i="5" s="1"/>
  <c r="E433" i="1"/>
  <c r="C433" i="5" s="1"/>
  <c r="E434" i="1"/>
  <c r="C434" i="5" s="1"/>
  <c r="E435" i="1"/>
  <c r="C435" i="5" s="1"/>
  <c r="E436" i="1"/>
  <c r="C436" i="5" s="1"/>
  <c r="E437" i="1"/>
  <c r="C437" i="5" s="1"/>
  <c r="E438" i="1"/>
  <c r="C438" i="5" s="1"/>
  <c r="E439" i="1"/>
  <c r="C439" i="5" s="1"/>
  <c r="E440" i="1"/>
  <c r="C440" i="5" s="1"/>
  <c r="E441" i="1"/>
  <c r="C441" i="5" s="1"/>
  <c r="E442" i="1"/>
  <c r="C442" i="5" s="1"/>
  <c r="E443" i="1"/>
  <c r="C443" i="5" s="1"/>
  <c r="E444" i="1"/>
  <c r="C444" i="5" s="1"/>
  <c r="E445" i="1"/>
  <c r="C445" i="5" s="1"/>
  <c r="E446" i="1"/>
  <c r="C446" i="5" s="1"/>
  <c r="E447" i="1"/>
  <c r="C447" i="5" s="1"/>
  <c r="E448" i="1"/>
  <c r="C448" i="5" s="1"/>
  <c r="E449" i="1"/>
  <c r="C449" i="5" s="1"/>
  <c r="E450" i="1"/>
  <c r="C450" i="5" s="1"/>
  <c r="E451" i="1"/>
  <c r="C451" i="5" s="1"/>
  <c r="E452" i="1"/>
  <c r="C452" i="5" s="1"/>
  <c r="E453" i="1"/>
  <c r="C453" i="5" s="1"/>
  <c r="E454" i="1"/>
  <c r="C454" i="5" s="1"/>
  <c r="E455" i="1"/>
  <c r="C455" i="5" s="1"/>
  <c r="E456" i="1"/>
  <c r="C456" i="5" s="1"/>
  <c r="E457" i="1"/>
  <c r="C457" i="5" s="1"/>
  <c r="E458" i="1"/>
  <c r="C458" i="5" s="1"/>
  <c r="E459" i="1"/>
  <c r="C459" i="5" s="1"/>
  <c r="E460" i="1"/>
  <c r="C460" i="5" s="1"/>
  <c r="E461" i="1"/>
  <c r="C461" i="5" s="1"/>
  <c r="E462" i="1"/>
  <c r="C462" i="5" s="1"/>
  <c r="E463" i="1"/>
  <c r="C463" i="5" s="1"/>
  <c r="E464" i="1"/>
  <c r="C464" i="5" s="1"/>
  <c r="E465" i="1"/>
  <c r="C465" i="5" s="1"/>
  <c r="E466" i="1"/>
  <c r="C466" i="5" s="1"/>
  <c r="E467" i="1"/>
  <c r="C467" i="5" s="1"/>
  <c r="E468" i="1"/>
  <c r="C468" i="5" s="1"/>
  <c r="E469" i="1"/>
  <c r="C469" i="5" s="1"/>
  <c r="E470" i="1"/>
  <c r="C470" i="5" s="1"/>
  <c r="E471" i="1"/>
  <c r="C471" i="5" s="1"/>
  <c r="E472" i="1"/>
  <c r="C472" i="5" s="1"/>
  <c r="E473" i="1"/>
  <c r="C473" i="5" s="1"/>
  <c r="E474" i="1"/>
  <c r="C474" i="5" s="1"/>
  <c r="E475" i="1"/>
  <c r="C475" i="5" s="1"/>
  <c r="E476" i="1"/>
  <c r="C476" i="5" s="1"/>
  <c r="E477" i="1"/>
  <c r="C477" i="5" s="1"/>
  <c r="E478" i="1"/>
  <c r="C478" i="5" s="1"/>
  <c r="E479" i="1"/>
  <c r="C479" i="5" s="1"/>
  <c r="E480" i="1"/>
  <c r="C480" i="5" s="1"/>
  <c r="E481" i="1"/>
  <c r="C481" i="5" s="1"/>
  <c r="E482" i="1"/>
  <c r="C482" i="5" s="1"/>
  <c r="E483" i="1"/>
  <c r="C483" i="5" s="1"/>
  <c r="E484" i="1"/>
  <c r="C484" i="5" s="1"/>
  <c r="E485" i="1"/>
  <c r="C485" i="5" s="1"/>
  <c r="E486" i="1"/>
  <c r="C486" i="5" s="1"/>
  <c r="E487" i="1"/>
  <c r="C487" i="5" s="1"/>
  <c r="E488" i="1"/>
  <c r="C488" i="5" s="1"/>
  <c r="E489" i="1"/>
  <c r="C489" i="5" s="1"/>
  <c r="E490" i="1"/>
  <c r="C490" i="5" s="1"/>
  <c r="E491" i="1"/>
  <c r="C491" i="5" s="1"/>
  <c r="E492" i="1"/>
  <c r="C492" i="5" s="1"/>
  <c r="E493" i="1"/>
  <c r="C493" i="5" s="1"/>
  <c r="E494" i="1"/>
  <c r="C494" i="5" s="1"/>
  <c r="E495" i="1"/>
  <c r="C495" i="5" s="1"/>
  <c r="E496" i="1"/>
  <c r="C496" i="5" s="1"/>
  <c r="E497" i="1"/>
  <c r="C497" i="5" s="1"/>
  <c r="E498" i="1"/>
  <c r="C498" i="5" s="1"/>
  <c r="E499" i="1"/>
  <c r="C499" i="5" s="1"/>
  <c r="E500" i="1"/>
  <c r="C500" i="5" s="1"/>
  <c r="E501" i="1"/>
  <c r="C501" i="5" s="1"/>
  <c r="E502" i="1"/>
  <c r="C502" i="5" s="1"/>
  <c r="E503" i="1"/>
  <c r="C503" i="5" s="1"/>
  <c r="E504" i="1"/>
  <c r="C504" i="5" s="1"/>
  <c r="E505" i="1"/>
  <c r="C505" i="5" s="1"/>
  <c r="E506" i="1"/>
  <c r="C506" i="5" s="1"/>
  <c r="E507" i="1"/>
  <c r="C507" i="5" s="1"/>
  <c r="E508" i="1"/>
  <c r="C508" i="5" s="1"/>
  <c r="E509" i="1"/>
  <c r="C509" i="5" s="1"/>
  <c r="E510" i="1"/>
  <c r="C510" i="5" s="1"/>
  <c r="E511" i="1"/>
  <c r="C511" i="5" s="1"/>
  <c r="E512" i="1"/>
  <c r="C512" i="5" s="1"/>
  <c r="E513" i="1"/>
  <c r="C513" i="5" s="1"/>
  <c r="E514" i="1"/>
  <c r="C514" i="5" s="1"/>
  <c r="E515" i="1"/>
  <c r="C515" i="5" s="1"/>
  <c r="E516" i="1"/>
  <c r="C516" i="5" s="1"/>
  <c r="E517" i="1"/>
  <c r="C517" i="5" s="1"/>
  <c r="E518" i="1"/>
  <c r="C518" i="5" s="1"/>
  <c r="E519" i="1"/>
  <c r="C519" i="5" s="1"/>
  <c r="E520" i="1"/>
  <c r="C520" i="5" s="1"/>
  <c r="E521" i="1"/>
  <c r="C521" i="5" s="1"/>
  <c r="E522" i="1"/>
  <c r="C522" i="5" s="1"/>
  <c r="E523" i="1"/>
  <c r="C523" i="5" s="1"/>
  <c r="E524" i="1"/>
  <c r="C524" i="5" s="1"/>
  <c r="E525" i="1"/>
  <c r="C525" i="5" s="1"/>
  <c r="E526" i="1"/>
  <c r="C526" i="5" s="1"/>
  <c r="E527" i="1"/>
  <c r="C527" i="5" s="1"/>
  <c r="E528" i="1"/>
  <c r="C528" i="5" s="1"/>
  <c r="E529" i="1"/>
  <c r="C529" i="5" s="1"/>
  <c r="E530" i="1"/>
  <c r="C530" i="5" s="1"/>
  <c r="E531" i="1"/>
  <c r="C531" i="5" s="1"/>
  <c r="E532" i="1"/>
  <c r="C532" i="5" s="1"/>
  <c r="E533" i="1"/>
  <c r="C533" i="5" s="1"/>
  <c r="E534" i="1"/>
  <c r="C534" i="5" s="1"/>
  <c r="E535" i="1"/>
  <c r="C535" i="5" s="1"/>
  <c r="E536" i="1"/>
  <c r="C536" i="5" s="1"/>
  <c r="E537" i="1"/>
  <c r="C537" i="5" s="1"/>
  <c r="E538" i="1"/>
  <c r="C538" i="5" s="1"/>
  <c r="E539" i="1"/>
  <c r="C539" i="5" s="1"/>
  <c r="E540" i="1"/>
  <c r="C540" i="5" s="1"/>
  <c r="E541" i="1"/>
  <c r="C541" i="5" s="1"/>
  <c r="E542" i="1"/>
  <c r="C542" i="5" s="1"/>
  <c r="E543" i="1"/>
  <c r="C543" i="5" s="1"/>
  <c r="E544" i="1"/>
  <c r="C544" i="5" s="1"/>
  <c r="E545" i="1"/>
  <c r="C545" i="5" s="1"/>
  <c r="E546" i="1"/>
  <c r="C546" i="5" s="1"/>
  <c r="E547" i="1"/>
  <c r="C547" i="5" s="1"/>
  <c r="E548" i="1"/>
  <c r="C548" i="5" s="1"/>
  <c r="E549" i="1"/>
  <c r="C549" i="5" s="1"/>
  <c r="E550" i="1"/>
  <c r="C550" i="5" s="1"/>
  <c r="E551" i="1"/>
  <c r="C551" i="5" s="1"/>
  <c r="E552" i="1"/>
  <c r="C552" i="5" s="1"/>
  <c r="E553" i="1"/>
  <c r="C553" i="5" s="1"/>
  <c r="E554" i="1"/>
  <c r="C554" i="5" s="1"/>
  <c r="E555" i="1"/>
  <c r="C555" i="5" s="1"/>
  <c r="E556" i="1"/>
  <c r="C556" i="5" s="1"/>
  <c r="E557" i="1"/>
  <c r="C557" i="5" s="1"/>
  <c r="E558" i="1"/>
  <c r="C558" i="5" s="1"/>
  <c r="E559" i="1"/>
  <c r="C559" i="5" s="1"/>
  <c r="E560" i="1"/>
  <c r="C560" i="5" s="1"/>
  <c r="E561" i="1"/>
  <c r="C561" i="5" s="1"/>
  <c r="E562" i="1"/>
  <c r="C562" i="5" s="1"/>
  <c r="E563" i="1"/>
  <c r="C563" i="5" s="1"/>
  <c r="E564" i="1"/>
  <c r="C564" i="5" s="1"/>
  <c r="E565" i="1"/>
  <c r="C565" i="5" s="1"/>
  <c r="E566" i="1"/>
  <c r="C566" i="5" s="1"/>
  <c r="E567" i="1"/>
  <c r="C567" i="5" s="1"/>
  <c r="E568" i="1"/>
  <c r="C568" i="5" s="1"/>
  <c r="E569" i="1"/>
  <c r="C569" i="5" s="1"/>
  <c r="E570" i="1"/>
  <c r="C570" i="5" s="1"/>
  <c r="E571" i="1"/>
  <c r="C571" i="5" s="1"/>
  <c r="E572" i="1"/>
  <c r="C572" i="5" s="1"/>
  <c r="E573" i="1"/>
  <c r="C573" i="5" s="1"/>
  <c r="E574" i="1"/>
  <c r="C574" i="5" s="1"/>
  <c r="E575" i="1"/>
  <c r="C575" i="5" s="1"/>
  <c r="E576" i="1"/>
  <c r="C576" i="5" s="1"/>
  <c r="E577" i="1"/>
  <c r="C577" i="5" s="1"/>
  <c r="E578" i="1"/>
  <c r="C578" i="5" s="1"/>
  <c r="E579" i="1"/>
  <c r="C579" i="5" s="1"/>
  <c r="E580" i="1"/>
  <c r="C580" i="5" s="1"/>
  <c r="E581" i="1"/>
  <c r="C581" i="5" s="1"/>
  <c r="E582" i="1"/>
  <c r="C582" i="5" s="1"/>
  <c r="E583" i="1"/>
  <c r="C583" i="5" s="1"/>
  <c r="E584" i="1"/>
  <c r="C584" i="5" s="1"/>
  <c r="E585" i="1"/>
  <c r="C585" i="5" s="1"/>
  <c r="E586" i="1"/>
  <c r="C586" i="5" s="1"/>
  <c r="E587" i="1"/>
  <c r="C587" i="5" s="1"/>
  <c r="E588" i="1"/>
  <c r="C588" i="5" s="1"/>
  <c r="E589" i="1"/>
  <c r="C589" i="5" s="1"/>
  <c r="E590" i="1"/>
  <c r="C590" i="5" s="1"/>
  <c r="E591" i="1"/>
  <c r="C591" i="5" s="1"/>
  <c r="E592" i="1"/>
  <c r="C592" i="5" s="1"/>
  <c r="E593" i="1"/>
  <c r="C593" i="5" s="1"/>
  <c r="E594" i="1"/>
  <c r="C594" i="5" s="1"/>
  <c r="E595" i="1"/>
  <c r="C595" i="5" s="1"/>
  <c r="E596" i="1"/>
  <c r="C596" i="5" s="1"/>
  <c r="E597" i="1"/>
  <c r="C597" i="5" s="1"/>
  <c r="E598" i="1"/>
  <c r="C598" i="5" s="1"/>
  <c r="E599" i="1"/>
  <c r="C599" i="5" s="1"/>
  <c r="E600" i="1"/>
  <c r="C600" i="5" s="1"/>
  <c r="E601" i="1"/>
  <c r="C601" i="5" s="1"/>
  <c r="E602" i="1"/>
  <c r="C602" i="5" s="1"/>
  <c r="E603" i="1"/>
  <c r="C603" i="5" s="1"/>
  <c r="E604" i="1"/>
  <c r="C604" i="5" s="1"/>
  <c r="E605" i="1"/>
  <c r="C605" i="5" s="1"/>
  <c r="E606" i="1"/>
  <c r="C606" i="5" s="1"/>
  <c r="E607" i="1"/>
  <c r="C607" i="5" s="1"/>
  <c r="E608" i="1"/>
  <c r="C608" i="5" s="1"/>
  <c r="E609" i="1"/>
  <c r="C609" i="5" s="1"/>
  <c r="E610" i="1"/>
  <c r="C610" i="5" s="1"/>
  <c r="E611" i="1"/>
  <c r="C611" i="5" s="1"/>
  <c r="E612" i="1"/>
  <c r="C612" i="5" s="1"/>
  <c r="E613" i="1"/>
  <c r="C613" i="5" s="1"/>
  <c r="E614" i="1"/>
  <c r="C614" i="5" s="1"/>
  <c r="E615" i="1"/>
  <c r="C615" i="5" s="1"/>
  <c r="E616" i="1"/>
  <c r="C616" i="5" s="1"/>
  <c r="E617" i="1"/>
  <c r="C617" i="5" s="1"/>
  <c r="E618" i="1"/>
  <c r="C618" i="5" s="1"/>
  <c r="E619" i="1"/>
  <c r="C619" i="5" s="1"/>
  <c r="E620" i="1"/>
  <c r="C620" i="5" s="1"/>
  <c r="E621" i="1"/>
  <c r="C621" i="5" s="1"/>
  <c r="E622" i="1"/>
  <c r="C622" i="5" s="1"/>
  <c r="E623" i="1"/>
  <c r="C623" i="5" s="1"/>
  <c r="E624" i="1"/>
  <c r="C624" i="5" s="1"/>
  <c r="E625" i="1"/>
  <c r="C625" i="5" s="1"/>
  <c r="E626" i="1"/>
  <c r="C626" i="5" s="1"/>
  <c r="E627" i="1"/>
  <c r="C627" i="5" s="1"/>
  <c r="E628" i="1"/>
  <c r="C628" i="5" s="1"/>
  <c r="E629" i="1"/>
  <c r="C629" i="5" s="1"/>
  <c r="E630" i="1"/>
  <c r="C630" i="5" s="1"/>
  <c r="E631" i="1"/>
  <c r="C631" i="5" s="1"/>
  <c r="E632" i="1"/>
  <c r="C632" i="5" s="1"/>
  <c r="E633" i="1"/>
  <c r="C633" i="5" s="1"/>
  <c r="E634" i="1"/>
  <c r="C634" i="5" s="1"/>
  <c r="E635" i="1"/>
  <c r="C635" i="5" s="1"/>
  <c r="E636" i="1"/>
  <c r="C636" i="5" s="1"/>
  <c r="E637" i="1"/>
  <c r="C637" i="5" s="1"/>
  <c r="E638" i="1"/>
  <c r="C638" i="5" s="1"/>
  <c r="E639" i="1"/>
  <c r="C639" i="5" s="1"/>
  <c r="E640" i="1"/>
  <c r="C640" i="5" s="1"/>
  <c r="E641" i="1"/>
  <c r="C641" i="5" s="1"/>
  <c r="E642" i="1"/>
  <c r="C642" i="5" s="1"/>
  <c r="E643" i="1"/>
  <c r="C643" i="5" s="1"/>
  <c r="E644" i="1"/>
  <c r="C644" i="5" s="1"/>
  <c r="E645" i="1"/>
  <c r="C645" i="5" s="1"/>
  <c r="E646" i="1"/>
  <c r="C646" i="5" s="1"/>
  <c r="E647" i="1"/>
  <c r="C647" i="5" s="1"/>
  <c r="E648" i="1"/>
  <c r="C648" i="5" s="1"/>
  <c r="E649" i="1"/>
  <c r="C649" i="5" s="1"/>
  <c r="E650" i="1"/>
  <c r="C650" i="5" s="1"/>
  <c r="E651" i="1"/>
  <c r="C651" i="5" s="1"/>
  <c r="E652" i="1"/>
  <c r="C652" i="5" s="1"/>
  <c r="E653" i="1"/>
  <c r="C653" i="5" s="1"/>
  <c r="E654" i="1"/>
  <c r="C654" i="5" s="1"/>
  <c r="E655" i="1"/>
  <c r="C655" i="5" s="1"/>
  <c r="E656" i="1"/>
  <c r="C656" i="5" s="1"/>
  <c r="E657" i="1"/>
  <c r="C657" i="5" s="1"/>
  <c r="E658" i="1"/>
  <c r="C658" i="5" s="1"/>
  <c r="E659" i="1"/>
  <c r="C659" i="5" s="1"/>
  <c r="E660" i="1"/>
  <c r="C660" i="5" s="1"/>
  <c r="E661" i="1"/>
  <c r="C661" i="5" s="1"/>
  <c r="E662" i="1"/>
  <c r="C662" i="5" s="1"/>
  <c r="E663" i="1"/>
  <c r="C663" i="5" s="1"/>
  <c r="E664" i="1"/>
  <c r="C664" i="5" s="1"/>
  <c r="E665" i="1"/>
  <c r="C665" i="5" s="1"/>
  <c r="E666" i="1"/>
  <c r="C666" i="5" s="1"/>
  <c r="E667" i="1"/>
  <c r="C667" i="5" s="1"/>
  <c r="E668" i="1"/>
  <c r="C668" i="5" s="1"/>
  <c r="E669" i="1"/>
  <c r="C669" i="5" s="1"/>
  <c r="E670" i="1"/>
  <c r="C670" i="5" s="1"/>
  <c r="E671" i="1"/>
  <c r="C671" i="5" s="1"/>
  <c r="E672" i="1"/>
  <c r="C672" i="5" s="1"/>
  <c r="E673" i="1"/>
  <c r="C673" i="5" s="1"/>
  <c r="E674" i="1"/>
  <c r="C674" i="5" s="1"/>
  <c r="E675" i="1"/>
  <c r="C675" i="5" s="1"/>
  <c r="E676" i="1"/>
  <c r="C676" i="5" s="1"/>
  <c r="E677" i="1"/>
  <c r="C677" i="5" s="1"/>
  <c r="E678" i="1"/>
  <c r="C678" i="5" s="1"/>
  <c r="E679" i="1"/>
  <c r="C679" i="5" s="1"/>
  <c r="E680" i="1"/>
  <c r="C680" i="5" s="1"/>
  <c r="E681" i="1"/>
  <c r="C681" i="5" s="1"/>
  <c r="E682" i="1"/>
  <c r="C682" i="5" s="1"/>
  <c r="E683" i="1"/>
  <c r="C683" i="5" s="1"/>
  <c r="E684" i="1"/>
  <c r="C684" i="5" s="1"/>
  <c r="E685" i="1"/>
  <c r="C685" i="5" s="1"/>
  <c r="E686" i="1"/>
  <c r="C686" i="5" s="1"/>
  <c r="E687" i="1"/>
  <c r="C687" i="5" s="1"/>
  <c r="E688" i="1"/>
  <c r="C688" i="5" s="1"/>
  <c r="E689" i="1"/>
  <c r="C689" i="5" s="1"/>
  <c r="E690" i="1"/>
  <c r="C690" i="5" s="1"/>
  <c r="E691" i="1"/>
  <c r="C691" i="5" s="1"/>
  <c r="E692" i="1"/>
  <c r="C692" i="5" s="1"/>
  <c r="E693" i="1"/>
  <c r="C693" i="5" s="1"/>
  <c r="E694" i="1"/>
  <c r="C694" i="5" s="1"/>
  <c r="E695" i="1"/>
  <c r="C695" i="5" s="1"/>
  <c r="E696" i="1"/>
  <c r="C696" i="5" s="1"/>
  <c r="E697" i="1"/>
  <c r="C697" i="5" s="1"/>
  <c r="E698" i="1"/>
  <c r="C698" i="5" s="1"/>
  <c r="E699" i="1"/>
  <c r="C699" i="5" s="1"/>
  <c r="E700" i="1"/>
  <c r="C700" i="5" s="1"/>
  <c r="E701" i="1"/>
  <c r="C701" i="5" s="1"/>
  <c r="E702" i="1"/>
  <c r="C702" i="5" s="1"/>
  <c r="E703" i="1"/>
  <c r="C703" i="5" s="1"/>
  <c r="E704" i="1"/>
  <c r="C704" i="5" s="1"/>
  <c r="E705" i="1"/>
  <c r="C705" i="5" s="1"/>
  <c r="E706" i="1"/>
  <c r="C706" i="5" s="1"/>
  <c r="E707" i="1"/>
  <c r="C707" i="5" s="1"/>
  <c r="E708" i="1"/>
  <c r="C708" i="5" s="1"/>
  <c r="E709" i="1"/>
  <c r="C709" i="5" s="1"/>
  <c r="E710" i="1"/>
  <c r="C710" i="5" s="1"/>
  <c r="E711" i="1"/>
  <c r="C711" i="5" s="1"/>
  <c r="E712" i="1"/>
  <c r="C712" i="5" s="1"/>
  <c r="E713" i="1"/>
  <c r="C713" i="5" s="1"/>
  <c r="E714" i="1"/>
  <c r="C714" i="5" s="1"/>
  <c r="E715" i="1"/>
  <c r="C715" i="5" s="1"/>
  <c r="E716" i="1"/>
  <c r="C716" i="5" s="1"/>
  <c r="E717" i="1"/>
  <c r="C717" i="5" s="1"/>
  <c r="E718" i="1"/>
  <c r="C718" i="5" s="1"/>
  <c r="E719" i="1"/>
  <c r="C719" i="5" s="1"/>
  <c r="E720" i="1"/>
  <c r="C720" i="5" s="1"/>
  <c r="E721" i="1"/>
  <c r="C721" i="5" s="1"/>
  <c r="E722" i="1"/>
  <c r="C722" i="5" s="1"/>
  <c r="E723" i="1"/>
  <c r="C723" i="5" s="1"/>
  <c r="E724" i="1"/>
  <c r="C724" i="5" s="1"/>
  <c r="E725" i="1"/>
  <c r="C725" i="5" s="1"/>
  <c r="E726" i="1"/>
  <c r="C726" i="5" s="1"/>
  <c r="E727" i="1"/>
  <c r="C727" i="5" s="1"/>
  <c r="E728" i="1"/>
  <c r="C728" i="5" s="1"/>
  <c r="E729" i="1"/>
  <c r="C729" i="5" s="1"/>
  <c r="E730" i="1"/>
  <c r="C730" i="5" s="1"/>
  <c r="E731" i="1"/>
  <c r="C731" i="5" s="1"/>
  <c r="E732" i="1"/>
  <c r="C732" i="5" s="1"/>
  <c r="E733" i="1"/>
  <c r="C733" i="5" s="1"/>
  <c r="E734" i="1"/>
  <c r="C734" i="5" s="1"/>
  <c r="E735" i="1"/>
  <c r="C735" i="5" s="1"/>
  <c r="E736" i="1"/>
  <c r="C736" i="5" s="1"/>
  <c r="E737" i="1"/>
  <c r="C737" i="5" s="1"/>
  <c r="E738" i="1"/>
  <c r="C738" i="5" s="1"/>
  <c r="E739" i="1"/>
  <c r="C739" i="5" s="1"/>
  <c r="E740" i="1"/>
  <c r="C740" i="5" s="1"/>
  <c r="E741" i="1"/>
  <c r="C741" i="5" s="1"/>
  <c r="E742" i="1"/>
  <c r="C742" i="5" s="1"/>
  <c r="E743" i="1"/>
  <c r="C743" i="5" s="1"/>
  <c r="E744" i="1"/>
  <c r="C744" i="5" s="1"/>
  <c r="E745" i="1"/>
  <c r="C745" i="5" s="1"/>
  <c r="E746" i="1"/>
  <c r="C746" i="5" s="1"/>
  <c r="E747" i="1"/>
  <c r="C747" i="5" s="1"/>
  <c r="E748" i="1"/>
  <c r="C748" i="5" s="1"/>
  <c r="E749" i="1"/>
  <c r="C749" i="5" s="1"/>
  <c r="E750" i="1"/>
  <c r="C750" i="5" s="1"/>
  <c r="E751" i="1"/>
  <c r="C751" i="5" s="1"/>
  <c r="E752" i="1"/>
  <c r="C752" i="5" s="1"/>
  <c r="E753" i="1"/>
  <c r="C753" i="5" s="1"/>
  <c r="E754" i="1"/>
  <c r="C754" i="5" s="1"/>
  <c r="E755" i="1"/>
  <c r="C755" i="5" s="1"/>
  <c r="E756" i="1"/>
  <c r="C756" i="5" s="1"/>
  <c r="E757" i="1"/>
  <c r="C757" i="5" s="1"/>
  <c r="E758" i="1"/>
  <c r="C758" i="5" s="1"/>
  <c r="E759" i="1"/>
  <c r="C759" i="5" s="1"/>
  <c r="E760" i="1"/>
  <c r="C760" i="5" s="1"/>
  <c r="E761" i="1"/>
  <c r="C761" i="5" s="1"/>
  <c r="E762" i="1"/>
  <c r="C762" i="5" s="1"/>
  <c r="E763" i="1"/>
  <c r="C763" i="5" s="1"/>
  <c r="E764" i="1"/>
  <c r="C764" i="5" s="1"/>
  <c r="E765" i="1"/>
  <c r="C765" i="5" s="1"/>
  <c r="E766" i="1"/>
  <c r="C766" i="5" s="1"/>
  <c r="E767" i="1"/>
  <c r="C767" i="5" s="1"/>
  <c r="E768" i="1"/>
  <c r="C768" i="5" s="1"/>
  <c r="E769" i="1"/>
  <c r="C769" i="5" s="1"/>
  <c r="E770" i="1"/>
  <c r="C770" i="5" s="1"/>
  <c r="E771" i="1"/>
  <c r="C771" i="5" s="1"/>
  <c r="E772" i="1"/>
  <c r="C772" i="5" s="1"/>
  <c r="E773" i="1"/>
  <c r="C773" i="5" s="1"/>
  <c r="E774" i="1"/>
  <c r="C774" i="5" s="1"/>
  <c r="E775" i="1"/>
  <c r="C775" i="5" s="1"/>
  <c r="E776" i="1"/>
  <c r="C776" i="5" s="1"/>
  <c r="E777" i="1"/>
  <c r="C777" i="5" s="1"/>
  <c r="E778" i="1"/>
  <c r="C778" i="5" s="1"/>
  <c r="E779" i="1"/>
  <c r="C779" i="5" s="1"/>
  <c r="E780" i="1"/>
  <c r="C780" i="5" s="1"/>
  <c r="E781" i="1"/>
  <c r="C781" i="5" s="1"/>
  <c r="E782" i="1"/>
  <c r="C782" i="5" s="1"/>
  <c r="E783" i="1"/>
  <c r="C783" i="5" s="1"/>
  <c r="E784" i="1"/>
  <c r="C784" i="5" s="1"/>
  <c r="E785" i="1"/>
  <c r="C785" i="5" s="1"/>
  <c r="E786" i="1"/>
  <c r="C786" i="5" s="1"/>
  <c r="E787" i="1"/>
  <c r="C787" i="5" s="1"/>
  <c r="E788" i="1"/>
  <c r="C788" i="5" s="1"/>
  <c r="E789" i="1"/>
  <c r="C789" i="5" s="1"/>
  <c r="E790" i="1"/>
  <c r="C790" i="5" s="1"/>
  <c r="E791" i="1"/>
  <c r="C791" i="5" s="1"/>
  <c r="E792" i="1"/>
  <c r="C792" i="5" s="1"/>
  <c r="E793" i="1"/>
  <c r="C793" i="5" s="1"/>
  <c r="E794" i="1"/>
  <c r="C794" i="5" s="1"/>
  <c r="E795" i="1"/>
  <c r="C795" i="5" s="1"/>
  <c r="E796" i="1"/>
  <c r="C796" i="5" s="1"/>
  <c r="E797" i="1"/>
  <c r="C797" i="5" s="1"/>
  <c r="E798" i="1"/>
  <c r="C798" i="5" s="1"/>
  <c r="E799" i="1"/>
  <c r="C799" i="5" s="1"/>
  <c r="E800" i="1"/>
  <c r="C800" i="5" s="1"/>
  <c r="E801" i="1"/>
  <c r="C801" i="5" s="1"/>
  <c r="E802" i="1"/>
  <c r="C802" i="5" s="1"/>
  <c r="E803" i="1"/>
  <c r="C803" i="5" s="1"/>
  <c r="E804" i="1"/>
  <c r="C804" i="5" s="1"/>
  <c r="E805" i="1"/>
  <c r="C805" i="5" s="1"/>
  <c r="E806" i="1"/>
  <c r="C806" i="5" s="1"/>
  <c r="E807" i="1"/>
  <c r="C807" i="5" s="1"/>
  <c r="E808" i="1"/>
  <c r="C808" i="5" s="1"/>
  <c r="E809" i="1"/>
  <c r="C809" i="5" s="1"/>
  <c r="E810" i="1"/>
  <c r="C810" i="5" s="1"/>
  <c r="E811" i="1"/>
  <c r="C811" i="5" s="1"/>
  <c r="E812" i="1"/>
  <c r="C812" i="5" s="1"/>
  <c r="E813" i="1"/>
  <c r="C813" i="5" s="1"/>
  <c r="E814" i="1"/>
  <c r="C814" i="5" s="1"/>
  <c r="E815" i="1"/>
  <c r="C815" i="5" s="1"/>
  <c r="E816" i="1"/>
  <c r="C816" i="5" s="1"/>
  <c r="E817" i="1"/>
  <c r="C817" i="5" s="1"/>
  <c r="E818" i="1"/>
  <c r="C818" i="5" s="1"/>
  <c r="E819" i="1"/>
  <c r="C819" i="5" s="1"/>
  <c r="E820" i="1"/>
  <c r="C820" i="5" s="1"/>
  <c r="E821" i="1"/>
  <c r="C821" i="5" s="1"/>
  <c r="E822" i="1"/>
  <c r="C822" i="5" s="1"/>
  <c r="E823" i="1"/>
  <c r="C823" i="5" s="1"/>
  <c r="E824" i="1"/>
  <c r="C824" i="5" s="1"/>
  <c r="E825" i="1"/>
  <c r="C825" i="5" s="1"/>
  <c r="E826" i="1"/>
  <c r="C826" i="5" s="1"/>
  <c r="E827" i="1"/>
  <c r="C827" i="5" s="1"/>
  <c r="E828" i="1"/>
  <c r="C828" i="5" s="1"/>
  <c r="E829" i="1"/>
  <c r="C829" i="5" s="1"/>
  <c r="E830" i="1"/>
  <c r="C830" i="5" s="1"/>
  <c r="E831" i="1"/>
  <c r="C831" i="5" s="1"/>
  <c r="E832" i="1"/>
  <c r="C832" i="5" s="1"/>
  <c r="E833" i="1"/>
  <c r="C833" i="5" s="1"/>
  <c r="E834" i="1"/>
  <c r="C834" i="5" s="1"/>
  <c r="E835" i="1"/>
  <c r="C835" i="5" s="1"/>
  <c r="E836" i="1"/>
  <c r="C836" i="5" s="1"/>
  <c r="E837" i="1"/>
  <c r="C837" i="5" s="1"/>
  <c r="E838" i="1"/>
  <c r="C838" i="5" s="1"/>
  <c r="E839" i="1"/>
  <c r="C839" i="5" s="1"/>
  <c r="E840" i="1"/>
  <c r="C840" i="5" s="1"/>
  <c r="E841" i="1"/>
  <c r="C841" i="5" s="1"/>
  <c r="E842" i="1"/>
  <c r="C842" i="5" s="1"/>
  <c r="E843" i="1"/>
  <c r="C843" i="5" s="1"/>
  <c r="E844" i="1"/>
  <c r="C844" i="5" s="1"/>
  <c r="E845" i="1"/>
  <c r="C845" i="5" s="1"/>
  <c r="E846" i="1"/>
  <c r="C846" i="5" s="1"/>
  <c r="E847" i="1"/>
  <c r="C847" i="5" s="1"/>
  <c r="E848" i="1"/>
  <c r="C848" i="5" s="1"/>
  <c r="E849" i="1"/>
  <c r="C849" i="5" s="1"/>
  <c r="E850" i="1"/>
  <c r="C850" i="5" s="1"/>
  <c r="E851" i="1"/>
  <c r="C851" i="5" s="1"/>
  <c r="E852" i="1"/>
  <c r="C852" i="5" s="1"/>
  <c r="E853" i="1"/>
  <c r="C853" i="5" s="1"/>
  <c r="E854" i="1"/>
  <c r="C854" i="5" s="1"/>
  <c r="E855" i="1"/>
  <c r="C855" i="5" s="1"/>
  <c r="E856" i="1"/>
  <c r="C856" i="5" s="1"/>
  <c r="E857" i="1"/>
  <c r="C857" i="5" s="1"/>
  <c r="E858" i="1"/>
  <c r="C858" i="5" s="1"/>
  <c r="E859" i="1"/>
  <c r="C859" i="5" s="1"/>
  <c r="E860" i="1"/>
  <c r="C860" i="5" s="1"/>
  <c r="E861" i="1"/>
  <c r="C861" i="5" s="1"/>
  <c r="E862" i="1"/>
  <c r="C862" i="5" s="1"/>
  <c r="E863" i="1"/>
  <c r="C863" i="5" s="1"/>
  <c r="E864" i="1"/>
  <c r="C864" i="5" s="1"/>
  <c r="E865" i="1"/>
  <c r="C865" i="5" s="1"/>
  <c r="E866" i="1"/>
  <c r="C866" i="5" s="1"/>
  <c r="E867" i="1"/>
  <c r="C867" i="5" s="1"/>
  <c r="E868" i="1"/>
  <c r="C868" i="5" s="1"/>
  <c r="E869" i="1"/>
  <c r="C869" i="5" s="1"/>
  <c r="E870" i="1"/>
  <c r="C870" i="5" s="1"/>
  <c r="E871" i="1"/>
  <c r="C871" i="5" s="1"/>
  <c r="E872" i="1"/>
  <c r="C872" i="5" s="1"/>
  <c r="E873" i="1"/>
  <c r="C873" i="5" s="1"/>
  <c r="E874" i="1"/>
  <c r="C874" i="5" s="1"/>
  <c r="E875" i="1"/>
  <c r="C875" i="5" s="1"/>
  <c r="E876" i="1"/>
  <c r="C876" i="5" s="1"/>
  <c r="E877" i="1"/>
  <c r="C877" i="5" s="1"/>
  <c r="E878" i="1"/>
  <c r="C878" i="5" s="1"/>
  <c r="E879" i="1"/>
  <c r="C879" i="5" s="1"/>
  <c r="E880" i="1"/>
  <c r="C880" i="5" s="1"/>
  <c r="E881" i="1"/>
  <c r="C881" i="5" s="1"/>
  <c r="E882" i="1"/>
  <c r="C882" i="5" s="1"/>
  <c r="E883" i="1"/>
  <c r="C883" i="5" s="1"/>
  <c r="E884" i="1"/>
  <c r="C884" i="5" s="1"/>
  <c r="E885" i="1"/>
  <c r="C885" i="5" s="1"/>
  <c r="E886" i="1"/>
  <c r="C886" i="5" s="1"/>
  <c r="E887" i="1"/>
  <c r="C887" i="5" s="1"/>
  <c r="E888" i="1"/>
  <c r="C888" i="5" s="1"/>
  <c r="E889" i="1"/>
  <c r="C889" i="5" s="1"/>
  <c r="E890" i="1"/>
  <c r="C890" i="5" s="1"/>
  <c r="E891" i="1"/>
  <c r="C891" i="5" s="1"/>
  <c r="E892" i="1"/>
  <c r="C892" i="5" s="1"/>
  <c r="E893" i="1"/>
  <c r="C893" i="5" s="1"/>
  <c r="E894" i="1"/>
  <c r="C894" i="5" s="1"/>
  <c r="E895" i="1"/>
  <c r="C895" i="5" s="1"/>
  <c r="E896" i="1"/>
  <c r="C896" i="5" s="1"/>
  <c r="E897" i="1"/>
  <c r="C897" i="5" s="1"/>
  <c r="E898" i="1"/>
  <c r="C898" i="5" s="1"/>
  <c r="E899" i="1"/>
  <c r="C899" i="5" s="1"/>
  <c r="E900" i="1"/>
  <c r="C900" i="5" s="1"/>
  <c r="E901" i="1"/>
  <c r="C901" i="5" s="1"/>
  <c r="E902" i="1"/>
  <c r="C902" i="5" s="1"/>
  <c r="E903" i="1"/>
  <c r="C903" i="5" s="1"/>
  <c r="E904" i="1"/>
  <c r="C904" i="5" s="1"/>
  <c r="E905" i="1"/>
  <c r="C905" i="5" s="1"/>
  <c r="E906" i="1"/>
  <c r="C906" i="5" s="1"/>
  <c r="E907" i="1"/>
  <c r="C907" i="5" s="1"/>
  <c r="E908" i="1"/>
  <c r="C908" i="5" s="1"/>
  <c r="E909" i="1"/>
  <c r="C909" i="5" s="1"/>
  <c r="E910" i="1"/>
  <c r="C910" i="5" s="1"/>
  <c r="E911" i="1"/>
  <c r="C911" i="5" s="1"/>
  <c r="E912" i="1"/>
  <c r="C912" i="5" s="1"/>
  <c r="E913" i="1"/>
  <c r="C913" i="5" s="1"/>
  <c r="E914" i="1"/>
  <c r="C914" i="5" s="1"/>
  <c r="E915" i="1"/>
  <c r="C915" i="5" s="1"/>
  <c r="E916" i="1"/>
  <c r="C916" i="5" s="1"/>
  <c r="E917" i="1"/>
  <c r="C917" i="5" s="1"/>
  <c r="E918" i="1"/>
  <c r="C918" i="5" s="1"/>
  <c r="E919" i="1"/>
  <c r="C919" i="5" s="1"/>
  <c r="E920" i="1"/>
  <c r="C920" i="5" s="1"/>
  <c r="E921" i="1"/>
  <c r="C921" i="5" s="1"/>
  <c r="E922" i="1"/>
  <c r="C922" i="5" s="1"/>
  <c r="E923" i="1"/>
  <c r="C923" i="5" s="1"/>
  <c r="E924" i="1"/>
  <c r="C924" i="5" s="1"/>
  <c r="E925" i="1"/>
  <c r="C925" i="5" s="1"/>
  <c r="E926" i="1"/>
  <c r="C926" i="5" s="1"/>
  <c r="E927" i="1"/>
  <c r="C927" i="5" s="1"/>
  <c r="E928" i="1"/>
  <c r="C928" i="5" s="1"/>
  <c r="E929" i="1"/>
  <c r="C929" i="5" s="1"/>
  <c r="E930" i="1"/>
  <c r="C930" i="5" s="1"/>
  <c r="E931" i="1"/>
  <c r="C931" i="5" s="1"/>
  <c r="E932" i="1"/>
  <c r="C932" i="5" s="1"/>
  <c r="E933" i="1"/>
  <c r="C933" i="5" s="1"/>
  <c r="E934" i="1"/>
  <c r="C934" i="5" s="1"/>
  <c r="E935" i="1"/>
  <c r="C935" i="5" s="1"/>
  <c r="E936" i="1"/>
  <c r="C936" i="5" s="1"/>
  <c r="E937" i="1"/>
  <c r="C937" i="5" s="1"/>
  <c r="E938" i="1"/>
  <c r="C938" i="5" s="1"/>
  <c r="E939" i="1"/>
  <c r="C939" i="5" s="1"/>
  <c r="E940" i="1"/>
  <c r="C940" i="5" s="1"/>
  <c r="E941" i="1"/>
  <c r="C941" i="5" s="1"/>
  <c r="E942" i="1"/>
  <c r="C942" i="5" s="1"/>
  <c r="E943" i="1"/>
  <c r="C943" i="5" s="1"/>
  <c r="E944" i="1"/>
  <c r="C944" i="5" s="1"/>
  <c r="E945" i="1"/>
  <c r="C945" i="5" s="1"/>
  <c r="E946" i="1"/>
  <c r="C946" i="5" s="1"/>
  <c r="E947" i="1"/>
  <c r="C947" i="5" s="1"/>
  <c r="E948" i="1"/>
  <c r="C948" i="5" s="1"/>
  <c r="E949" i="1"/>
  <c r="C949" i="5" s="1"/>
  <c r="E950" i="1"/>
  <c r="C950" i="5" s="1"/>
  <c r="E951" i="1"/>
  <c r="C951" i="5" s="1"/>
  <c r="E952" i="1"/>
  <c r="C952" i="5" s="1"/>
  <c r="E953" i="1"/>
  <c r="C953" i="5" s="1"/>
  <c r="E954" i="1"/>
  <c r="C954" i="5" s="1"/>
  <c r="E955" i="1"/>
  <c r="C955" i="5" s="1"/>
  <c r="E956" i="1"/>
  <c r="C956" i="5" s="1"/>
  <c r="E957" i="1"/>
  <c r="C957" i="5" s="1"/>
  <c r="E958" i="1"/>
  <c r="C958" i="5" s="1"/>
  <c r="E959" i="1"/>
  <c r="C959" i="5" s="1"/>
  <c r="E960" i="1"/>
  <c r="C960" i="5" s="1"/>
  <c r="E961" i="1"/>
  <c r="C961" i="5" s="1"/>
  <c r="E962" i="1"/>
  <c r="C962" i="5" s="1"/>
  <c r="E963" i="1"/>
  <c r="C963" i="5" s="1"/>
  <c r="E964" i="1"/>
  <c r="C964" i="5" s="1"/>
  <c r="E965" i="1"/>
  <c r="C965" i="5" s="1"/>
  <c r="E966" i="1"/>
  <c r="C966" i="5" s="1"/>
  <c r="E967" i="1"/>
  <c r="C967" i="5" s="1"/>
  <c r="E968" i="1"/>
  <c r="C968" i="5" s="1"/>
  <c r="E969" i="1"/>
  <c r="C969" i="5" s="1"/>
  <c r="E970" i="1"/>
  <c r="C970" i="5" s="1"/>
  <c r="E971" i="1"/>
  <c r="C971" i="5" s="1"/>
  <c r="E972" i="1"/>
  <c r="C972" i="5" s="1"/>
  <c r="E973" i="1"/>
  <c r="C973" i="5" s="1"/>
  <c r="E974" i="1"/>
  <c r="C974" i="5" s="1"/>
  <c r="E975" i="1"/>
  <c r="C975" i="5" s="1"/>
  <c r="E976" i="1"/>
  <c r="C976" i="5" s="1"/>
  <c r="E977" i="1"/>
  <c r="C977" i="5" s="1"/>
  <c r="E978" i="1"/>
  <c r="C978" i="5" s="1"/>
  <c r="E979" i="1"/>
  <c r="C979" i="5" s="1"/>
  <c r="E980" i="1"/>
  <c r="C980" i="5" s="1"/>
  <c r="E981" i="1"/>
  <c r="C981" i="5" s="1"/>
  <c r="E982" i="1"/>
  <c r="C982" i="5" s="1"/>
  <c r="E983" i="1"/>
  <c r="C983" i="5" s="1"/>
  <c r="E984" i="1"/>
  <c r="C984" i="5" s="1"/>
  <c r="E985" i="1"/>
  <c r="C985" i="5" s="1"/>
  <c r="E986" i="1"/>
  <c r="C986" i="5" s="1"/>
  <c r="E987" i="1"/>
  <c r="C987" i="5" s="1"/>
  <c r="E988" i="1"/>
  <c r="C988" i="5" s="1"/>
  <c r="E989" i="1"/>
  <c r="C989" i="5" s="1"/>
  <c r="E990" i="1"/>
  <c r="C990" i="5" s="1"/>
  <c r="E991" i="1"/>
  <c r="C991" i="5" s="1"/>
  <c r="E992" i="1"/>
  <c r="C992" i="5" s="1"/>
  <c r="E993" i="1"/>
  <c r="C993" i="5" s="1"/>
  <c r="E994" i="1"/>
  <c r="C994" i="5" s="1"/>
  <c r="E995" i="1"/>
  <c r="C995" i="5" s="1"/>
  <c r="E996" i="1"/>
  <c r="C996" i="5" s="1"/>
  <c r="E997" i="1"/>
  <c r="C997" i="5" s="1"/>
  <c r="E998" i="1"/>
  <c r="C998" i="5" s="1"/>
  <c r="E999" i="1"/>
  <c r="C999" i="5" s="1"/>
  <c r="E1000" i="1"/>
  <c r="C1000" i="5" s="1"/>
  <c r="E1001" i="1"/>
  <c r="C1001" i="5" s="1"/>
  <c r="C2" i="1"/>
  <c r="B2" i="5" s="1"/>
  <c r="C3" i="1"/>
  <c r="B3" i="5" s="1"/>
  <c r="C4" i="1"/>
  <c r="B4" i="5" s="1"/>
  <c r="C5" i="1"/>
  <c r="B5" i="5" s="1"/>
  <c r="C6" i="1"/>
  <c r="B6" i="5" s="1"/>
  <c r="C7" i="1"/>
  <c r="B7" i="5" s="1"/>
  <c r="C8" i="1"/>
  <c r="B8" i="5" s="1"/>
  <c r="C9" i="1"/>
  <c r="B9" i="5" s="1"/>
  <c r="C10" i="1"/>
  <c r="B10" i="5" s="1"/>
  <c r="C11" i="1"/>
  <c r="B11" i="5" s="1"/>
  <c r="C12" i="1"/>
  <c r="B12" i="5" s="1"/>
  <c r="C13" i="1"/>
  <c r="B13" i="5" s="1"/>
  <c r="C14" i="1"/>
  <c r="B14" i="5" s="1"/>
  <c r="C15" i="1"/>
  <c r="B15" i="5" s="1"/>
  <c r="C16" i="1"/>
  <c r="B16" i="5" s="1"/>
  <c r="C17" i="1"/>
  <c r="B17" i="5" s="1"/>
  <c r="C18" i="1"/>
  <c r="B18" i="5" s="1"/>
  <c r="C19" i="1"/>
  <c r="B19" i="5" s="1"/>
  <c r="C20" i="1"/>
  <c r="B20" i="5" s="1"/>
  <c r="C21" i="1"/>
  <c r="B21" i="5" s="1"/>
  <c r="C22" i="1"/>
  <c r="B22" i="5" s="1"/>
  <c r="C23" i="1"/>
  <c r="B23" i="5" s="1"/>
  <c r="C24" i="1"/>
  <c r="B24" i="5" s="1"/>
  <c r="C25" i="1"/>
  <c r="B25" i="5" s="1"/>
  <c r="C26" i="1"/>
  <c r="B26" i="5" s="1"/>
  <c r="C27" i="1"/>
  <c r="B27" i="5" s="1"/>
  <c r="C28" i="1"/>
  <c r="B28" i="5" s="1"/>
  <c r="C29" i="1"/>
  <c r="B29" i="5" s="1"/>
  <c r="C30" i="1"/>
  <c r="B30" i="5" s="1"/>
  <c r="C31" i="1"/>
  <c r="B31" i="5" s="1"/>
  <c r="C32" i="1"/>
  <c r="B32" i="5" s="1"/>
  <c r="C33" i="1"/>
  <c r="B33" i="5" s="1"/>
  <c r="C34" i="1"/>
  <c r="B34" i="5" s="1"/>
  <c r="C35" i="1"/>
  <c r="B35" i="5" s="1"/>
  <c r="C36" i="1"/>
  <c r="B36" i="5" s="1"/>
  <c r="C37" i="1"/>
  <c r="B37" i="5" s="1"/>
  <c r="C38" i="1"/>
  <c r="B38" i="5" s="1"/>
  <c r="C39" i="1"/>
  <c r="B39" i="5" s="1"/>
  <c r="C40" i="1"/>
  <c r="B40" i="5" s="1"/>
  <c r="C41" i="1"/>
  <c r="B41" i="5" s="1"/>
  <c r="C42" i="1"/>
  <c r="B42" i="5" s="1"/>
  <c r="C43" i="1"/>
  <c r="B43" i="5" s="1"/>
  <c r="C44" i="1"/>
  <c r="B44" i="5" s="1"/>
  <c r="C45" i="1"/>
  <c r="B45" i="5" s="1"/>
  <c r="C46" i="1"/>
  <c r="B46" i="5" s="1"/>
  <c r="C47" i="1"/>
  <c r="B47" i="5" s="1"/>
  <c r="C48" i="1"/>
  <c r="B48" i="5" s="1"/>
  <c r="C49" i="1"/>
  <c r="B49" i="5" s="1"/>
  <c r="C50" i="1"/>
  <c r="B50" i="5" s="1"/>
  <c r="C51" i="1"/>
  <c r="B51" i="5" s="1"/>
  <c r="C52" i="1"/>
  <c r="B52" i="5" s="1"/>
  <c r="C53" i="1"/>
  <c r="B53" i="5" s="1"/>
  <c r="C54" i="1"/>
  <c r="B54" i="5" s="1"/>
  <c r="C55" i="1"/>
  <c r="B55" i="5" s="1"/>
  <c r="C56" i="1"/>
  <c r="B56" i="5" s="1"/>
  <c r="C57" i="1"/>
  <c r="B57" i="5" s="1"/>
  <c r="C58" i="1"/>
  <c r="B58" i="5" s="1"/>
  <c r="C59" i="1"/>
  <c r="B59" i="5" s="1"/>
  <c r="C60" i="1"/>
  <c r="B60" i="5" s="1"/>
  <c r="C61" i="1"/>
  <c r="B61" i="5" s="1"/>
  <c r="C62" i="1"/>
  <c r="B62" i="5" s="1"/>
  <c r="C63" i="1"/>
  <c r="B63" i="5" s="1"/>
  <c r="C64" i="1"/>
  <c r="B64" i="5" s="1"/>
  <c r="C65" i="1"/>
  <c r="B65" i="5" s="1"/>
  <c r="C66" i="1"/>
  <c r="B66" i="5" s="1"/>
  <c r="C67" i="1"/>
  <c r="B67" i="5" s="1"/>
  <c r="C68" i="1"/>
  <c r="B68" i="5" s="1"/>
  <c r="C69" i="1"/>
  <c r="B69" i="5" s="1"/>
  <c r="C70" i="1"/>
  <c r="B70" i="5" s="1"/>
  <c r="C71" i="1"/>
  <c r="B71" i="5" s="1"/>
  <c r="C72" i="1"/>
  <c r="B72" i="5" s="1"/>
  <c r="C73" i="1"/>
  <c r="B73" i="5" s="1"/>
  <c r="C74" i="1"/>
  <c r="B74" i="5" s="1"/>
  <c r="C75" i="1"/>
  <c r="B75" i="5" s="1"/>
  <c r="C76" i="1"/>
  <c r="B76" i="5" s="1"/>
  <c r="C77" i="1"/>
  <c r="B77" i="5" s="1"/>
  <c r="C78" i="1"/>
  <c r="B78" i="5" s="1"/>
  <c r="C79" i="1"/>
  <c r="B79" i="5" s="1"/>
  <c r="C80" i="1"/>
  <c r="B80" i="5" s="1"/>
  <c r="C81" i="1"/>
  <c r="B81" i="5" s="1"/>
  <c r="C82" i="1"/>
  <c r="B82" i="5" s="1"/>
  <c r="C83" i="1"/>
  <c r="B83" i="5" s="1"/>
  <c r="C84" i="1"/>
  <c r="B84" i="5" s="1"/>
  <c r="C85" i="1"/>
  <c r="B85" i="5" s="1"/>
  <c r="C86" i="1"/>
  <c r="B86" i="5" s="1"/>
  <c r="C87" i="1"/>
  <c r="B87" i="5" s="1"/>
  <c r="C88" i="1"/>
  <c r="B88" i="5" s="1"/>
  <c r="C89" i="1"/>
  <c r="B89" i="5" s="1"/>
  <c r="C90" i="1"/>
  <c r="B90" i="5" s="1"/>
  <c r="C91" i="1"/>
  <c r="B91" i="5" s="1"/>
  <c r="C92" i="1"/>
  <c r="B92" i="5" s="1"/>
  <c r="C93" i="1"/>
  <c r="B93" i="5" s="1"/>
  <c r="C94" i="1"/>
  <c r="B94" i="5" s="1"/>
  <c r="C95" i="1"/>
  <c r="B95" i="5" s="1"/>
  <c r="C96" i="1"/>
  <c r="B96" i="5" s="1"/>
  <c r="C97" i="1"/>
  <c r="B97" i="5" s="1"/>
  <c r="C98" i="1"/>
  <c r="B98" i="5" s="1"/>
  <c r="C99" i="1"/>
  <c r="B99" i="5" s="1"/>
  <c r="C100" i="1"/>
  <c r="B100" i="5" s="1"/>
  <c r="C101" i="1"/>
  <c r="B101" i="5" s="1"/>
  <c r="C102" i="1"/>
  <c r="B102" i="5" s="1"/>
  <c r="C103" i="1"/>
  <c r="B103" i="5" s="1"/>
  <c r="C104" i="1"/>
  <c r="B104" i="5" s="1"/>
  <c r="C105" i="1"/>
  <c r="B105" i="5" s="1"/>
  <c r="C106" i="1"/>
  <c r="B106" i="5" s="1"/>
  <c r="C107" i="1"/>
  <c r="B107" i="5" s="1"/>
  <c r="C108" i="1"/>
  <c r="B108" i="5" s="1"/>
  <c r="C109" i="1"/>
  <c r="B109" i="5" s="1"/>
  <c r="C110" i="1"/>
  <c r="B110" i="5" s="1"/>
  <c r="C111" i="1"/>
  <c r="B111" i="5" s="1"/>
  <c r="C112" i="1"/>
  <c r="B112" i="5" s="1"/>
  <c r="C113" i="1"/>
  <c r="B113" i="5" s="1"/>
  <c r="C114" i="1"/>
  <c r="B114" i="5" s="1"/>
  <c r="C115" i="1"/>
  <c r="B115" i="5" s="1"/>
  <c r="C116" i="1"/>
  <c r="B116" i="5" s="1"/>
  <c r="C117" i="1"/>
  <c r="B117" i="5" s="1"/>
  <c r="C118" i="1"/>
  <c r="B118" i="5" s="1"/>
  <c r="C119" i="1"/>
  <c r="B119" i="5" s="1"/>
  <c r="C120" i="1"/>
  <c r="B120" i="5" s="1"/>
  <c r="C121" i="1"/>
  <c r="B121" i="5" s="1"/>
  <c r="C122" i="1"/>
  <c r="B122" i="5" s="1"/>
  <c r="C123" i="1"/>
  <c r="B123" i="5" s="1"/>
  <c r="C124" i="1"/>
  <c r="B124" i="5" s="1"/>
  <c r="C125" i="1"/>
  <c r="B125" i="5" s="1"/>
  <c r="C126" i="1"/>
  <c r="B126" i="5" s="1"/>
  <c r="C127" i="1"/>
  <c r="B127" i="5" s="1"/>
  <c r="C128" i="1"/>
  <c r="B128" i="5" s="1"/>
  <c r="C129" i="1"/>
  <c r="B129" i="5" s="1"/>
  <c r="C130" i="1"/>
  <c r="B130" i="5" s="1"/>
  <c r="C131" i="1"/>
  <c r="B131" i="5" s="1"/>
  <c r="C132" i="1"/>
  <c r="B132" i="5" s="1"/>
  <c r="C133" i="1"/>
  <c r="B133" i="5" s="1"/>
  <c r="C134" i="1"/>
  <c r="B134" i="5" s="1"/>
  <c r="C135" i="1"/>
  <c r="B135" i="5" s="1"/>
  <c r="C136" i="1"/>
  <c r="B136" i="5" s="1"/>
  <c r="C137" i="1"/>
  <c r="B137" i="5" s="1"/>
  <c r="C138" i="1"/>
  <c r="B138" i="5" s="1"/>
  <c r="C139" i="1"/>
  <c r="B139" i="5" s="1"/>
  <c r="C140" i="1"/>
  <c r="B140" i="5" s="1"/>
  <c r="C141" i="1"/>
  <c r="B141" i="5" s="1"/>
  <c r="C142" i="1"/>
  <c r="B142" i="5" s="1"/>
  <c r="C143" i="1"/>
  <c r="B143" i="5" s="1"/>
  <c r="C144" i="1"/>
  <c r="B144" i="5" s="1"/>
  <c r="C145" i="1"/>
  <c r="B145" i="5" s="1"/>
  <c r="C146" i="1"/>
  <c r="B146" i="5" s="1"/>
  <c r="C147" i="1"/>
  <c r="B147" i="5" s="1"/>
  <c r="C148" i="1"/>
  <c r="B148" i="5" s="1"/>
  <c r="C149" i="1"/>
  <c r="B149" i="5" s="1"/>
  <c r="C150" i="1"/>
  <c r="B150" i="5" s="1"/>
  <c r="C151" i="1"/>
  <c r="B151" i="5" s="1"/>
  <c r="C152" i="1"/>
  <c r="B152" i="5" s="1"/>
  <c r="C153" i="1"/>
  <c r="B153" i="5" s="1"/>
  <c r="C154" i="1"/>
  <c r="B154" i="5" s="1"/>
  <c r="C155" i="1"/>
  <c r="B155" i="5" s="1"/>
  <c r="C156" i="1"/>
  <c r="B156" i="5" s="1"/>
  <c r="C157" i="1"/>
  <c r="B157" i="5" s="1"/>
  <c r="C158" i="1"/>
  <c r="B158" i="5" s="1"/>
  <c r="C159" i="1"/>
  <c r="B159" i="5" s="1"/>
  <c r="C160" i="1"/>
  <c r="B160" i="5" s="1"/>
  <c r="C161" i="1"/>
  <c r="B161" i="5" s="1"/>
  <c r="C162" i="1"/>
  <c r="B162" i="5" s="1"/>
  <c r="C163" i="1"/>
  <c r="B163" i="5" s="1"/>
  <c r="C164" i="1"/>
  <c r="B164" i="5" s="1"/>
  <c r="C165" i="1"/>
  <c r="B165" i="5" s="1"/>
  <c r="C166" i="1"/>
  <c r="B166" i="5" s="1"/>
  <c r="C167" i="1"/>
  <c r="B167" i="5" s="1"/>
  <c r="C168" i="1"/>
  <c r="B168" i="5" s="1"/>
  <c r="C169" i="1"/>
  <c r="B169" i="5" s="1"/>
  <c r="C170" i="1"/>
  <c r="B170" i="5" s="1"/>
  <c r="C171" i="1"/>
  <c r="B171" i="5" s="1"/>
  <c r="C172" i="1"/>
  <c r="B172" i="5" s="1"/>
  <c r="C173" i="1"/>
  <c r="B173" i="5" s="1"/>
  <c r="C174" i="1"/>
  <c r="B174" i="5" s="1"/>
  <c r="C175" i="1"/>
  <c r="B175" i="5" s="1"/>
  <c r="C176" i="1"/>
  <c r="B176" i="5" s="1"/>
  <c r="C177" i="1"/>
  <c r="B177" i="5" s="1"/>
  <c r="C178" i="1"/>
  <c r="B178" i="5" s="1"/>
  <c r="C179" i="1"/>
  <c r="B179" i="5" s="1"/>
  <c r="C180" i="1"/>
  <c r="B180" i="5" s="1"/>
  <c r="C181" i="1"/>
  <c r="B181" i="5" s="1"/>
  <c r="C182" i="1"/>
  <c r="B182" i="5" s="1"/>
  <c r="C183" i="1"/>
  <c r="B183" i="5" s="1"/>
  <c r="C184" i="1"/>
  <c r="B184" i="5" s="1"/>
  <c r="C185" i="1"/>
  <c r="B185" i="5" s="1"/>
  <c r="C186" i="1"/>
  <c r="B186" i="5" s="1"/>
  <c r="C187" i="1"/>
  <c r="B187" i="5" s="1"/>
  <c r="C188" i="1"/>
  <c r="B188" i="5" s="1"/>
  <c r="C189" i="1"/>
  <c r="B189" i="5" s="1"/>
  <c r="C190" i="1"/>
  <c r="B190" i="5" s="1"/>
  <c r="C191" i="1"/>
  <c r="B191" i="5" s="1"/>
  <c r="C192" i="1"/>
  <c r="B192" i="5" s="1"/>
  <c r="C193" i="1"/>
  <c r="B193" i="5" s="1"/>
  <c r="C194" i="1"/>
  <c r="B194" i="5" s="1"/>
  <c r="C195" i="1"/>
  <c r="B195" i="5" s="1"/>
  <c r="C196" i="1"/>
  <c r="B196" i="5" s="1"/>
  <c r="C197" i="1"/>
  <c r="B197" i="5" s="1"/>
  <c r="C198" i="1"/>
  <c r="B198" i="5" s="1"/>
  <c r="C199" i="1"/>
  <c r="B199" i="5" s="1"/>
  <c r="C200" i="1"/>
  <c r="B200" i="5" s="1"/>
  <c r="C201" i="1"/>
  <c r="B201" i="5" s="1"/>
  <c r="C202" i="1"/>
  <c r="B202" i="5" s="1"/>
  <c r="C203" i="1"/>
  <c r="B203" i="5" s="1"/>
  <c r="C204" i="1"/>
  <c r="B204" i="5" s="1"/>
  <c r="C205" i="1"/>
  <c r="B205" i="5" s="1"/>
  <c r="C206" i="1"/>
  <c r="B206" i="5" s="1"/>
  <c r="C207" i="1"/>
  <c r="B207" i="5" s="1"/>
  <c r="C208" i="1"/>
  <c r="B208" i="5" s="1"/>
  <c r="C209" i="1"/>
  <c r="B209" i="5" s="1"/>
  <c r="C210" i="1"/>
  <c r="B210" i="5" s="1"/>
  <c r="C211" i="1"/>
  <c r="B211" i="5" s="1"/>
  <c r="C212" i="1"/>
  <c r="B212" i="5" s="1"/>
  <c r="C213" i="1"/>
  <c r="B213" i="5" s="1"/>
  <c r="C214" i="1"/>
  <c r="B214" i="5" s="1"/>
  <c r="C215" i="1"/>
  <c r="B215" i="5" s="1"/>
  <c r="C216" i="1"/>
  <c r="B216" i="5" s="1"/>
  <c r="C217" i="1"/>
  <c r="B217" i="5" s="1"/>
  <c r="C218" i="1"/>
  <c r="B218" i="5" s="1"/>
  <c r="C219" i="1"/>
  <c r="B219" i="5" s="1"/>
  <c r="C220" i="1"/>
  <c r="B220" i="5" s="1"/>
  <c r="C221" i="1"/>
  <c r="B221" i="5" s="1"/>
  <c r="C222" i="1"/>
  <c r="B222" i="5" s="1"/>
  <c r="C223" i="1"/>
  <c r="B223" i="5" s="1"/>
  <c r="C224" i="1"/>
  <c r="B224" i="5" s="1"/>
  <c r="C225" i="1"/>
  <c r="B225" i="5" s="1"/>
  <c r="C226" i="1"/>
  <c r="B226" i="5" s="1"/>
  <c r="C227" i="1"/>
  <c r="B227" i="5" s="1"/>
  <c r="C228" i="1"/>
  <c r="B228" i="5" s="1"/>
  <c r="C229" i="1"/>
  <c r="B229" i="5" s="1"/>
  <c r="C230" i="1"/>
  <c r="B230" i="5" s="1"/>
  <c r="C231" i="1"/>
  <c r="B231" i="5" s="1"/>
  <c r="C232" i="1"/>
  <c r="B232" i="5" s="1"/>
  <c r="C233" i="1"/>
  <c r="B233" i="5" s="1"/>
  <c r="C234" i="1"/>
  <c r="B234" i="5" s="1"/>
  <c r="C235" i="1"/>
  <c r="B235" i="5" s="1"/>
  <c r="C236" i="1"/>
  <c r="B236" i="5" s="1"/>
  <c r="C237" i="1"/>
  <c r="B237" i="5" s="1"/>
  <c r="C238" i="1"/>
  <c r="B238" i="5" s="1"/>
  <c r="C239" i="1"/>
  <c r="B239" i="5" s="1"/>
  <c r="C240" i="1"/>
  <c r="B240" i="5" s="1"/>
  <c r="C241" i="1"/>
  <c r="B241" i="5" s="1"/>
  <c r="C242" i="1"/>
  <c r="B242" i="5" s="1"/>
  <c r="C243" i="1"/>
  <c r="B243" i="5" s="1"/>
  <c r="C244" i="1"/>
  <c r="B244" i="5" s="1"/>
  <c r="C245" i="1"/>
  <c r="B245" i="5" s="1"/>
  <c r="C246" i="1"/>
  <c r="B246" i="5" s="1"/>
  <c r="C247" i="1"/>
  <c r="B247" i="5" s="1"/>
  <c r="C248" i="1"/>
  <c r="B248" i="5" s="1"/>
  <c r="C249" i="1"/>
  <c r="B249" i="5" s="1"/>
  <c r="C250" i="1"/>
  <c r="B250" i="5" s="1"/>
  <c r="C251" i="1"/>
  <c r="B251" i="5" s="1"/>
  <c r="C252" i="1"/>
  <c r="B252" i="5" s="1"/>
  <c r="C253" i="1"/>
  <c r="B253" i="5" s="1"/>
  <c r="C254" i="1"/>
  <c r="B254" i="5" s="1"/>
  <c r="C255" i="1"/>
  <c r="B255" i="5" s="1"/>
  <c r="C256" i="1"/>
  <c r="B256" i="5" s="1"/>
  <c r="C257" i="1"/>
  <c r="B257" i="5" s="1"/>
  <c r="C258" i="1"/>
  <c r="B258" i="5" s="1"/>
  <c r="C259" i="1"/>
  <c r="B259" i="5" s="1"/>
  <c r="C260" i="1"/>
  <c r="B260" i="5" s="1"/>
  <c r="C261" i="1"/>
  <c r="B261" i="5" s="1"/>
  <c r="C262" i="1"/>
  <c r="B262" i="5" s="1"/>
  <c r="C263" i="1"/>
  <c r="B263" i="5" s="1"/>
  <c r="C264" i="1"/>
  <c r="B264" i="5" s="1"/>
  <c r="C265" i="1"/>
  <c r="B265" i="5" s="1"/>
  <c r="C266" i="1"/>
  <c r="B266" i="5" s="1"/>
  <c r="C267" i="1"/>
  <c r="B267" i="5" s="1"/>
  <c r="C268" i="1"/>
  <c r="B268" i="5" s="1"/>
  <c r="C269" i="1"/>
  <c r="B269" i="5" s="1"/>
  <c r="C270" i="1"/>
  <c r="B270" i="5" s="1"/>
  <c r="C271" i="1"/>
  <c r="B271" i="5" s="1"/>
  <c r="C272" i="1"/>
  <c r="B272" i="5" s="1"/>
  <c r="C273" i="1"/>
  <c r="B273" i="5" s="1"/>
  <c r="C274" i="1"/>
  <c r="B274" i="5" s="1"/>
  <c r="C275" i="1"/>
  <c r="B275" i="5" s="1"/>
  <c r="C276" i="1"/>
  <c r="B276" i="5" s="1"/>
  <c r="C277" i="1"/>
  <c r="B277" i="5" s="1"/>
  <c r="C278" i="1"/>
  <c r="B278" i="5" s="1"/>
  <c r="C279" i="1"/>
  <c r="B279" i="5" s="1"/>
  <c r="C280" i="1"/>
  <c r="B280" i="5" s="1"/>
  <c r="C281" i="1"/>
  <c r="B281" i="5" s="1"/>
  <c r="C282" i="1"/>
  <c r="B282" i="5" s="1"/>
  <c r="C283" i="1"/>
  <c r="B283" i="5" s="1"/>
  <c r="C284" i="1"/>
  <c r="B284" i="5" s="1"/>
  <c r="C285" i="1"/>
  <c r="B285" i="5" s="1"/>
  <c r="C286" i="1"/>
  <c r="B286" i="5" s="1"/>
  <c r="C287" i="1"/>
  <c r="B287" i="5" s="1"/>
  <c r="C288" i="1"/>
  <c r="B288" i="5" s="1"/>
  <c r="C289" i="1"/>
  <c r="B289" i="5" s="1"/>
  <c r="C290" i="1"/>
  <c r="B290" i="5" s="1"/>
  <c r="C291" i="1"/>
  <c r="B291" i="5" s="1"/>
  <c r="C292" i="1"/>
  <c r="B292" i="5" s="1"/>
  <c r="C293" i="1"/>
  <c r="B293" i="5" s="1"/>
  <c r="C294" i="1"/>
  <c r="B294" i="5" s="1"/>
  <c r="C295" i="1"/>
  <c r="B295" i="5" s="1"/>
  <c r="C296" i="1"/>
  <c r="B296" i="5" s="1"/>
  <c r="C297" i="1"/>
  <c r="B297" i="5" s="1"/>
  <c r="C298" i="1"/>
  <c r="B298" i="5" s="1"/>
  <c r="C299" i="1"/>
  <c r="B299" i="5" s="1"/>
  <c r="C300" i="1"/>
  <c r="B300" i="5" s="1"/>
  <c r="C301" i="1"/>
  <c r="B301" i="5" s="1"/>
  <c r="C302" i="1"/>
  <c r="B302" i="5" s="1"/>
  <c r="C303" i="1"/>
  <c r="B303" i="5" s="1"/>
  <c r="C304" i="1"/>
  <c r="B304" i="5" s="1"/>
  <c r="C305" i="1"/>
  <c r="B305" i="5" s="1"/>
  <c r="C306" i="1"/>
  <c r="B306" i="5" s="1"/>
  <c r="C307" i="1"/>
  <c r="B307" i="5" s="1"/>
  <c r="C308" i="1"/>
  <c r="B308" i="5" s="1"/>
  <c r="C309" i="1"/>
  <c r="B309" i="5" s="1"/>
  <c r="C310" i="1"/>
  <c r="B310" i="5" s="1"/>
  <c r="C311" i="1"/>
  <c r="B311" i="5" s="1"/>
  <c r="C312" i="1"/>
  <c r="B312" i="5" s="1"/>
  <c r="C313" i="1"/>
  <c r="B313" i="5" s="1"/>
  <c r="C314" i="1"/>
  <c r="B314" i="5" s="1"/>
  <c r="C315" i="1"/>
  <c r="B315" i="5" s="1"/>
  <c r="C316" i="1"/>
  <c r="B316" i="5" s="1"/>
  <c r="C317" i="1"/>
  <c r="B317" i="5" s="1"/>
  <c r="C318" i="1"/>
  <c r="B318" i="5" s="1"/>
  <c r="C319" i="1"/>
  <c r="B319" i="5" s="1"/>
  <c r="C320" i="1"/>
  <c r="B320" i="5" s="1"/>
  <c r="C321" i="1"/>
  <c r="B321" i="5" s="1"/>
  <c r="C322" i="1"/>
  <c r="B322" i="5" s="1"/>
  <c r="C323" i="1"/>
  <c r="B323" i="5" s="1"/>
  <c r="C324" i="1"/>
  <c r="B324" i="5" s="1"/>
  <c r="C325" i="1"/>
  <c r="B325" i="5" s="1"/>
  <c r="C326" i="1"/>
  <c r="B326" i="5" s="1"/>
  <c r="C327" i="1"/>
  <c r="B327" i="5" s="1"/>
  <c r="C328" i="1"/>
  <c r="B328" i="5" s="1"/>
  <c r="C329" i="1"/>
  <c r="B329" i="5" s="1"/>
  <c r="C330" i="1"/>
  <c r="B330" i="5" s="1"/>
  <c r="C331" i="1"/>
  <c r="B331" i="5" s="1"/>
  <c r="C332" i="1"/>
  <c r="B332" i="5" s="1"/>
  <c r="C333" i="1"/>
  <c r="B333" i="5" s="1"/>
  <c r="C334" i="1"/>
  <c r="B334" i="5" s="1"/>
  <c r="C335" i="1"/>
  <c r="B335" i="5" s="1"/>
  <c r="C336" i="1"/>
  <c r="B336" i="5" s="1"/>
  <c r="C337" i="1"/>
  <c r="B337" i="5" s="1"/>
  <c r="C338" i="1"/>
  <c r="B338" i="5" s="1"/>
  <c r="C339" i="1"/>
  <c r="B339" i="5" s="1"/>
  <c r="C340" i="1"/>
  <c r="B340" i="5" s="1"/>
  <c r="C341" i="1"/>
  <c r="B341" i="5" s="1"/>
  <c r="C342" i="1"/>
  <c r="B342" i="5" s="1"/>
  <c r="C343" i="1"/>
  <c r="B343" i="5" s="1"/>
  <c r="C344" i="1"/>
  <c r="B344" i="5" s="1"/>
  <c r="C345" i="1"/>
  <c r="B345" i="5" s="1"/>
  <c r="C346" i="1"/>
  <c r="B346" i="5" s="1"/>
  <c r="C347" i="1"/>
  <c r="B347" i="5" s="1"/>
  <c r="C348" i="1"/>
  <c r="B348" i="5" s="1"/>
  <c r="C349" i="1"/>
  <c r="B349" i="5" s="1"/>
  <c r="C350" i="1"/>
  <c r="B350" i="5" s="1"/>
  <c r="C351" i="1"/>
  <c r="B351" i="5" s="1"/>
  <c r="C352" i="1"/>
  <c r="B352" i="5" s="1"/>
  <c r="C353" i="1"/>
  <c r="B353" i="5" s="1"/>
  <c r="C354" i="1"/>
  <c r="B354" i="5" s="1"/>
  <c r="C355" i="1"/>
  <c r="B355" i="5" s="1"/>
  <c r="C356" i="1"/>
  <c r="B356" i="5" s="1"/>
  <c r="C357" i="1"/>
  <c r="B357" i="5" s="1"/>
  <c r="C358" i="1"/>
  <c r="B358" i="5" s="1"/>
  <c r="C359" i="1"/>
  <c r="B359" i="5" s="1"/>
  <c r="C360" i="1"/>
  <c r="B360" i="5" s="1"/>
  <c r="C361" i="1"/>
  <c r="B361" i="5" s="1"/>
  <c r="C362" i="1"/>
  <c r="B362" i="5" s="1"/>
  <c r="C363" i="1"/>
  <c r="B363" i="5" s="1"/>
  <c r="C364" i="1"/>
  <c r="B364" i="5" s="1"/>
  <c r="C365" i="1"/>
  <c r="B365" i="5" s="1"/>
  <c r="C366" i="1"/>
  <c r="B366" i="5" s="1"/>
  <c r="C367" i="1"/>
  <c r="B367" i="5" s="1"/>
  <c r="C368" i="1"/>
  <c r="B368" i="5" s="1"/>
  <c r="C369" i="1"/>
  <c r="B369" i="5" s="1"/>
  <c r="C370" i="1"/>
  <c r="B370" i="5" s="1"/>
  <c r="C371" i="1"/>
  <c r="B371" i="5" s="1"/>
  <c r="C372" i="1"/>
  <c r="B372" i="5" s="1"/>
  <c r="C373" i="1"/>
  <c r="B373" i="5" s="1"/>
  <c r="C374" i="1"/>
  <c r="B374" i="5" s="1"/>
  <c r="C375" i="1"/>
  <c r="B375" i="5" s="1"/>
  <c r="C376" i="1"/>
  <c r="B376" i="5" s="1"/>
  <c r="C377" i="1"/>
  <c r="B377" i="5" s="1"/>
  <c r="C378" i="1"/>
  <c r="B378" i="5" s="1"/>
  <c r="C379" i="1"/>
  <c r="B379" i="5" s="1"/>
  <c r="C380" i="1"/>
  <c r="B380" i="5" s="1"/>
  <c r="C381" i="1"/>
  <c r="B381" i="5" s="1"/>
  <c r="C382" i="1"/>
  <c r="B382" i="5" s="1"/>
  <c r="C383" i="1"/>
  <c r="B383" i="5" s="1"/>
  <c r="C384" i="1"/>
  <c r="B384" i="5" s="1"/>
  <c r="C385" i="1"/>
  <c r="B385" i="5" s="1"/>
  <c r="C386" i="1"/>
  <c r="B386" i="5" s="1"/>
  <c r="C387" i="1"/>
  <c r="B387" i="5" s="1"/>
  <c r="C388" i="1"/>
  <c r="B388" i="5" s="1"/>
  <c r="C389" i="1"/>
  <c r="B389" i="5" s="1"/>
  <c r="C390" i="1"/>
  <c r="B390" i="5" s="1"/>
  <c r="C391" i="1"/>
  <c r="B391" i="5" s="1"/>
  <c r="C392" i="1"/>
  <c r="B392" i="5" s="1"/>
  <c r="C393" i="1"/>
  <c r="B393" i="5" s="1"/>
  <c r="C394" i="1"/>
  <c r="B394" i="5" s="1"/>
  <c r="C395" i="1"/>
  <c r="B395" i="5" s="1"/>
  <c r="C396" i="1"/>
  <c r="B396" i="5" s="1"/>
  <c r="C397" i="1"/>
  <c r="B397" i="5" s="1"/>
  <c r="C398" i="1"/>
  <c r="B398" i="5" s="1"/>
  <c r="C399" i="1"/>
  <c r="B399" i="5" s="1"/>
  <c r="C400" i="1"/>
  <c r="B400" i="5" s="1"/>
  <c r="C401" i="1"/>
  <c r="B401" i="5" s="1"/>
  <c r="C402" i="1"/>
  <c r="B402" i="5" s="1"/>
  <c r="C403" i="1"/>
  <c r="B403" i="5" s="1"/>
  <c r="C404" i="1"/>
  <c r="B404" i="5" s="1"/>
  <c r="C405" i="1"/>
  <c r="B405" i="5" s="1"/>
  <c r="C406" i="1"/>
  <c r="B406" i="5" s="1"/>
  <c r="C407" i="1"/>
  <c r="B407" i="5" s="1"/>
  <c r="C408" i="1"/>
  <c r="B408" i="5" s="1"/>
  <c r="C409" i="1"/>
  <c r="B409" i="5" s="1"/>
  <c r="C410" i="1"/>
  <c r="B410" i="5" s="1"/>
  <c r="C411" i="1"/>
  <c r="B411" i="5" s="1"/>
  <c r="C412" i="1"/>
  <c r="B412" i="5" s="1"/>
  <c r="C413" i="1"/>
  <c r="B413" i="5" s="1"/>
  <c r="C414" i="1"/>
  <c r="B414" i="5" s="1"/>
  <c r="C415" i="1"/>
  <c r="B415" i="5" s="1"/>
  <c r="C416" i="1"/>
  <c r="B416" i="5" s="1"/>
  <c r="C417" i="1"/>
  <c r="B417" i="5" s="1"/>
  <c r="C418" i="1"/>
  <c r="B418" i="5" s="1"/>
  <c r="C419" i="1"/>
  <c r="B419" i="5" s="1"/>
  <c r="C420" i="1"/>
  <c r="B420" i="5" s="1"/>
  <c r="C421" i="1"/>
  <c r="B421" i="5" s="1"/>
  <c r="C422" i="1"/>
  <c r="B422" i="5" s="1"/>
  <c r="C423" i="1"/>
  <c r="B423" i="5" s="1"/>
  <c r="C424" i="1"/>
  <c r="B424" i="5" s="1"/>
  <c r="C425" i="1"/>
  <c r="B425" i="5" s="1"/>
  <c r="C426" i="1"/>
  <c r="B426" i="5" s="1"/>
  <c r="C427" i="1"/>
  <c r="B427" i="5" s="1"/>
  <c r="C428" i="1"/>
  <c r="B428" i="5" s="1"/>
  <c r="C429" i="1"/>
  <c r="B429" i="5" s="1"/>
  <c r="C430" i="1"/>
  <c r="B430" i="5" s="1"/>
  <c r="C431" i="1"/>
  <c r="B431" i="5" s="1"/>
  <c r="C432" i="1"/>
  <c r="B432" i="5" s="1"/>
  <c r="C433" i="1"/>
  <c r="B433" i="5" s="1"/>
  <c r="C434" i="1"/>
  <c r="B434" i="5" s="1"/>
  <c r="C435" i="1"/>
  <c r="B435" i="5" s="1"/>
  <c r="C436" i="1"/>
  <c r="B436" i="5" s="1"/>
  <c r="C437" i="1"/>
  <c r="B437" i="5" s="1"/>
  <c r="C438" i="1"/>
  <c r="B438" i="5" s="1"/>
  <c r="C439" i="1"/>
  <c r="B439" i="5" s="1"/>
  <c r="C440" i="1"/>
  <c r="B440" i="5" s="1"/>
  <c r="C441" i="1"/>
  <c r="B441" i="5" s="1"/>
  <c r="C442" i="1"/>
  <c r="B442" i="5" s="1"/>
  <c r="C443" i="1"/>
  <c r="B443" i="5" s="1"/>
  <c r="C444" i="1"/>
  <c r="B444" i="5" s="1"/>
  <c r="C445" i="1"/>
  <c r="B445" i="5" s="1"/>
  <c r="C446" i="1"/>
  <c r="B446" i="5" s="1"/>
  <c r="C447" i="1"/>
  <c r="B447" i="5" s="1"/>
  <c r="C448" i="1"/>
  <c r="B448" i="5" s="1"/>
  <c r="C449" i="1"/>
  <c r="B449" i="5" s="1"/>
  <c r="C450" i="1"/>
  <c r="B450" i="5" s="1"/>
  <c r="C451" i="1"/>
  <c r="B451" i="5" s="1"/>
  <c r="C452" i="1"/>
  <c r="B452" i="5" s="1"/>
  <c r="C453" i="1"/>
  <c r="B453" i="5" s="1"/>
  <c r="C454" i="1"/>
  <c r="B454" i="5" s="1"/>
  <c r="C455" i="1"/>
  <c r="B455" i="5" s="1"/>
  <c r="C456" i="1"/>
  <c r="B456" i="5" s="1"/>
  <c r="C457" i="1"/>
  <c r="B457" i="5" s="1"/>
  <c r="C458" i="1"/>
  <c r="B458" i="5" s="1"/>
  <c r="C459" i="1"/>
  <c r="B459" i="5" s="1"/>
  <c r="C460" i="1"/>
  <c r="B460" i="5" s="1"/>
  <c r="C461" i="1"/>
  <c r="B461" i="5" s="1"/>
  <c r="C462" i="1"/>
  <c r="B462" i="5" s="1"/>
  <c r="C463" i="1"/>
  <c r="B463" i="5" s="1"/>
  <c r="C464" i="1"/>
  <c r="B464" i="5" s="1"/>
  <c r="C465" i="1"/>
  <c r="B465" i="5" s="1"/>
  <c r="C466" i="1"/>
  <c r="B466" i="5" s="1"/>
  <c r="C467" i="1"/>
  <c r="B467" i="5" s="1"/>
  <c r="C468" i="1"/>
  <c r="B468" i="5" s="1"/>
  <c r="C469" i="1"/>
  <c r="B469" i="5" s="1"/>
  <c r="C470" i="1"/>
  <c r="B470" i="5" s="1"/>
  <c r="C471" i="1"/>
  <c r="B471" i="5" s="1"/>
  <c r="C472" i="1"/>
  <c r="B472" i="5" s="1"/>
  <c r="C473" i="1"/>
  <c r="B473" i="5" s="1"/>
  <c r="C474" i="1"/>
  <c r="B474" i="5" s="1"/>
  <c r="C475" i="1"/>
  <c r="B475" i="5" s="1"/>
  <c r="C476" i="1"/>
  <c r="B476" i="5" s="1"/>
  <c r="C477" i="1"/>
  <c r="B477" i="5" s="1"/>
  <c r="C478" i="1"/>
  <c r="B478" i="5" s="1"/>
  <c r="C479" i="1"/>
  <c r="B479" i="5" s="1"/>
  <c r="C480" i="1"/>
  <c r="B480" i="5" s="1"/>
  <c r="C481" i="1"/>
  <c r="B481" i="5" s="1"/>
  <c r="C482" i="1"/>
  <c r="B482" i="5" s="1"/>
  <c r="C483" i="1"/>
  <c r="B483" i="5" s="1"/>
  <c r="C484" i="1"/>
  <c r="B484" i="5" s="1"/>
  <c r="C485" i="1"/>
  <c r="B485" i="5" s="1"/>
  <c r="C486" i="1"/>
  <c r="B486" i="5" s="1"/>
  <c r="C487" i="1"/>
  <c r="B487" i="5" s="1"/>
  <c r="C488" i="1"/>
  <c r="B488" i="5" s="1"/>
  <c r="C489" i="1"/>
  <c r="B489" i="5" s="1"/>
  <c r="C490" i="1"/>
  <c r="B490" i="5" s="1"/>
  <c r="C491" i="1"/>
  <c r="B491" i="5" s="1"/>
  <c r="C492" i="1"/>
  <c r="B492" i="5" s="1"/>
  <c r="C493" i="1"/>
  <c r="B493" i="5" s="1"/>
  <c r="C494" i="1"/>
  <c r="B494" i="5" s="1"/>
  <c r="C495" i="1"/>
  <c r="B495" i="5" s="1"/>
  <c r="C496" i="1"/>
  <c r="B496" i="5" s="1"/>
  <c r="C497" i="1"/>
  <c r="B497" i="5" s="1"/>
  <c r="C498" i="1"/>
  <c r="B498" i="5" s="1"/>
  <c r="C499" i="1"/>
  <c r="B499" i="5" s="1"/>
  <c r="C500" i="1"/>
  <c r="B500" i="5" s="1"/>
  <c r="C501" i="1"/>
  <c r="B501" i="5" s="1"/>
  <c r="C502" i="1"/>
  <c r="B502" i="5" s="1"/>
  <c r="C503" i="1"/>
  <c r="B503" i="5" s="1"/>
  <c r="C504" i="1"/>
  <c r="B504" i="5" s="1"/>
  <c r="C505" i="1"/>
  <c r="B505" i="5" s="1"/>
  <c r="C506" i="1"/>
  <c r="B506" i="5" s="1"/>
  <c r="C507" i="1"/>
  <c r="B507" i="5" s="1"/>
  <c r="C508" i="1"/>
  <c r="B508" i="5" s="1"/>
  <c r="C509" i="1"/>
  <c r="B509" i="5" s="1"/>
  <c r="C510" i="1"/>
  <c r="B510" i="5" s="1"/>
  <c r="C511" i="1"/>
  <c r="B511" i="5" s="1"/>
  <c r="C512" i="1"/>
  <c r="B512" i="5" s="1"/>
  <c r="C513" i="1"/>
  <c r="B513" i="5" s="1"/>
  <c r="C514" i="1"/>
  <c r="B514" i="5" s="1"/>
  <c r="C515" i="1"/>
  <c r="B515" i="5" s="1"/>
  <c r="C516" i="1"/>
  <c r="B516" i="5" s="1"/>
  <c r="C517" i="1"/>
  <c r="B517" i="5" s="1"/>
  <c r="C518" i="1"/>
  <c r="B518" i="5" s="1"/>
  <c r="C519" i="1"/>
  <c r="B519" i="5" s="1"/>
  <c r="C520" i="1"/>
  <c r="B520" i="5" s="1"/>
  <c r="C521" i="1"/>
  <c r="B521" i="5" s="1"/>
  <c r="C522" i="1"/>
  <c r="B522" i="5" s="1"/>
  <c r="C523" i="1"/>
  <c r="B523" i="5" s="1"/>
  <c r="C524" i="1"/>
  <c r="B524" i="5" s="1"/>
  <c r="C525" i="1"/>
  <c r="B525" i="5" s="1"/>
  <c r="C526" i="1"/>
  <c r="B526" i="5" s="1"/>
  <c r="C527" i="1"/>
  <c r="B527" i="5" s="1"/>
  <c r="C528" i="1"/>
  <c r="B528" i="5" s="1"/>
  <c r="C529" i="1"/>
  <c r="B529" i="5" s="1"/>
  <c r="C530" i="1"/>
  <c r="B530" i="5" s="1"/>
  <c r="C531" i="1"/>
  <c r="B531" i="5" s="1"/>
  <c r="C532" i="1"/>
  <c r="B532" i="5" s="1"/>
  <c r="C533" i="1"/>
  <c r="B533" i="5" s="1"/>
  <c r="C534" i="1"/>
  <c r="B534" i="5" s="1"/>
  <c r="C535" i="1"/>
  <c r="B535" i="5" s="1"/>
  <c r="C536" i="1"/>
  <c r="B536" i="5" s="1"/>
  <c r="C537" i="1"/>
  <c r="B537" i="5" s="1"/>
  <c r="C538" i="1"/>
  <c r="B538" i="5" s="1"/>
  <c r="C539" i="1"/>
  <c r="B539" i="5" s="1"/>
  <c r="C540" i="1"/>
  <c r="B540" i="5" s="1"/>
  <c r="C541" i="1"/>
  <c r="B541" i="5" s="1"/>
  <c r="C542" i="1"/>
  <c r="B542" i="5" s="1"/>
  <c r="C543" i="1"/>
  <c r="B543" i="5" s="1"/>
  <c r="C544" i="1"/>
  <c r="B544" i="5" s="1"/>
  <c r="C545" i="1"/>
  <c r="B545" i="5" s="1"/>
  <c r="C546" i="1"/>
  <c r="B546" i="5" s="1"/>
  <c r="C547" i="1"/>
  <c r="B547" i="5" s="1"/>
  <c r="C548" i="1"/>
  <c r="B548" i="5" s="1"/>
  <c r="C549" i="1"/>
  <c r="B549" i="5" s="1"/>
  <c r="C550" i="1"/>
  <c r="B550" i="5" s="1"/>
  <c r="C551" i="1"/>
  <c r="B551" i="5" s="1"/>
  <c r="C552" i="1"/>
  <c r="B552" i="5" s="1"/>
  <c r="C553" i="1"/>
  <c r="B553" i="5" s="1"/>
  <c r="C554" i="1"/>
  <c r="B554" i="5" s="1"/>
  <c r="C555" i="1"/>
  <c r="B555" i="5" s="1"/>
  <c r="C556" i="1"/>
  <c r="B556" i="5" s="1"/>
  <c r="C557" i="1"/>
  <c r="B557" i="5" s="1"/>
  <c r="C558" i="1"/>
  <c r="B558" i="5" s="1"/>
  <c r="C559" i="1"/>
  <c r="B559" i="5" s="1"/>
  <c r="C560" i="1"/>
  <c r="B560" i="5" s="1"/>
  <c r="C561" i="1"/>
  <c r="B561" i="5" s="1"/>
  <c r="C562" i="1"/>
  <c r="B562" i="5" s="1"/>
  <c r="C563" i="1"/>
  <c r="B563" i="5" s="1"/>
  <c r="C564" i="1"/>
  <c r="B564" i="5" s="1"/>
  <c r="C565" i="1"/>
  <c r="B565" i="5" s="1"/>
  <c r="C566" i="1"/>
  <c r="B566" i="5" s="1"/>
  <c r="C567" i="1"/>
  <c r="B567" i="5" s="1"/>
  <c r="C568" i="1"/>
  <c r="B568" i="5" s="1"/>
  <c r="C569" i="1"/>
  <c r="B569" i="5" s="1"/>
  <c r="C570" i="1"/>
  <c r="B570" i="5" s="1"/>
  <c r="C571" i="1"/>
  <c r="B571" i="5" s="1"/>
  <c r="C572" i="1"/>
  <c r="B572" i="5" s="1"/>
  <c r="C573" i="1"/>
  <c r="B573" i="5" s="1"/>
  <c r="C574" i="1"/>
  <c r="B574" i="5" s="1"/>
  <c r="C575" i="1"/>
  <c r="B575" i="5" s="1"/>
  <c r="C576" i="1"/>
  <c r="B576" i="5" s="1"/>
  <c r="C577" i="1"/>
  <c r="B577" i="5" s="1"/>
  <c r="C578" i="1"/>
  <c r="B578" i="5" s="1"/>
  <c r="C579" i="1"/>
  <c r="B579" i="5" s="1"/>
  <c r="C580" i="1"/>
  <c r="B580" i="5" s="1"/>
  <c r="C581" i="1"/>
  <c r="B581" i="5" s="1"/>
  <c r="C582" i="1"/>
  <c r="B582" i="5" s="1"/>
  <c r="C583" i="1"/>
  <c r="B583" i="5" s="1"/>
  <c r="C584" i="1"/>
  <c r="B584" i="5" s="1"/>
  <c r="C585" i="1"/>
  <c r="B585" i="5" s="1"/>
  <c r="C586" i="1"/>
  <c r="B586" i="5" s="1"/>
  <c r="C587" i="1"/>
  <c r="B587" i="5" s="1"/>
  <c r="C588" i="1"/>
  <c r="B588" i="5" s="1"/>
  <c r="C589" i="1"/>
  <c r="B589" i="5" s="1"/>
  <c r="C590" i="1"/>
  <c r="B590" i="5" s="1"/>
  <c r="C591" i="1"/>
  <c r="B591" i="5" s="1"/>
  <c r="C592" i="1"/>
  <c r="B592" i="5" s="1"/>
  <c r="C593" i="1"/>
  <c r="B593" i="5" s="1"/>
  <c r="C594" i="1"/>
  <c r="B594" i="5" s="1"/>
  <c r="C595" i="1"/>
  <c r="B595" i="5" s="1"/>
  <c r="C596" i="1"/>
  <c r="B596" i="5" s="1"/>
  <c r="C597" i="1"/>
  <c r="B597" i="5" s="1"/>
  <c r="C598" i="1"/>
  <c r="B598" i="5" s="1"/>
  <c r="C599" i="1"/>
  <c r="B599" i="5" s="1"/>
  <c r="C600" i="1"/>
  <c r="B600" i="5" s="1"/>
  <c r="C601" i="1"/>
  <c r="B601" i="5" s="1"/>
  <c r="C602" i="1"/>
  <c r="B602" i="5" s="1"/>
  <c r="C603" i="1"/>
  <c r="B603" i="5" s="1"/>
  <c r="C604" i="1"/>
  <c r="B604" i="5" s="1"/>
  <c r="C605" i="1"/>
  <c r="B605" i="5" s="1"/>
  <c r="C606" i="1"/>
  <c r="B606" i="5" s="1"/>
  <c r="C607" i="1"/>
  <c r="B607" i="5" s="1"/>
  <c r="C608" i="1"/>
  <c r="B608" i="5" s="1"/>
  <c r="C609" i="1"/>
  <c r="B609" i="5" s="1"/>
  <c r="C610" i="1"/>
  <c r="B610" i="5" s="1"/>
  <c r="C611" i="1"/>
  <c r="B611" i="5" s="1"/>
  <c r="C612" i="1"/>
  <c r="B612" i="5" s="1"/>
  <c r="C613" i="1"/>
  <c r="B613" i="5" s="1"/>
  <c r="C614" i="1"/>
  <c r="B614" i="5" s="1"/>
  <c r="C615" i="1"/>
  <c r="B615" i="5" s="1"/>
  <c r="C616" i="1"/>
  <c r="B616" i="5" s="1"/>
  <c r="C617" i="1"/>
  <c r="B617" i="5" s="1"/>
  <c r="C618" i="1"/>
  <c r="B618" i="5" s="1"/>
  <c r="C619" i="1"/>
  <c r="B619" i="5" s="1"/>
  <c r="C620" i="1"/>
  <c r="B620" i="5" s="1"/>
  <c r="C621" i="1"/>
  <c r="B621" i="5" s="1"/>
  <c r="C622" i="1"/>
  <c r="B622" i="5" s="1"/>
  <c r="C623" i="1"/>
  <c r="B623" i="5" s="1"/>
  <c r="C624" i="1"/>
  <c r="B624" i="5" s="1"/>
  <c r="C625" i="1"/>
  <c r="B625" i="5" s="1"/>
  <c r="C626" i="1"/>
  <c r="B626" i="5" s="1"/>
  <c r="C627" i="1"/>
  <c r="B627" i="5" s="1"/>
  <c r="C628" i="1"/>
  <c r="B628" i="5" s="1"/>
  <c r="C629" i="1"/>
  <c r="B629" i="5" s="1"/>
  <c r="C630" i="1"/>
  <c r="B630" i="5" s="1"/>
  <c r="C631" i="1"/>
  <c r="B631" i="5" s="1"/>
  <c r="C632" i="1"/>
  <c r="B632" i="5" s="1"/>
  <c r="C633" i="1"/>
  <c r="B633" i="5" s="1"/>
  <c r="C634" i="1"/>
  <c r="B634" i="5" s="1"/>
  <c r="C635" i="1"/>
  <c r="B635" i="5" s="1"/>
  <c r="C636" i="1"/>
  <c r="B636" i="5" s="1"/>
  <c r="C637" i="1"/>
  <c r="B637" i="5" s="1"/>
  <c r="C638" i="1"/>
  <c r="B638" i="5" s="1"/>
  <c r="C639" i="1"/>
  <c r="B639" i="5" s="1"/>
  <c r="C640" i="1"/>
  <c r="B640" i="5" s="1"/>
  <c r="C641" i="1"/>
  <c r="B641" i="5" s="1"/>
  <c r="C642" i="1"/>
  <c r="B642" i="5" s="1"/>
  <c r="C643" i="1"/>
  <c r="B643" i="5" s="1"/>
  <c r="C644" i="1"/>
  <c r="B644" i="5" s="1"/>
  <c r="C645" i="1"/>
  <c r="B645" i="5" s="1"/>
  <c r="C646" i="1"/>
  <c r="B646" i="5" s="1"/>
  <c r="C647" i="1"/>
  <c r="B647" i="5" s="1"/>
  <c r="C648" i="1"/>
  <c r="B648" i="5" s="1"/>
  <c r="C649" i="1"/>
  <c r="B649" i="5" s="1"/>
  <c r="C650" i="1"/>
  <c r="B650" i="5" s="1"/>
  <c r="C651" i="1"/>
  <c r="B651" i="5" s="1"/>
  <c r="C652" i="1"/>
  <c r="B652" i="5" s="1"/>
  <c r="C653" i="1"/>
  <c r="B653" i="5" s="1"/>
  <c r="C654" i="1"/>
  <c r="B654" i="5" s="1"/>
  <c r="C655" i="1"/>
  <c r="B655" i="5" s="1"/>
  <c r="C656" i="1"/>
  <c r="B656" i="5" s="1"/>
  <c r="C657" i="1"/>
  <c r="B657" i="5" s="1"/>
  <c r="C658" i="1"/>
  <c r="B658" i="5" s="1"/>
  <c r="C659" i="1"/>
  <c r="B659" i="5" s="1"/>
  <c r="C660" i="1"/>
  <c r="B660" i="5" s="1"/>
  <c r="C661" i="1"/>
  <c r="B661" i="5" s="1"/>
  <c r="C662" i="1"/>
  <c r="B662" i="5" s="1"/>
  <c r="C663" i="1"/>
  <c r="B663" i="5" s="1"/>
  <c r="C664" i="1"/>
  <c r="B664" i="5" s="1"/>
  <c r="C665" i="1"/>
  <c r="B665" i="5" s="1"/>
  <c r="C666" i="1"/>
  <c r="B666" i="5" s="1"/>
  <c r="C667" i="1"/>
  <c r="B667" i="5" s="1"/>
  <c r="C668" i="1"/>
  <c r="B668" i="5" s="1"/>
  <c r="C669" i="1"/>
  <c r="B669" i="5" s="1"/>
  <c r="C670" i="1"/>
  <c r="B670" i="5" s="1"/>
  <c r="C671" i="1"/>
  <c r="B671" i="5" s="1"/>
  <c r="C672" i="1"/>
  <c r="B672" i="5" s="1"/>
  <c r="C673" i="1"/>
  <c r="B673" i="5" s="1"/>
  <c r="C674" i="1"/>
  <c r="B674" i="5" s="1"/>
  <c r="C675" i="1"/>
  <c r="B675" i="5" s="1"/>
  <c r="C676" i="1"/>
  <c r="B676" i="5" s="1"/>
  <c r="C677" i="1"/>
  <c r="B677" i="5" s="1"/>
  <c r="C678" i="1"/>
  <c r="B678" i="5" s="1"/>
  <c r="C679" i="1"/>
  <c r="B679" i="5" s="1"/>
  <c r="C680" i="1"/>
  <c r="B680" i="5" s="1"/>
  <c r="C681" i="1"/>
  <c r="B681" i="5" s="1"/>
  <c r="C682" i="1"/>
  <c r="B682" i="5" s="1"/>
  <c r="C683" i="1"/>
  <c r="B683" i="5" s="1"/>
  <c r="C684" i="1"/>
  <c r="B684" i="5" s="1"/>
  <c r="C685" i="1"/>
  <c r="B685" i="5" s="1"/>
  <c r="C686" i="1"/>
  <c r="B686" i="5" s="1"/>
  <c r="C687" i="1"/>
  <c r="B687" i="5" s="1"/>
  <c r="C688" i="1"/>
  <c r="B688" i="5" s="1"/>
  <c r="C689" i="1"/>
  <c r="B689" i="5" s="1"/>
  <c r="C690" i="1"/>
  <c r="B690" i="5" s="1"/>
  <c r="C691" i="1"/>
  <c r="B691" i="5" s="1"/>
  <c r="C692" i="1"/>
  <c r="B692" i="5" s="1"/>
  <c r="C693" i="1"/>
  <c r="B693" i="5" s="1"/>
  <c r="C694" i="1"/>
  <c r="B694" i="5" s="1"/>
  <c r="C695" i="1"/>
  <c r="B695" i="5" s="1"/>
  <c r="C696" i="1"/>
  <c r="B696" i="5" s="1"/>
  <c r="C697" i="1"/>
  <c r="B697" i="5" s="1"/>
  <c r="C698" i="1"/>
  <c r="B698" i="5" s="1"/>
  <c r="C699" i="1"/>
  <c r="B699" i="5" s="1"/>
  <c r="C700" i="1"/>
  <c r="B700" i="5" s="1"/>
  <c r="C701" i="1"/>
  <c r="B701" i="5" s="1"/>
  <c r="C702" i="1"/>
  <c r="B702" i="5" s="1"/>
  <c r="C703" i="1"/>
  <c r="B703" i="5" s="1"/>
  <c r="C704" i="1"/>
  <c r="B704" i="5" s="1"/>
  <c r="C705" i="1"/>
  <c r="B705" i="5" s="1"/>
  <c r="C706" i="1"/>
  <c r="B706" i="5" s="1"/>
  <c r="C707" i="1"/>
  <c r="B707" i="5" s="1"/>
  <c r="C708" i="1"/>
  <c r="B708" i="5" s="1"/>
  <c r="C709" i="1"/>
  <c r="B709" i="5" s="1"/>
  <c r="C710" i="1"/>
  <c r="B710" i="5" s="1"/>
  <c r="C711" i="1"/>
  <c r="B711" i="5" s="1"/>
  <c r="C712" i="1"/>
  <c r="B712" i="5" s="1"/>
  <c r="C713" i="1"/>
  <c r="B713" i="5" s="1"/>
  <c r="C714" i="1"/>
  <c r="B714" i="5" s="1"/>
  <c r="C715" i="1"/>
  <c r="B715" i="5" s="1"/>
  <c r="C716" i="1"/>
  <c r="B716" i="5" s="1"/>
  <c r="C717" i="1"/>
  <c r="B717" i="5" s="1"/>
  <c r="C718" i="1"/>
  <c r="B718" i="5" s="1"/>
  <c r="C719" i="1"/>
  <c r="B719" i="5" s="1"/>
  <c r="C720" i="1"/>
  <c r="B720" i="5" s="1"/>
  <c r="C721" i="1"/>
  <c r="B721" i="5" s="1"/>
  <c r="C722" i="1"/>
  <c r="B722" i="5" s="1"/>
  <c r="C723" i="1"/>
  <c r="B723" i="5" s="1"/>
  <c r="C724" i="1"/>
  <c r="B724" i="5" s="1"/>
  <c r="C725" i="1"/>
  <c r="B725" i="5" s="1"/>
  <c r="C726" i="1"/>
  <c r="B726" i="5" s="1"/>
  <c r="C727" i="1"/>
  <c r="B727" i="5" s="1"/>
  <c r="C728" i="1"/>
  <c r="B728" i="5" s="1"/>
  <c r="C729" i="1"/>
  <c r="B729" i="5" s="1"/>
  <c r="C730" i="1"/>
  <c r="B730" i="5" s="1"/>
  <c r="C731" i="1"/>
  <c r="B731" i="5" s="1"/>
  <c r="C732" i="1"/>
  <c r="B732" i="5" s="1"/>
  <c r="C733" i="1"/>
  <c r="B733" i="5" s="1"/>
  <c r="C734" i="1"/>
  <c r="B734" i="5" s="1"/>
  <c r="C735" i="1"/>
  <c r="B735" i="5" s="1"/>
  <c r="C736" i="1"/>
  <c r="B736" i="5" s="1"/>
  <c r="C737" i="1"/>
  <c r="B737" i="5" s="1"/>
  <c r="C738" i="1"/>
  <c r="B738" i="5" s="1"/>
  <c r="C739" i="1"/>
  <c r="B739" i="5" s="1"/>
  <c r="C740" i="1"/>
  <c r="B740" i="5" s="1"/>
  <c r="C741" i="1"/>
  <c r="B741" i="5" s="1"/>
  <c r="C742" i="1"/>
  <c r="B742" i="5" s="1"/>
  <c r="C743" i="1"/>
  <c r="B743" i="5" s="1"/>
  <c r="C744" i="1"/>
  <c r="B744" i="5" s="1"/>
  <c r="C745" i="1"/>
  <c r="B745" i="5" s="1"/>
  <c r="C746" i="1"/>
  <c r="B746" i="5" s="1"/>
  <c r="C747" i="1"/>
  <c r="B747" i="5" s="1"/>
  <c r="C748" i="1"/>
  <c r="B748" i="5" s="1"/>
  <c r="C749" i="1"/>
  <c r="B749" i="5" s="1"/>
  <c r="C750" i="1"/>
  <c r="B750" i="5" s="1"/>
  <c r="C751" i="1"/>
  <c r="B751" i="5" s="1"/>
  <c r="C752" i="1"/>
  <c r="B752" i="5" s="1"/>
  <c r="C753" i="1"/>
  <c r="B753" i="5" s="1"/>
  <c r="C754" i="1"/>
  <c r="B754" i="5" s="1"/>
  <c r="C755" i="1"/>
  <c r="B755" i="5" s="1"/>
  <c r="C756" i="1"/>
  <c r="B756" i="5" s="1"/>
  <c r="C757" i="1"/>
  <c r="B757" i="5" s="1"/>
  <c r="C758" i="1"/>
  <c r="B758" i="5" s="1"/>
  <c r="C759" i="1"/>
  <c r="B759" i="5" s="1"/>
  <c r="C760" i="1"/>
  <c r="B760" i="5" s="1"/>
  <c r="C761" i="1"/>
  <c r="B761" i="5" s="1"/>
  <c r="C762" i="1"/>
  <c r="B762" i="5" s="1"/>
  <c r="C763" i="1"/>
  <c r="B763" i="5" s="1"/>
  <c r="C764" i="1"/>
  <c r="B764" i="5" s="1"/>
  <c r="C765" i="1"/>
  <c r="B765" i="5" s="1"/>
  <c r="C766" i="1"/>
  <c r="B766" i="5" s="1"/>
  <c r="C767" i="1"/>
  <c r="B767" i="5" s="1"/>
  <c r="C768" i="1"/>
  <c r="B768" i="5" s="1"/>
  <c r="C769" i="1"/>
  <c r="B769" i="5" s="1"/>
  <c r="C770" i="1"/>
  <c r="B770" i="5" s="1"/>
  <c r="C771" i="1"/>
  <c r="B771" i="5" s="1"/>
  <c r="C772" i="1"/>
  <c r="B772" i="5" s="1"/>
  <c r="C773" i="1"/>
  <c r="B773" i="5" s="1"/>
  <c r="C774" i="1"/>
  <c r="B774" i="5" s="1"/>
  <c r="C775" i="1"/>
  <c r="B775" i="5" s="1"/>
  <c r="C776" i="1"/>
  <c r="B776" i="5" s="1"/>
  <c r="C777" i="1"/>
  <c r="B777" i="5" s="1"/>
  <c r="C778" i="1"/>
  <c r="B778" i="5" s="1"/>
  <c r="C779" i="1"/>
  <c r="B779" i="5" s="1"/>
  <c r="C780" i="1"/>
  <c r="B780" i="5" s="1"/>
  <c r="C781" i="1"/>
  <c r="B781" i="5" s="1"/>
  <c r="C782" i="1"/>
  <c r="B782" i="5" s="1"/>
  <c r="C783" i="1"/>
  <c r="B783" i="5" s="1"/>
  <c r="C784" i="1"/>
  <c r="B784" i="5" s="1"/>
  <c r="C785" i="1"/>
  <c r="B785" i="5" s="1"/>
  <c r="C786" i="1"/>
  <c r="B786" i="5" s="1"/>
  <c r="C787" i="1"/>
  <c r="B787" i="5" s="1"/>
  <c r="C788" i="1"/>
  <c r="B788" i="5" s="1"/>
  <c r="C789" i="1"/>
  <c r="B789" i="5" s="1"/>
  <c r="C790" i="1"/>
  <c r="B790" i="5" s="1"/>
  <c r="C791" i="1"/>
  <c r="B791" i="5" s="1"/>
  <c r="C792" i="1"/>
  <c r="B792" i="5" s="1"/>
  <c r="C793" i="1"/>
  <c r="B793" i="5" s="1"/>
  <c r="C794" i="1"/>
  <c r="B794" i="5" s="1"/>
  <c r="C795" i="1"/>
  <c r="B795" i="5" s="1"/>
  <c r="C796" i="1"/>
  <c r="B796" i="5" s="1"/>
  <c r="C797" i="1"/>
  <c r="B797" i="5" s="1"/>
  <c r="C798" i="1"/>
  <c r="B798" i="5" s="1"/>
  <c r="C799" i="1"/>
  <c r="B799" i="5" s="1"/>
  <c r="C800" i="1"/>
  <c r="B800" i="5" s="1"/>
  <c r="C801" i="1"/>
  <c r="B801" i="5" s="1"/>
  <c r="C802" i="1"/>
  <c r="B802" i="5" s="1"/>
  <c r="C803" i="1"/>
  <c r="B803" i="5" s="1"/>
  <c r="C804" i="1"/>
  <c r="B804" i="5" s="1"/>
  <c r="C805" i="1"/>
  <c r="B805" i="5" s="1"/>
  <c r="C806" i="1"/>
  <c r="B806" i="5" s="1"/>
  <c r="C807" i="1"/>
  <c r="B807" i="5" s="1"/>
  <c r="C808" i="1"/>
  <c r="B808" i="5" s="1"/>
  <c r="C809" i="1"/>
  <c r="B809" i="5" s="1"/>
  <c r="C810" i="1"/>
  <c r="B810" i="5" s="1"/>
  <c r="C811" i="1"/>
  <c r="B811" i="5" s="1"/>
  <c r="C812" i="1"/>
  <c r="B812" i="5" s="1"/>
  <c r="C813" i="1"/>
  <c r="B813" i="5" s="1"/>
  <c r="C814" i="1"/>
  <c r="B814" i="5" s="1"/>
  <c r="C815" i="1"/>
  <c r="B815" i="5" s="1"/>
  <c r="C816" i="1"/>
  <c r="B816" i="5" s="1"/>
  <c r="C817" i="1"/>
  <c r="B817" i="5" s="1"/>
  <c r="C818" i="1"/>
  <c r="B818" i="5" s="1"/>
  <c r="C819" i="1"/>
  <c r="B819" i="5" s="1"/>
  <c r="C820" i="1"/>
  <c r="B820" i="5" s="1"/>
  <c r="C821" i="1"/>
  <c r="B821" i="5" s="1"/>
  <c r="C822" i="1"/>
  <c r="B822" i="5" s="1"/>
  <c r="C823" i="1"/>
  <c r="B823" i="5" s="1"/>
  <c r="C824" i="1"/>
  <c r="B824" i="5" s="1"/>
  <c r="C825" i="1"/>
  <c r="B825" i="5" s="1"/>
  <c r="C826" i="1"/>
  <c r="B826" i="5" s="1"/>
  <c r="C827" i="1"/>
  <c r="B827" i="5" s="1"/>
  <c r="C828" i="1"/>
  <c r="B828" i="5" s="1"/>
  <c r="C829" i="1"/>
  <c r="B829" i="5" s="1"/>
  <c r="C830" i="1"/>
  <c r="B830" i="5" s="1"/>
  <c r="C831" i="1"/>
  <c r="B831" i="5" s="1"/>
  <c r="C832" i="1"/>
  <c r="B832" i="5" s="1"/>
  <c r="C833" i="1"/>
  <c r="B833" i="5" s="1"/>
  <c r="C834" i="1"/>
  <c r="B834" i="5" s="1"/>
  <c r="C835" i="1"/>
  <c r="B835" i="5" s="1"/>
  <c r="C836" i="1"/>
  <c r="B836" i="5" s="1"/>
  <c r="C837" i="1"/>
  <c r="B837" i="5" s="1"/>
  <c r="C838" i="1"/>
  <c r="B838" i="5" s="1"/>
  <c r="C839" i="1"/>
  <c r="B839" i="5" s="1"/>
  <c r="C840" i="1"/>
  <c r="B840" i="5" s="1"/>
  <c r="C841" i="1"/>
  <c r="B841" i="5" s="1"/>
  <c r="C842" i="1"/>
  <c r="B842" i="5" s="1"/>
  <c r="C843" i="1"/>
  <c r="B843" i="5" s="1"/>
  <c r="C844" i="1"/>
  <c r="B844" i="5" s="1"/>
  <c r="C845" i="1"/>
  <c r="B845" i="5" s="1"/>
  <c r="C846" i="1"/>
  <c r="B846" i="5" s="1"/>
  <c r="C847" i="1"/>
  <c r="B847" i="5" s="1"/>
  <c r="C848" i="1"/>
  <c r="B848" i="5" s="1"/>
  <c r="C849" i="1"/>
  <c r="B849" i="5" s="1"/>
  <c r="C850" i="1"/>
  <c r="B850" i="5" s="1"/>
  <c r="C851" i="1"/>
  <c r="B851" i="5" s="1"/>
  <c r="C852" i="1"/>
  <c r="B852" i="5" s="1"/>
  <c r="C853" i="1"/>
  <c r="B853" i="5" s="1"/>
  <c r="C854" i="1"/>
  <c r="B854" i="5" s="1"/>
  <c r="C855" i="1"/>
  <c r="B855" i="5" s="1"/>
  <c r="C856" i="1"/>
  <c r="B856" i="5" s="1"/>
  <c r="C857" i="1"/>
  <c r="B857" i="5" s="1"/>
  <c r="C858" i="1"/>
  <c r="B858" i="5" s="1"/>
  <c r="C859" i="1"/>
  <c r="B859" i="5" s="1"/>
  <c r="C860" i="1"/>
  <c r="B860" i="5" s="1"/>
  <c r="C861" i="1"/>
  <c r="B861" i="5" s="1"/>
  <c r="C862" i="1"/>
  <c r="B862" i="5" s="1"/>
  <c r="C863" i="1"/>
  <c r="B863" i="5" s="1"/>
  <c r="C864" i="1"/>
  <c r="B864" i="5" s="1"/>
  <c r="C865" i="1"/>
  <c r="B865" i="5" s="1"/>
  <c r="C866" i="1"/>
  <c r="B866" i="5" s="1"/>
  <c r="C867" i="1"/>
  <c r="B867" i="5" s="1"/>
  <c r="C868" i="1"/>
  <c r="B868" i="5" s="1"/>
  <c r="C869" i="1"/>
  <c r="B869" i="5" s="1"/>
  <c r="C870" i="1"/>
  <c r="B870" i="5" s="1"/>
  <c r="C871" i="1"/>
  <c r="B871" i="5" s="1"/>
  <c r="C872" i="1"/>
  <c r="B872" i="5" s="1"/>
  <c r="C873" i="1"/>
  <c r="B873" i="5" s="1"/>
  <c r="C874" i="1"/>
  <c r="B874" i="5" s="1"/>
  <c r="C875" i="1"/>
  <c r="B875" i="5" s="1"/>
  <c r="C876" i="1"/>
  <c r="B876" i="5" s="1"/>
  <c r="C877" i="1"/>
  <c r="B877" i="5" s="1"/>
  <c r="C878" i="1"/>
  <c r="B878" i="5" s="1"/>
  <c r="C879" i="1"/>
  <c r="B879" i="5" s="1"/>
  <c r="C880" i="1"/>
  <c r="B880" i="5" s="1"/>
  <c r="C881" i="1"/>
  <c r="B881" i="5" s="1"/>
  <c r="C882" i="1"/>
  <c r="B882" i="5" s="1"/>
  <c r="C883" i="1"/>
  <c r="B883" i="5" s="1"/>
  <c r="C884" i="1"/>
  <c r="B884" i="5" s="1"/>
  <c r="C885" i="1"/>
  <c r="B885" i="5" s="1"/>
  <c r="C886" i="1"/>
  <c r="B886" i="5" s="1"/>
  <c r="C887" i="1"/>
  <c r="B887" i="5" s="1"/>
  <c r="C888" i="1"/>
  <c r="B888" i="5" s="1"/>
  <c r="C889" i="1"/>
  <c r="B889" i="5" s="1"/>
  <c r="C890" i="1"/>
  <c r="B890" i="5" s="1"/>
  <c r="C891" i="1"/>
  <c r="B891" i="5" s="1"/>
  <c r="C892" i="1"/>
  <c r="B892" i="5" s="1"/>
  <c r="C893" i="1"/>
  <c r="B893" i="5" s="1"/>
  <c r="C894" i="1"/>
  <c r="B894" i="5" s="1"/>
  <c r="C895" i="1"/>
  <c r="B895" i="5" s="1"/>
  <c r="C896" i="1"/>
  <c r="B896" i="5" s="1"/>
  <c r="C897" i="1"/>
  <c r="B897" i="5" s="1"/>
  <c r="C898" i="1"/>
  <c r="B898" i="5" s="1"/>
  <c r="C899" i="1"/>
  <c r="B899" i="5" s="1"/>
  <c r="C900" i="1"/>
  <c r="B900" i="5" s="1"/>
  <c r="C901" i="1"/>
  <c r="B901" i="5" s="1"/>
  <c r="C902" i="1"/>
  <c r="B902" i="5" s="1"/>
  <c r="C903" i="1"/>
  <c r="B903" i="5" s="1"/>
  <c r="C904" i="1"/>
  <c r="B904" i="5" s="1"/>
  <c r="C905" i="1"/>
  <c r="B905" i="5" s="1"/>
  <c r="C906" i="1"/>
  <c r="B906" i="5" s="1"/>
  <c r="C907" i="1"/>
  <c r="B907" i="5" s="1"/>
  <c r="C908" i="1"/>
  <c r="B908" i="5" s="1"/>
  <c r="C909" i="1"/>
  <c r="B909" i="5" s="1"/>
  <c r="C910" i="1"/>
  <c r="B910" i="5" s="1"/>
  <c r="C911" i="1"/>
  <c r="B911" i="5" s="1"/>
  <c r="C912" i="1"/>
  <c r="B912" i="5" s="1"/>
  <c r="C913" i="1"/>
  <c r="B913" i="5" s="1"/>
  <c r="C914" i="1"/>
  <c r="B914" i="5" s="1"/>
  <c r="C915" i="1"/>
  <c r="B915" i="5" s="1"/>
  <c r="C916" i="1"/>
  <c r="B916" i="5" s="1"/>
  <c r="C917" i="1"/>
  <c r="B917" i="5" s="1"/>
  <c r="C918" i="1"/>
  <c r="B918" i="5" s="1"/>
  <c r="C919" i="1"/>
  <c r="B919" i="5" s="1"/>
  <c r="C920" i="1"/>
  <c r="B920" i="5" s="1"/>
  <c r="C921" i="1"/>
  <c r="B921" i="5" s="1"/>
  <c r="C922" i="1"/>
  <c r="B922" i="5" s="1"/>
  <c r="C923" i="1"/>
  <c r="B923" i="5" s="1"/>
  <c r="C924" i="1"/>
  <c r="B924" i="5" s="1"/>
  <c r="C925" i="1"/>
  <c r="B925" i="5" s="1"/>
  <c r="C926" i="1"/>
  <c r="B926" i="5" s="1"/>
  <c r="C927" i="1"/>
  <c r="B927" i="5" s="1"/>
  <c r="C928" i="1"/>
  <c r="B928" i="5" s="1"/>
  <c r="C929" i="1"/>
  <c r="B929" i="5" s="1"/>
  <c r="C930" i="1"/>
  <c r="B930" i="5" s="1"/>
  <c r="C931" i="1"/>
  <c r="B931" i="5" s="1"/>
  <c r="C932" i="1"/>
  <c r="B932" i="5" s="1"/>
  <c r="C933" i="1"/>
  <c r="B933" i="5" s="1"/>
  <c r="C934" i="1"/>
  <c r="B934" i="5" s="1"/>
  <c r="C935" i="1"/>
  <c r="B935" i="5" s="1"/>
  <c r="C936" i="1"/>
  <c r="B936" i="5" s="1"/>
  <c r="C937" i="1"/>
  <c r="B937" i="5" s="1"/>
  <c r="C938" i="1"/>
  <c r="B938" i="5" s="1"/>
  <c r="C939" i="1"/>
  <c r="B939" i="5" s="1"/>
  <c r="C940" i="1"/>
  <c r="B940" i="5" s="1"/>
  <c r="C941" i="1"/>
  <c r="B941" i="5" s="1"/>
  <c r="C942" i="1"/>
  <c r="B942" i="5" s="1"/>
  <c r="C943" i="1"/>
  <c r="B943" i="5" s="1"/>
  <c r="C944" i="1"/>
  <c r="B944" i="5" s="1"/>
  <c r="C945" i="1"/>
  <c r="B945" i="5" s="1"/>
  <c r="C946" i="1"/>
  <c r="B946" i="5" s="1"/>
  <c r="C947" i="1"/>
  <c r="B947" i="5" s="1"/>
  <c r="C948" i="1"/>
  <c r="B948" i="5" s="1"/>
  <c r="C949" i="1"/>
  <c r="B949" i="5" s="1"/>
  <c r="C950" i="1"/>
  <c r="B950" i="5" s="1"/>
  <c r="C951" i="1"/>
  <c r="B951" i="5" s="1"/>
  <c r="C952" i="1"/>
  <c r="B952" i="5" s="1"/>
  <c r="C953" i="1"/>
  <c r="B953" i="5" s="1"/>
  <c r="C954" i="1"/>
  <c r="B954" i="5" s="1"/>
  <c r="C955" i="1"/>
  <c r="B955" i="5" s="1"/>
  <c r="C956" i="1"/>
  <c r="B956" i="5" s="1"/>
  <c r="C957" i="1"/>
  <c r="B957" i="5" s="1"/>
  <c r="C958" i="1"/>
  <c r="B958" i="5" s="1"/>
  <c r="C959" i="1"/>
  <c r="B959" i="5" s="1"/>
  <c r="C960" i="1"/>
  <c r="B960" i="5" s="1"/>
  <c r="C961" i="1"/>
  <c r="B961" i="5" s="1"/>
  <c r="C962" i="1"/>
  <c r="B962" i="5" s="1"/>
  <c r="C963" i="1"/>
  <c r="B963" i="5" s="1"/>
  <c r="C964" i="1"/>
  <c r="B964" i="5" s="1"/>
  <c r="C965" i="1"/>
  <c r="B965" i="5" s="1"/>
  <c r="C966" i="1"/>
  <c r="B966" i="5" s="1"/>
  <c r="C967" i="1"/>
  <c r="B967" i="5" s="1"/>
  <c r="C968" i="1"/>
  <c r="B968" i="5" s="1"/>
  <c r="C969" i="1"/>
  <c r="B969" i="5" s="1"/>
  <c r="C970" i="1"/>
  <c r="B970" i="5" s="1"/>
  <c r="C971" i="1"/>
  <c r="B971" i="5" s="1"/>
  <c r="C972" i="1"/>
  <c r="B972" i="5" s="1"/>
  <c r="C973" i="1"/>
  <c r="B973" i="5" s="1"/>
  <c r="C974" i="1"/>
  <c r="B974" i="5" s="1"/>
  <c r="C975" i="1"/>
  <c r="B975" i="5" s="1"/>
  <c r="C976" i="1"/>
  <c r="B976" i="5" s="1"/>
  <c r="C977" i="1"/>
  <c r="B977" i="5" s="1"/>
  <c r="C978" i="1"/>
  <c r="B978" i="5" s="1"/>
  <c r="C979" i="1"/>
  <c r="B979" i="5" s="1"/>
  <c r="C980" i="1"/>
  <c r="B980" i="5" s="1"/>
  <c r="C981" i="1"/>
  <c r="B981" i="5" s="1"/>
  <c r="C982" i="1"/>
  <c r="B982" i="5" s="1"/>
  <c r="C983" i="1"/>
  <c r="B983" i="5" s="1"/>
  <c r="C984" i="1"/>
  <c r="B984" i="5" s="1"/>
  <c r="C985" i="1"/>
  <c r="B985" i="5" s="1"/>
  <c r="C986" i="1"/>
  <c r="B986" i="5" s="1"/>
  <c r="C987" i="1"/>
  <c r="B987" i="5" s="1"/>
  <c r="C988" i="1"/>
  <c r="B988" i="5" s="1"/>
  <c r="C989" i="1"/>
  <c r="B989" i="5" s="1"/>
  <c r="C990" i="1"/>
  <c r="B990" i="5" s="1"/>
  <c r="C991" i="1"/>
  <c r="B991" i="5" s="1"/>
  <c r="C992" i="1"/>
  <c r="B992" i="5" s="1"/>
  <c r="C993" i="1"/>
  <c r="B993" i="5" s="1"/>
  <c r="C994" i="1"/>
  <c r="B994" i="5" s="1"/>
  <c r="C995" i="1"/>
  <c r="B995" i="5" s="1"/>
  <c r="C996" i="1"/>
  <c r="B996" i="5" s="1"/>
  <c r="C997" i="1"/>
  <c r="B997" i="5" s="1"/>
  <c r="C998" i="1"/>
  <c r="B998" i="5" s="1"/>
  <c r="C999" i="1"/>
  <c r="B999" i="5" s="1"/>
  <c r="C1000" i="1"/>
  <c r="B1000" i="5" s="1"/>
  <c r="C1001" i="1"/>
  <c r="B1001" i="5" s="1"/>
  <c r="B1004" i="1"/>
  <c r="D1004" i="1"/>
  <c r="A1004" i="1"/>
</calcChain>
</file>

<file path=xl/sharedStrings.xml><?xml version="1.0" encoding="utf-8"?>
<sst xmlns="http://schemas.openxmlformats.org/spreadsheetml/2006/main" count="7916" uniqueCount="2115">
  <si>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</si>
  <si>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</si>
  <si>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</si>
  <si>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</si>
  <si>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</si>
  <si>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</si>
  <si>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</si>
  <si>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</si>
  <si>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</si>
  <si>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</si>
  <si>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</si>
  <si>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</si>
  <si>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</si>
  <si>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</si>
  <si>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</si>
  <si>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</si>
  <si>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</si>
  <si>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</si>
  <si>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</si>
  <si>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</si>
  <si>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</si>
  <si>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</si>
  <si>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</si>
  <si>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</si>
  <si>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USD 100</t>
  </si>
  <si>
    <t>FL250003</t>
  </si>
  <si>
    <t>Juan Nelson</t>
  </si>
  <si>
    <t>male</t>
  </si>
  <si>
    <t>Germany</t>
  </si>
  <si>
    <t>German</t>
  </si>
  <si>
    <t>Graphic Design</t>
  </si>
  <si>
    <t>N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</si>
  <si>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</si>
  <si>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</si>
  <si>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</si>
  <si>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</si>
  <si>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</si>
  <si>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</si>
  <si>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</si>
  <si>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</si>
  <si>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</si>
  <si>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</si>
  <si>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</si>
  <si>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</si>
  <si>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</si>
  <si>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</si>
  <si>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</si>
  <si>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</si>
  <si>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</si>
  <si>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</si>
  <si>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</si>
  <si>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</si>
  <si>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</si>
  <si>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</si>
  <si>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</si>
  <si>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</si>
  <si>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</si>
  <si>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</si>
  <si>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</si>
  <si>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</si>
  <si>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</si>
  <si>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</si>
  <si>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</si>
  <si>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</si>
  <si>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$50</t>
  </si>
  <si>
    <t>FL250011</t>
  </si>
  <si>
    <t>Gavin Randall</t>
  </si>
  <si>
    <t>United Kingdom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</si>
  <si>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</si>
  <si>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</si>
  <si>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</si>
  <si>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</si>
  <si>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</si>
  <si>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</si>
  <si>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</si>
  <si>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</si>
  <si>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</si>
  <si>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</si>
  <si>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</si>
  <si>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</si>
  <si>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</si>
  <si>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</si>
  <si>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</si>
  <si>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</si>
  <si>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</si>
  <si>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</si>
  <si>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</si>
  <si>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</si>
  <si>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</si>
  <si>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</si>
  <si>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</si>
  <si>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</si>
  <si>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</si>
  <si>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</si>
  <si>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</si>
  <si>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</si>
  <si>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</si>
  <si>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</si>
  <si>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</si>
  <si>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</si>
  <si>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</si>
  <si>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</si>
  <si>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</si>
  <si>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</si>
  <si>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</si>
  <si>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</si>
  <si>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</si>
  <si>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</si>
  <si>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</si>
  <si>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</si>
  <si>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</si>
  <si>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</si>
  <si>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</si>
  <si>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</si>
  <si>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</si>
  <si>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</si>
  <si>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</si>
  <si>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</si>
  <si>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</si>
  <si>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</si>
  <si>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</si>
  <si>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</si>
  <si>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</si>
  <si>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</si>
  <si>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</si>
  <si>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</si>
  <si>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</si>
  <si>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</si>
  <si>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</si>
  <si>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</si>
  <si>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</si>
  <si>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</si>
  <si>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</si>
  <si>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</si>
  <si>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</si>
  <si>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</si>
  <si>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</si>
  <si>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</si>
  <si>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</si>
  <si>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</si>
  <si>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</si>
  <si>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</si>
  <si>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</si>
  <si>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</si>
  <si>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</si>
  <si>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</si>
  <si>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</si>
  <si>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</si>
  <si>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</si>
  <si>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</si>
  <si>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</si>
  <si>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</si>
  <si>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</si>
  <si>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</si>
  <si>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</si>
  <si>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</si>
  <si>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</si>
  <si>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</si>
  <si>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</si>
  <si>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</si>
  <si>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</si>
  <si>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</si>
  <si>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</si>
  <si>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</si>
  <si>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</si>
  <si>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</si>
  <si>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</si>
  <si>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</si>
  <si>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</si>
  <si>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</si>
  <si>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</si>
  <si>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</si>
  <si>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</si>
  <si>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</si>
  <si>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</si>
  <si>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</si>
  <si>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</si>
  <si>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</si>
  <si>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</si>
  <si>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</si>
  <si>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</si>
  <si>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</si>
  <si>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</si>
  <si>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</si>
  <si>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</si>
  <si>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</si>
  <si>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</si>
  <si>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</si>
  <si>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</si>
  <si>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</si>
  <si>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</si>
  <si>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</si>
  <si>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</si>
  <si>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</si>
  <si>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</si>
  <si>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</si>
  <si>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</si>
  <si>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</si>
  <si>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</si>
  <si>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</si>
  <si>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</si>
  <si>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</si>
  <si>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</si>
  <si>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</si>
  <si>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</si>
  <si>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</si>
  <si>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</si>
  <si>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</si>
  <si>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</si>
  <si>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</si>
  <si>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</si>
  <si>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</si>
  <si>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</si>
  <si>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</si>
  <si>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</si>
  <si>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</si>
  <si>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</si>
  <si>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</si>
  <si>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</si>
  <si>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</si>
  <si>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</si>
  <si>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</si>
  <si>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</si>
  <si>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</si>
  <si>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</si>
  <si>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</si>
  <si>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</si>
  <si>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</si>
  <si>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</si>
  <si>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</si>
  <si>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</si>
  <si>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</si>
  <si>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</si>
  <si>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</si>
  <si>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</si>
  <si>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</si>
  <si>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</si>
  <si>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</si>
  <si>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</si>
  <si>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</si>
  <si>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</si>
  <si>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</si>
  <si>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</si>
  <si>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</si>
  <si>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</si>
  <si>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</si>
  <si>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</si>
  <si>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</si>
  <si>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</si>
  <si>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</si>
  <si>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</si>
  <si>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</si>
  <si>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</si>
  <si>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</si>
  <si>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</si>
  <si>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</si>
  <si>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</si>
  <si>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</si>
  <si>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</si>
  <si>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</si>
  <si>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</si>
  <si>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</si>
  <si>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</si>
  <si>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</si>
  <si>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</si>
  <si>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</si>
  <si>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</si>
  <si>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</si>
  <si>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</si>
  <si>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</si>
  <si>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</si>
  <si>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</si>
  <si>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</si>
  <si>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</si>
  <si>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</si>
  <si>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</si>
  <si>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</si>
  <si>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</si>
  <si>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</si>
  <si>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</si>
  <si>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</si>
  <si>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</si>
  <si>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</si>
  <si>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</si>
  <si>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</si>
  <si>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</si>
  <si>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</si>
  <si>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</si>
  <si>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</si>
  <si>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</si>
  <si>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</si>
  <si>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</si>
  <si>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</si>
  <si>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</si>
  <si>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</si>
  <si>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</si>
  <si>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</si>
  <si>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</si>
  <si>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</si>
  <si>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</si>
  <si>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</si>
  <si>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</si>
  <si>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</si>
  <si>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</si>
  <si>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</si>
  <si>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</si>
  <si>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</si>
  <si>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</si>
  <si>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</si>
  <si>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</si>
  <si>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</si>
  <si>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</si>
  <si>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</si>
  <si>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</si>
  <si>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</si>
  <si>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</si>
  <si>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</si>
  <si>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</si>
  <si>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</si>
  <si>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</si>
  <si>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</si>
  <si>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</si>
  <si>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</si>
  <si>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</si>
  <si>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</si>
  <si>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</si>
  <si>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</si>
  <si>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</si>
  <si>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</si>
  <si>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</si>
  <si>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</si>
  <si>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</si>
  <si>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</si>
  <si>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</si>
  <si>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</si>
  <si>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</si>
  <si>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</si>
  <si>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</si>
  <si>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</si>
  <si>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</si>
  <si>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</si>
  <si>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</si>
  <si>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</si>
  <si>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</si>
  <si>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</si>
  <si>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</si>
  <si>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</si>
  <si>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</si>
  <si>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</si>
  <si>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</si>
  <si>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</si>
  <si>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</si>
  <si>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</si>
  <si>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</si>
  <si>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</si>
  <si>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</si>
  <si>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</si>
  <si>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</si>
  <si>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</si>
  <si>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</si>
  <si>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</si>
  <si>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</si>
  <si>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</si>
  <si>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</si>
  <si>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</si>
  <si>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</si>
  <si>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</si>
  <si>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</si>
  <si>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</si>
  <si>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</si>
  <si>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</si>
  <si>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</si>
  <si>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</si>
  <si>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</si>
  <si>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</si>
  <si>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</si>
  <si>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</si>
  <si>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</si>
  <si>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</si>
  <si>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</si>
  <si>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</si>
  <si>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</si>
  <si>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</si>
  <si>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</si>
  <si>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</si>
  <si>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</si>
  <si>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</si>
  <si>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</si>
  <si>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</si>
  <si>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</si>
  <si>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</si>
  <si>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</si>
  <si>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</si>
  <si>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</si>
  <si>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</si>
  <si>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</si>
  <si>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</si>
  <si>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</si>
  <si>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</si>
  <si>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</si>
  <si>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</si>
  <si>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</si>
  <si>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</si>
  <si>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</si>
  <si>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</si>
  <si>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</si>
  <si>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</si>
  <si>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</si>
  <si>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</si>
  <si>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</si>
  <si>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</si>
  <si>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</si>
  <si>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</si>
  <si>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</si>
  <si>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</si>
  <si>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</si>
  <si>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</si>
  <si>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</si>
  <si>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</si>
  <si>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</si>
  <si>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</si>
  <si>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</si>
  <si>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</si>
  <si>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</si>
  <si>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</si>
  <si>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</si>
  <si>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</si>
  <si>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</si>
  <si>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</si>
  <si>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</si>
  <si>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</si>
  <si>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</si>
  <si>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</si>
  <si>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</si>
  <si>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</si>
  <si>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</si>
  <si>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</si>
  <si>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</si>
  <si>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</si>
  <si>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</si>
  <si>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</si>
  <si>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</si>
  <si>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</si>
  <si>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</si>
  <si>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</si>
  <si>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</si>
  <si>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</si>
  <si>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</si>
  <si>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</si>
  <si>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</si>
  <si>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</si>
  <si>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</si>
  <si>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</si>
  <si>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</si>
  <si>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</si>
  <si>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</si>
  <si>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</si>
  <si>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</si>
  <si>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</si>
  <si>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</si>
  <si>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</si>
  <si>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</si>
  <si>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</si>
  <si>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</si>
  <si>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</si>
  <si>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</si>
  <si>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</si>
  <si>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</si>
  <si>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</si>
  <si>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</si>
  <si>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</si>
  <si>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</si>
  <si>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</si>
  <si>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</si>
  <si>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</si>
  <si>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</si>
  <si>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</si>
  <si>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</si>
  <si>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</si>
  <si>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</si>
  <si>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</si>
  <si>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</si>
  <si>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</si>
  <si>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</si>
  <si>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</si>
  <si>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</si>
  <si>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</si>
  <si>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</si>
  <si>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</si>
  <si>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</si>
  <si>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</si>
  <si>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</si>
  <si>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</si>
  <si>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</si>
  <si>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</si>
  <si>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</si>
  <si>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</si>
  <si>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</si>
  <si>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</si>
  <si>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</si>
  <si>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</si>
  <si>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</si>
  <si>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</si>
  <si>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</si>
  <si>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</si>
  <si>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</si>
  <si>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</si>
  <si>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</si>
  <si>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</si>
  <si>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</si>
  <si>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</si>
  <si>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</si>
  <si>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</si>
  <si>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</si>
  <si>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</si>
  <si>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</si>
  <si>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</si>
  <si>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</si>
  <si>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</si>
  <si>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</si>
  <si>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</si>
  <si>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</si>
  <si>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</si>
  <si>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</si>
  <si>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</si>
  <si>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</si>
  <si>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</si>
  <si>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</si>
  <si>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</si>
  <si>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</si>
  <si>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</si>
  <si>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</si>
  <si>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</si>
  <si>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</si>
  <si>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</si>
  <si>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</si>
  <si>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</si>
  <si>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</si>
  <si>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</si>
  <si>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</si>
  <si>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</si>
  <si>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</si>
  <si>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</si>
  <si>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</si>
  <si>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</si>
  <si>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</si>
  <si>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</si>
  <si>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</si>
  <si>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</si>
  <si>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</si>
  <si>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</si>
  <si>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</si>
  <si>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</si>
  <si>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</si>
  <si>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</si>
  <si>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</si>
  <si>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</si>
  <si>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</si>
  <si>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</si>
  <si>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</si>
  <si>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</si>
  <si>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</si>
  <si>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</si>
  <si>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</si>
  <si>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</si>
  <si>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</si>
  <si>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</si>
  <si>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</si>
  <si>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</si>
  <si>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</si>
  <si>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</si>
  <si>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</si>
  <si>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</si>
  <si>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</si>
  <si>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</si>
  <si>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</si>
  <si>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</si>
  <si>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</si>
  <si>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</si>
  <si>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</si>
  <si>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</si>
  <si>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</si>
  <si>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</si>
  <si>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</si>
  <si>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</si>
  <si>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</si>
  <si>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</si>
  <si>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</si>
  <si>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</si>
  <si>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</si>
  <si>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</si>
  <si>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</si>
  <si>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</si>
  <si>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</si>
  <si>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</si>
  <si>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</si>
  <si>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</si>
  <si>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</si>
  <si>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</si>
  <si>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</si>
  <si>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</si>
  <si>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</si>
  <si>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</si>
  <si>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</si>
  <si>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</si>
  <si>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</si>
  <si>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</si>
  <si>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</si>
  <si>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</si>
  <si>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</si>
  <si>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</si>
  <si>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</si>
  <si>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</si>
  <si>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</si>
  <si>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</si>
  <si>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</si>
  <si>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</si>
  <si>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</si>
  <si>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</si>
  <si>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</si>
  <si>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</si>
  <si>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</si>
  <si>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</si>
  <si>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</si>
  <si>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</si>
  <si>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</si>
  <si>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</si>
  <si>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</si>
  <si>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</si>
  <si>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</si>
  <si>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</si>
  <si>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</si>
  <si>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</si>
  <si>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</si>
  <si>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</si>
  <si>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</si>
  <si>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</si>
  <si>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</si>
  <si>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</si>
  <si>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</si>
  <si>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</si>
  <si>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</si>
  <si>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</si>
  <si>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</si>
  <si>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</si>
  <si>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</si>
  <si>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</si>
  <si>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</si>
  <si>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</si>
  <si>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</si>
  <si>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</si>
  <si>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</si>
  <si>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</si>
  <si>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</si>
  <si>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</si>
  <si>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</si>
  <si>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</si>
  <si>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</si>
  <si>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</si>
  <si>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</si>
  <si>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</si>
  <si>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</si>
  <si>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</si>
  <si>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</si>
  <si>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</si>
  <si>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</si>
  <si>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</si>
  <si>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</si>
  <si>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</si>
  <si>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</si>
  <si>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</si>
  <si>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</si>
  <si>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</si>
  <si>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</si>
  <si>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</si>
  <si>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</si>
  <si>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</si>
  <si>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</si>
  <si>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</si>
  <si>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</si>
  <si>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</si>
  <si>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</si>
  <si>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</si>
  <si>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</si>
  <si>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</si>
  <si>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</si>
  <si>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</si>
  <si>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</si>
  <si>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</si>
  <si>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</si>
  <si>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</si>
  <si>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</si>
  <si>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</si>
  <si>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</si>
  <si>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</si>
  <si>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</si>
  <si>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</si>
  <si>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</si>
  <si>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</si>
  <si>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</si>
  <si>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</si>
  <si>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</si>
  <si>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</si>
  <si>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</si>
  <si>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</si>
  <si>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</si>
  <si>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</si>
  <si>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</si>
  <si>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</si>
  <si>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</si>
  <si>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</si>
  <si>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</si>
  <si>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</si>
  <si>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</si>
  <si>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</si>
  <si>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</si>
  <si>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</si>
  <si>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</si>
  <si>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</si>
  <si>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</si>
  <si>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</si>
  <si>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</si>
  <si>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</si>
  <si>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</si>
  <si>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</si>
  <si>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</si>
  <si>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</si>
  <si>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</si>
  <si>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</si>
  <si>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</si>
  <si>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</si>
  <si>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</si>
  <si>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</si>
  <si>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</si>
  <si>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</si>
  <si>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</si>
  <si>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</si>
  <si>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</si>
  <si>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</si>
  <si>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</si>
  <si>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</si>
  <si>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</si>
  <si>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</si>
  <si>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</si>
  <si>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</si>
  <si>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</si>
  <si>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</si>
  <si>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</si>
  <si>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</si>
  <si>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</si>
  <si>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</si>
  <si>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</si>
  <si>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</si>
  <si>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</si>
  <si>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</si>
  <si>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</si>
  <si>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</si>
  <si>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</si>
  <si>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</si>
  <si>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</si>
  <si>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</si>
  <si>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</si>
  <si>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</si>
  <si>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</si>
  <si>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</si>
  <si>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</si>
  <si>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</si>
  <si>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</si>
  <si>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</si>
  <si>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</si>
  <si>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</si>
  <si>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</si>
  <si>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</si>
  <si>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</si>
  <si>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</si>
  <si>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</si>
  <si>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</si>
  <si>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</si>
  <si>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</si>
  <si>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</si>
  <si>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</si>
  <si>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</si>
  <si>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</si>
  <si>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</si>
  <si>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</si>
  <si>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</si>
  <si>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</si>
  <si>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</si>
  <si>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</si>
  <si>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</si>
  <si>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</si>
  <si>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</si>
  <si>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</si>
  <si>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</si>
  <si>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</si>
  <si>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</si>
  <si>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</si>
  <si>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</si>
  <si>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</si>
  <si>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</si>
  <si>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</si>
  <si>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</si>
  <si>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</si>
  <si>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</si>
  <si>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</si>
  <si>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</si>
  <si>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</si>
  <si>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</si>
  <si>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</si>
  <si>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</si>
  <si>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</si>
  <si>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</si>
  <si>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</si>
  <si>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</si>
  <si>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</si>
  <si>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</si>
  <si>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</si>
  <si>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</si>
  <si>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</si>
  <si>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</si>
  <si>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</si>
  <si>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</si>
  <si>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</si>
  <si>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</si>
  <si>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</si>
  <si>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</si>
  <si>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</si>
  <si>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</si>
  <si>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</si>
  <si>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</si>
  <si>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</si>
  <si>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</si>
  <si>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</si>
  <si>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</si>
  <si>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</si>
  <si>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</si>
  <si>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</si>
  <si>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</si>
  <si>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</si>
  <si>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</si>
  <si>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</si>
  <si>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</si>
  <si>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</si>
  <si>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</si>
  <si>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</si>
  <si>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</si>
  <si>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</si>
  <si>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</si>
  <si>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</si>
  <si>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</si>
  <si>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</si>
  <si>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</si>
  <si>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</si>
  <si>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</si>
  <si>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</si>
  <si>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</si>
  <si>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</si>
  <si>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</si>
  <si>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</si>
  <si>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</si>
  <si>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</si>
  <si>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</si>
  <si>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</si>
  <si>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</si>
  <si>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</si>
  <si>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</si>
  <si>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</si>
  <si>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</si>
  <si>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</si>
  <si>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</si>
  <si>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</si>
  <si>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</si>
  <si>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</si>
  <si>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</si>
  <si>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</si>
  <si>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</si>
  <si>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</si>
  <si>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</si>
  <si>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</si>
  <si>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</si>
  <si>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</si>
  <si>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</si>
  <si>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</si>
  <si>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</si>
  <si>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</si>
  <si>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</si>
  <si>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</si>
  <si>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</si>
  <si>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</si>
  <si>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</si>
  <si>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</si>
  <si>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</si>
  <si>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</si>
  <si>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</si>
  <si>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</si>
  <si>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</si>
  <si>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</si>
  <si>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</si>
  <si>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</si>
  <si>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</si>
  <si>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</si>
  <si>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</si>
  <si>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</si>
  <si>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</si>
  <si>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</si>
  <si>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</si>
  <si>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</si>
  <si>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</si>
  <si>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</si>
  <si>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</si>
  <si>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</si>
  <si>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</si>
  <si>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</si>
  <si>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</si>
  <si>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</si>
  <si>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</si>
  <si>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</si>
  <si>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</si>
  <si>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</si>
  <si>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</si>
  <si>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</si>
  <si>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</si>
  <si>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</si>
  <si>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</si>
  <si>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</si>
  <si>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</si>
  <si>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</si>
  <si>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</si>
  <si>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</si>
  <si>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</si>
  <si>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</si>
  <si>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</si>
  <si>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</si>
  <si>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</si>
  <si>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</si>
  <si>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</si>
  <si>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</si>
  <si>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</si>
  <si>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</si>
  <si>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</si>
  <si>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</si>
  <si>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</si>
  <si>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</si>
  <si>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</si>
  <si>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</si>
  <si>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</si>
  <si>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</si>
  <si>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</si>
  <si>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</si>
  <si>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</si>
  <si>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</si>
  <si>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</si>
  <si>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</si>
  <si>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</si>
  <si>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</si>
  <si>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</si>
  <si>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</si>
  <si>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</si>
  <si>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</si>
  <si>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</si>
  <si>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</si>
  <si>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</si>
  <si>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</si>
  <si>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</si>
  <si>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</si>
  <si>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</si>
  <si>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</si>
  <si>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</si>
  <si>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</si>
  <si>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</si>
  <si>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</si>
  <si>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</si>
  <si>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</si>
  <si>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</si>
  <si>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</si>
  <si>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</si>
  <si>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</si>
  <si>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</si>
  <si>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</si>
  <si>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</si>
  <si>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</si>
  <si>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</si>
  <si>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</si>
  <si>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</si>
  <si>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</si>
  <si>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</si>
  <si>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</si>
  <si>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</si>
  <si>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</si>
  <si>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</si>
  <si>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</si>
  <si>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</si>
  <si>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</si>
  <si>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</si>
  <si>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</si>
  <si>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</si>
  <si>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</si>
  <si>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</si>
  <si>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</si>
  <si>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</si>
  <si>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</si>
  <si>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</si>
  <si>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</si>
  <si>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</si>
  <si>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</si>
  <si>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</si>
  <si>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</si>
  <si>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</si>
  <si>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</si>
  <si>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</si>
  <si>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</si>
  <si>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</si>
  <si>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</si>
  <si>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</si>
  <si>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</si>
  <si>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</si>
  <si>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</si>
  <si>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</si>
  <si>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</si>
  <si>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</si>
  <si>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</si>
  <si>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</si>
  <si>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</si>
  <si>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</si>
  <si>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</si>
  <si>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</si>
  <si>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</si>
  <si>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</si>
  <si>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</si>
  <si>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</si>
  <si>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</si>
  <si>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</si>
  <si>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</si>
  <si>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</si>
  <si>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</si>
  <si>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</si>
  <si>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</si>
  <si>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</si>
  <si>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</si>
  <si>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</si>
  <si>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</si>
  <si>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</si>
  <si>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</si>
  <si>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</si>
  <si>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</si>
  <si>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</si>
  <si>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</si>
  <si>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</si>
  <si>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</si>
  <si>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</si>
  <si>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</si>
  <si>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</si>
  <si>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</si>
  <si>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</si>
  <si>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</si>
  <si>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</si>
  <si>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</si>
  <si>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</si>
  <si>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</si>
  <si>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</si>
  <si>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</si>
  <si>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</si>
  <si>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</si>
  <si>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</si>
  <si>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</si>
  <si>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</si>
  <si>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</si>
  <si>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</si>
  <si>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</si>
  <si>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</si>
  <si>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</si>
  <si>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</si>
  <si>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</si>
  <si>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</si>
  <si>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</si>
  <si>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</si>
  <si>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</si>
  <si>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</si>
  <si>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</si>
  <si>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</si>
  <si>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</si>
  <si>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</si>
  <si>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</si>
  <si>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</si>
  <si>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</si>
  <si>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</si>
  <si>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</si>
  <si>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</si>
  <si>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</si>
  <si>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</si>
  <si>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</si>
  <si>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</si>
  <si>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</si>
  <si>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</si>
  <si>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</si>
  <si>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</si>
  <si>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</si>
  <si>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</si>
  <si>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</si>
  <si>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</si>
  <si>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</si>
  <si>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</si>
  <si>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</si>
  <si>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</si>
  <si>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</si>
  <si>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</si>
  <si>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</si>
  <si>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</si>
  <si>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</si>
  <si>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</si>
  <si>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</si>
  <si>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</si>
  <si>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</si>
  <si>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</si>
  <si>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</si>
  <si>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</si>
  <si>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</si>
  <si>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</si>
  <si>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</si>
  <si>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</si>
  <si>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</si>
  <si>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</si>
  <si>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</si>
  <si>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</si>
  <si>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</si>
  <si>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</si>
  <si>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</si>
  <si>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</si>
  <si>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</si>
  <si>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</si>
  <si>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</si>
  <si>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</si>
  <si>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</si>
  <si>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</si>
  <si>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</si>
  <si>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</si>
  <si>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</si>
  <si>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</si>
  <si>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</si>
  <si>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</si>
  <si>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</si>
  <si>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</si>
  <si>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</si>
  <si>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</si>
  <si>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</si>
  <si>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</si>
  <si>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</si>
  <si>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</si>
  <si>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</si>
  <si>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</si>
  <si>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</si>
  <si>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</si>
  <si>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</si>
  <si>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</si>
  <si>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</si>
  <si>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</si>
  <si>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</si>
  <si>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</si>
  <si>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</si>
  <si>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</si>
  <si>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</si>
  <si>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</si>
  <si>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</si>
  <si>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</si>
  <si>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</si>
  <si>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</si>
  <si>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</si>
  <si>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</si>
  <si>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</si>
  <si>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</si>
  <si>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</si>
  <si>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</si>
  <si>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</si>
  <si>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</si>
  <si>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</si>
  <si>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</si>
  <si>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</si>
  <si>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</si>
  <si>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</si>
  <si>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</si>
  <si>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</si>
  <si>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</si>
  <si>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</si>
  <si>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</si>
  <si>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</si>
  <si>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</si>
  <si>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</si>
  <si>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</si>
  <si>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</si>
  <si>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</si>
  <si>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</si>
  <si>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</si>
  <si>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</si>
  <si>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</si>
  <si>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</si>
  <si>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</si>
  <si>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</si>
  <si>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</si>
  <si>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</si>
  <si>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</si>
  <si>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</si>
  <si>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</si>
  <si>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</si>
  <si>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</si>
  <si>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</si>
  <si>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</si>
  <si>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</si>
  <si>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</si>
  <si>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</si>
  <si>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</si>
  <si>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</si>
  <si>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</si>
  <si>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</si>
  <si>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</si>
  <si>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</si>
  <si>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</si>
  <si>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</si>
  <si>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</si>
  <si>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</si>
  <si>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</si>
  <si>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</si>
  <si>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</si>
  <si>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</si>
  <si>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</si>
  <si>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</si>
  <si>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</si>
  <si>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</si>
  <si>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</si>
  <si>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</si>
  <si>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</si>
  <si>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</si>
  <si>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</si>
  <si>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</si>
  <si>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</si>
  <si>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</si>
  <si>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</si>
  <si>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</si>
  <si>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</si>
  <si>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</si>
  <si>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</si>
  <si>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</si>
  <si>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</si>
  <si>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</si>
  <si>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</si>
  <si>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</si>
  <si>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</si>
  <si>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</si>
  <si>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</si>
  <si>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</si>
  <si>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</si>
  <si>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</si>
  <si>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</si>
  <si>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</si>
  <si>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</si>
  <si>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</si>
  <si>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</si>
  <si>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</si>
  <si>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</si>
  <si>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</si>
  <si>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</si>
  <si>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</si>
  <si>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</si>
  <si>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</si>
  <si>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</si>
  <si>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</si>
  <si>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</si>
  <si>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</si>
  <si>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</si>
  <si>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</si>
  <si>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</si>
  <si>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</si>
  <si>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</si>
  <si>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</si>
  <si>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</si>
  <si>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</si>
  <si>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</si>
  <si>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</si>
  <si>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</si>
  <si>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</si>
  <si>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</si>
  <si>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</si>
  <si>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</si>
  <si>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</si>
  <si>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</si>
  <si>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</si>
  <si>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</si>
  <si>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</si>
  <si>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</si>
  <si>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</si>
  <si>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</si>
  <si>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</si>
  <si>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</si>
  <si>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</si>
  <si>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</si>
  <si>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</si>
  <si>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</si>
  <si>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</si>
  <si>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</si>
  <si>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</si>
  <si>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</si>
  <si>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</si>
  <si>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</si>
  <si>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</si>
  <si>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</si>
  <si>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</si>
  <si>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</si>
  <si>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</si>
  <si>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</si>
  <si>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</si>
  <si>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</si>
  <si>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</si>
  <si>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</si>
  <si>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</si>
  <si>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</si>
  <si>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</si>
  <si>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</si>
  <si>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</si>
  <si>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</si>
  <si>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</si>
  <si>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</si>
  <si>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</si>
  <si>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</si>
  <si>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</si>
  <si>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</si>
  <si>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</si>
  <si>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</si>
  <si>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</si>
  <si>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</si>
  <si>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</si>
  <si>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</si>
  <si>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</si>
  <si>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</si>
  <si>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</si>
  <si>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</si>
  <si>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</si>
  <si>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</si>
  <si>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</si>
  <si>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</si>
  <si>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</si>
  <si>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</si>
  <si>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</si>
  <si>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</si>
  <si>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</si>
  <si>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</si>
  <si>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</si>
  <si>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</si>
  <si>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</si>
  <si>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</si>
  <si>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</si>
  <si>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</si>
  <si>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</si>
  <si>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</si>
  <si>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</si>
  <si>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</si>
  <si>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</si>
  <si>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</si>
  <si>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</si>
  <si>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</si>
  <si>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</si>
  <si>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</si>
  <si>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</si>
  <si>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</si>
  <si>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</si>
  <si>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</si>
  <si>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</si>
  <si>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</si>
  <si>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</si>
  <si>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</si>
  <si>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</si>
  <si>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</si>
  <si>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</si>
  <si>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</si>
  <si>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</si>
  <si>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</si>
  <si>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</si>
  <si>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</si>
  <si>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</si>
  <si>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</si>
  <si>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</si>
  <si>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</si>
  <si>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</si>
  <si>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</si>
  <si>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</si>
  <si>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</si>
  <si>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</si>
  <si>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</si>
  <si>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</si>
  <si>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</si>
  <si>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</si>
  <si>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</si>
  <si>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</si>
  <si>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</si>
  <si>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</si>
  <si>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</si>
  <si>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</si>
  <si>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</si>
  <si>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</si>
  <si>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</si>
  <si>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</si>
  <si>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</si>
  <si>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</si>
  <si>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</si>
  <si>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</si>
  <si>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</si>
  <si>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</si>
  <si>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</si>
  <si>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</si>
  <si>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</si>
  <si>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</si>
  <si>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</si>
  <si>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</si>
  <si>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</si>
  <si>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</si>
  <si>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</si>
  <si>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</si>
  <si>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</si>
  <si>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</si>
  <si>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</si>
  <si>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</si>
  <si>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</si>
  <si>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</si>
  <si>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</si>
  <si>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</si>
  <si>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</si>
  <si>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</si>
  <si>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</si>
  <si>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</si>
  <si>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</si>
  <si>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</si>
  <si>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</si>
  <si>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</si>
  <si>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</si>
  <si>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</si>
  <si>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</si>
  <si>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</si>
  <si>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</si>
  <si>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</si>
  <si>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</si>
  <si>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</si>
  <si>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</si>
  <si>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</si>
  <si>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</si>
  <si>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</si>
  <si>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</si>
  <si>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</si>
  <si>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</si>
  <si>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</si>
  <si>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</si>
  <si>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</si>
  <si>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</si>
  <si>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</si>
  <si>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</si>
  <si>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</si>
  <si>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</si>
  <si>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</si>
  <si>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</si>
  <si>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</si>
  <si>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</si>
  <si>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</si>
  <si>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</si>
  <si>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</si>
  <si>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</si>
  <si>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</si>
  <si>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</si>
  <si>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</si>
  <si>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</si>
  <si>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</si>
  <si>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</si>
  <si>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</si>
  <si>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</si>
  <si>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</si>
  <si>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</si>
  <si>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</si>
  <si>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</si>
  <si>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</si>
  <si>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</si>
  <si>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</si>
  <si>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</si>
  <si>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</si>
  <si>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</si>
  <si>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</si>
  <si>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</si>
  <si>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</si>
  <si>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</si>
  <si>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</si>
  <si>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</si>
  <si>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</si>
  <si>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</si>
  <si>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</si>
  <si>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</si>
  <si>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</si>
  <si>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</si>
  <si>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</si>
  <si>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</si>
  <si>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</si>
  <si>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</si>
  <si>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</si>
  <si>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</si>
  <si>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</si>
  <si>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</si>
  <si>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</si>
  <si>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</si>
  <si>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</si>
  <si>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</si>
  <si>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</si>
  <si>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</si>
  <si>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</si>
  <si>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</si>
  <si>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</si>
  <si>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</si>
  <si>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</si>
  <si>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</si>
  <si>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</si>
  <si>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</si>
  <si>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</si>
  <si>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</si>
  <si>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</si>
  <si>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</si>
  <si>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</si>
  <si>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</si>
  <si>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</si>
  <si>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</si>
  <si>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</si>
  <si>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</si>
  <si>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</si>
  <si>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</si>
  <si>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</si>
  <si>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</si>
  <si>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</si>
  <si>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</si>
  <si>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</si>
  <si>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</si>
  <si>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</si>
  <si>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</si>
  <si>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</si>
  <si>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</si>
  <si>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</si>
  <si>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</si>
  <si>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</si>
  <si>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</si>
  <si>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</si>
  <si>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</si>
  <si>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</si>
  <si>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</si>
  <si>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</si>
  <si>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</si>
  <si>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</si>
  <si>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</si>
  <si>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</si>
  <si>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</si>
  <si>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</si>
  <si>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</si>
  <si>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</si>
  <si>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</si>
  <si>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</si>
  <si>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</si>
  <si>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</si>
  <si>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</si>
  <si>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</si>
  <si>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</si>
  <si>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</si>
  <si>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</si>
  <si>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</si>
  <si>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</si>
  <si>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</si>
  <si>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</si>
  <si>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</si>
  <si>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</si>
  <si>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</si>
  <si>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</si>
  <si>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</si>
  <si>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</si>
  <si>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</si>
  <si>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</si>
  <si>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</si>
  <si>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</si>
  <si>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</si>
  <si>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</si>
  <si>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</si>
  <si>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</si>
  <si>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</si>
  <si>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</si>
  <si>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</si>
  <si>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</si>
  <si>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</si>
  <si>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</si>
  <si>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</si>
  <si>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</si>
  <si>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</si>
  <si>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</si>
  <si>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</si>
  <si>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</si>
  <si>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</si>
  <si>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</si>
  <si>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</si>
  <si>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</si>
  <si>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</si>
  <si>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</si>
  <si>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</si>
  <si>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</si>
  <si>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</si>
  <si>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</si>
  <si>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</si>
  <si>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</si>
  <si>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</si>
  <si>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</si>
  <si>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</si>
  <si>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</si>
  <si>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</si>
  <si>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</si>
  <si>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</si>
  <si>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</si>
  <si>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</si>
  <si>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</si>
  <si>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</si>
  <si>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</si>
  <si>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</si>
  <si>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</si>
  <si>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</si>
  <si>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</si>
  <si>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</si>
  <si>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</si>
  <si>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</si>
  <si>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</si>
  <si>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</si>
  <si>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</si>
  <si>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</si>
  <si>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</si>
  <si>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</si>
  <si>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</si>
  <si>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</si>
  <si>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</si>
  <si>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</si>
  <si>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</si>
  <si>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</si>
  <si>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</si>
  <si>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</si>
  <si>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</si>
  <si>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</si>
  <si>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</si>
  <si>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</si>
  <si>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</si>
  <si>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</si>
  <si>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</si>
  <si>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</si>
  <si>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</si>
  <si>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</si>
  <si>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</si>
  <si>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</si>
  <si>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</si>
  <si>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</si>
  <si>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</si>
  <si>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</si>
  <si>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</si>
  <si>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</si>
  <si>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</si>
  <si>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</si>
  <si>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</si>
  <si>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</si>
  <si>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</si>
  <si>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</si>
  <si>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</si>
  <si>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</si>
  <si>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</si>
  <si>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</si>
  <si>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</si>
  <si>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</si>
  <si>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</si>
  <si>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</si>
  <si>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</si>
  <si>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</si>
  <si>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</si>
  <si>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</si>
  <si>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</si>
  <si>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</si>
  <si>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</si>
  <si>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</si>
  <si>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</si>
  <si>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</si>
  <si>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</si>
  <si>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</si>
  <si>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</si>
  <si>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</si>
  <si>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</si>
  <si>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</si>
  <si>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</si>
  <si>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</si>
  <si>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</si>
  <si>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</si>
  <si>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</si>
  <si>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</si>
  <si>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</si>
  <si>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</si>
  <si>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</si>
  <si>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</si>
  <si>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</si>
  <si>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</si>
  <si>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</si>
  <si>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</si>
  <si>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</si>
  <si>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</si>
  <si>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</si>
  <si>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</si>
  <si>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</si>
  <si>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</si>
  <si>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</si>
  <si>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</si>
  <si>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</si>
  <si>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</si>
  <si>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</si>
  <si>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</si>
  <si>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</si>
  <si>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</si>
  <si>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</si>
  <si>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</si>
  <si>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</si>
  <si>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</si>
  <si>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</si>
  <si>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</si>
  <si>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</si>
  <si>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</si>
  <si>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</si>
  <si>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</si>
  <si>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</si>
  <si>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</si>
  <si>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</si>
  <si>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</si>
  <si>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</si>
  <si>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</si>
  <si>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</si>
  <si>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</si>
  <si>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</si>
  <si>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</si>
  <si>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</si>
  <si>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</si>
  <si>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</si>
  <si>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</si>
  <si>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</si>
  <si>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</si>
  <si>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</si>
  <si>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</si>
  <si>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</si>
  <si>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</si>
  <si>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</si>
  <si>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</si>
  <si>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</si>
  <si>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</si>
  <si>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</si>
  <si>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</si>
  <si>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</si>
  <si>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</si>
  <si>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</si>
  <si>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</si>
  <si>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</si>
  <si>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</si>
  <si>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</si>
  <si>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</si>
  <si>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</si>
  <si>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</si>
  <si>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</si>
  <si>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</si>
  <si>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</si>
  <si>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</si>
  <si>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</si>
  <si>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</si>
  <si>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</si>
  <si>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</si>
  <si>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</si>
  <si>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</si>
  <si>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</si>
  <si>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</si>
  <si>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</si>
  <si>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</si>
  <si>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</si>
  <si>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</si>
  <si>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</si>
  <si>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</si>
  <si>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</si>
  <si>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</si>
  <si>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</si>
  <si>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</si>
  <si>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</si>
  <si>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</si>
  <si>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</si>
  <si>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</si>
  <si>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</si>
  <si>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</si>
  <si>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</si>
  <si>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</si>
  <si>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</si>
  <si>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</si>
  <si>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</si>
  <si>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</si>
  <si>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</si>
  <si>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</si>
  <si>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</si>
  <si>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</si>
  <si>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</si>
  <si>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</si>
  <si>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</si>
  <si>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</si>
  <si>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</si>
  <si>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</si>
  <si>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</si>
  <si>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</si>
  <si>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</si>
  <si>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</si>
  <si>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</si>
  <si>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</si>
  <si>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</si>
  <si>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</si>
  <si>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</si>
  <si>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</si>
  <si>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</si>
  <si>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</si>
  <si>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</si>
  <si>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</si>
  <si>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</si>
  <si>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</si>
  <si>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</si>
  <si>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</si>
  <si>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</si>
  <si>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</si>
  <si>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</si>
  <si>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</si>
  <si>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</si>
  <si>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</si>
  <si>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</si>
  <si>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</si>
  <si>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</si>
  <si>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</si>
  <si>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</si>
  <si>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</si>
  <si>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</si>
  <si>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</si>
  <si>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</si>
  <si>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</si>
  <si>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</si>
  <si>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</si>
  <si>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</si>
  <si>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</si>
  <si>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</si>
  <si>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</si>
  <si>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</si>
  <si>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</si>
  <si>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</si>
  <si>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</si>
  <si>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</si>
  <si>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</si>
  <si>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</si>
  <si>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</si>
  <si>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</si>
  <si>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</si>
  <si>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</si>
  <si>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</si>
  <si>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</si>
  <si>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</si>
  <si>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</si>
  <si>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</si>
  <si>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</si>
  <si>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</si>
  <si>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</si>
  <si>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</si>
  <si>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</si>
  <si>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</si>
  <si>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</si>
  <si>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</si>
  <si>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</si>
  <si>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</si>
  <si>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</si>
  <si>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</si>
  <si>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</si>
  <si>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</si>
  <si>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</si>
  <si>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</si>
  <si>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</si>
  <si>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</si>
  <si>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</si>
  <si>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</si>
  <si>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</si>
  <si>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</si>
  <si>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</si>
  <si>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</si>
  <si>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</si>
  <si>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</si>
  <si>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</si>
  <si>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</si>
  <si>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</si>
  <si>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</si>
  <si>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</si>
  <si>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</si>
  <si>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</si>
  <si>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</si>
  <si>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</si>
  <si>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</si>
  <si>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</si>
  <si>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</si>
  <si>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</si>
  <si>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</si>
  <si>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</si>
  <si>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</si>
  <si>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</si>
  <si>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</si>
  <si>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</si>
  <si>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</si>
  <si>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</si>
  <si>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</si>
  <si>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</si>
  <si>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</si>
  <si>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</si>
  <si>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</si>
  <si>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</si>
  <si>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</si>
  <si>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</si>
  <si>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</si>
  <si>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</si>
  <si>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</si>
  <si>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</si>
  <si>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</si>
  <si>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</si>
  <si>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</si>
  <si>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</si>
  <si>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</si>
  <si>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</si>
  <si>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</si>
  <si>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</si>
  <si>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</si>
  <si>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</si>
  <si>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</si>
  <si>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</si>
  <si>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</si>
  <si>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</si>
  <si>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</si>
  <si>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</si>
  <si>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</si>
  <si>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</si>
  <si>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</si>
  <si>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</si>
  <si>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</si>
  <si>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</si>
  <si>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</si>
  <si>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</si>
  <si>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</si>
  <si>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</si>
  <si>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</si>
  <si>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</si>
  <si>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</si>
  <si>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</si>
  <si>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</si>
  <si>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</si>
  <si>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</si>
  <si>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</si>
  <si>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</si>
  <si>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</si>
  <si>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</si>
  <si>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</si>
  <si>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</si>
  <si>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</si>
  <si>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</si>
  <si>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</si>
  <si>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</si>
  <si>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</si>
  <si>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</si>
  <si>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</si>
  <si>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</si>
  <si>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</si>
  <si>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</si>
  <si>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</si>
  <si>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</si>
  <si>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</si>
  <si>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</si>
  <si>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</si>
  <si>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</si>
  <si>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</si>
  <si>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</si>
  <si>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</si>
  <si>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</si>
  <si>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</si>
  <si>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</si>
  <si>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</si>
  <si>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</si>
  <si>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</si>
  <si>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</si>
  <si>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</si>
  <si>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</si>
  <si>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</si>
  <si>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</si>
  <si>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</si>
  <si>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</si>
  <si>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</si>
  <si>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</si>
  <si>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</si>
  <si>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</si>
  <si>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</si>
  <si>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</si>
  <si>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</si>
  <si>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</si>
  <si>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</si>
  <si>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</si>
  <si>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</si>
  <si>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</si>
  <si>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</si>
  <si>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</si>
  <si>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</si>
  <si>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</si>
  <si>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</si>
  <si>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</si>
  <si>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</si>
  <si>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</si>
  <si>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</si>
  <si>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</si>
  <si>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</si>
  <si>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</si>
  <si>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</si>
  <si>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</si>
  <si>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</si>
  <si>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</si>
  <si>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</si>
  <si>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</si>
  <si>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</si>
  <si>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</si>
  <si>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</si>
  <si>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</si>
  <si>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</si>
  <si>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</si>
  <si>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</si>
  <si>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</si>
  <si>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</si>
  <si>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</si>
  <si>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</si>
  <si>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</si>
  <si>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</si>
  <si>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</si>
  <si>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</si>
  <si>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</si>
  <si>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</si>
  <si>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</si>
  <si>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</si>
  <si>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</si>
  <si>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</si>
  <si>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</si>
  <si>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</si>
  <si>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</si>
  <si>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</si>
  <si>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</si>
  <si>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</si>
  <si>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</si>
  <si>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</si>
  <si>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</si>
  <si>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</si>
  <si>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</si>
  <si>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</si>
  <si>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</si>
  <si>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</si>
  <si>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</si>
  <si>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</si>
  <si>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</si>
  <si>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</si>
  <si>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</si>
  <si>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</si>
  <si>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</si>
  <si>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</si>
  <si>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</si>
  <si>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</si>
  <si>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</si>
  <si>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</si>
  <si>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</si>
  <si>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</si>
  <si>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</si>
  <si>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</si>
  <si>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</si>
  <si>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</si>
  <si>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</si>
  <si>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</si>
  <si>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</si>
  <si>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</si>
  <si>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</si>
  <si>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Updated Name</t>
  </si>
  <si>
    <t xml:space="preserve">Updated Gender </t>
  </si>
  <si>
    <t>Updated Age</t>
  </si>
  <si>
    <t>Updated years of experience</t>
  </si>
  <si>
    <t>Updated hourly_rate (USD)</t>
  </si>
  <si>
    <t>Formatted hourly rate</t>
  </si>
  <si>
    <t>Formatted hourly rate2</t>
  </si>
  <si>
    <t>Updated Rating</t>
  </si>
  <si>
    <t>Updated is active</t>
  </si>
  <si>
    <t>is_active2</t>
  </si>
  <si>
    <t>is_active3</t>
  </si>
  <si>
    <t>client_satisfaction2</t>
  </si>
  <si>
    <t>Updated client_satisfaction</t>
  </si>
  <si>
    <t>Freelancer_ID</t>
  </si>
  <si>
    <t>Name</t>
  </si>
  <si>
    <t>Country</t>
  </si>
  <si>
    <t>Language</t>
  </si>
  <si>
    <t>Age</t>
  </si>
  <si>
    <t>Row Labels</t>
  </si>
  <si>
    <t>Grand Total</t>
  </si>
  <si>
    <t>Count of Freelancer_ID</t>
  </si>
  <si>
    <t>Gender</t>
  </si>
  <si>
    <t>Primary skill</t>
  </si>
  <si>
    <t>Years of Experience</t>
  </si>
  <si>
    <t>Hourly rate (USD)</t>
  </si>
  <si>
    <t>Rating</t>
  </si>
  <si>
    <t>Is active</t>
  </si>
  <si>
    <t>Client satisfaction</t>
  </si>
  <si>
    <t>Count of freelansers by gender</t>
  </si>
  <si>
    <t>Top 5 freelancers by Rating and Customersatisfaction</t>
  </si>
  <si>
    <t>Max of Rating</t>
  </si>
  <si>
    <t>Max of Client satisfaction</t>
  </si>
  <si>
    <t>Total hourly rate by country</t>
  </si>
  <si>
    <t>Count of Hourly rate (USD)</t>
  </si>
  <si>
    <t>Most popular languages</t>
  </si>
  <si>
    <t>Summary</t>
  </si>
  <si>
    <t>Average of Hourly rate (USD)</t>
  </si>
  <si>
    <t>Average of Hourly rate by gender in each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</si>
</sst>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u/>
      <sz val="16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center"/>
    </xf>
    <xf numFmtId="0" fontId="0" fillId="0" borderId="0" xfId="0" pivotButton="1" applyAlignment="1">
      <alignment horizontal="center" vertical="center" wrapText="1"/>
    </xf>
    <xf numFmtId="1" fontId="0" fillId="0" borderId="0" xfId="0" applyNumberFormat="1"/>
    <xf numFmtId="0" fontId="0" fillId="0" borderId="0" xfId="0" pivotButton="1"/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104"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horizontal="center" vertical="center" readingOrder="0"/>
    </dxf>
    <dxf>
      <alignment horizontal="center"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horizontal="center" vertical="center" readingOrder="0"/>
    </dxf>
    <dxf>
      <alignment horizontal="center"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wrapText="1" readingOrder="0"/>
    </dxf>
    <dxf>
      <alignment wrapText="1" readingOrder="0"/>
    </dxf>
    <dxf>
      <numFmt numFmtId="2" formatCode="0.00"/>
      <alignment horizontal="center" textRotation="0" indent="0" justifyLastLine="0" shrinkToFit="0" readingOrder="0"/>
    </dxf>
    <dxf>
      <numFmt numFmtId="30" formatCode="@"/>
      <alignment horizontal="center" textRotation="0" indent="0" justifyLastLine="0" shrinkToFit="0" readingOrder="0"/>
    </dxf>
    <dxf>
      <numFmt numFmtId="164" formatCode="0.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textRotation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alignment horizontal="general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yPc\Documents\entry\Miniproject\Miniproject1\archive%20(5)\New%20Microsoft%20Excel%20Workshee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1.862934027777" createdVersion="5" refreshedVersion="5" minRefreshableVersion="3" recordCount="1000" xr:uid="{00000000-000A-0000-FFFF-FFFF01000000}">
  <cacheSource type="worksheet">
    <worksheetSource name="Table2" r:id="rId2"/>
  </cacheSource>
  <cacheFields count="12">
    <cacheField name="Freelancer_ID" numFmtId="0">
      <sharedItems/>
    </cacheField>
    <cacheField name="Name" numFmtId="49">
      <sharedItems count="992">
        <s v="Nicole Kidd"/>
        <s v="Vanessa Garcia"/>
        <s v="Juan Nelson"/>
        <s v="Amanda Spencer"/>
        <s v="Lynn Curtis Dds"/>
        <s v="Lisa Johnson"/>
        <s v="Eric Myers"/>
        <s v="Ricky Graham"/>
        <s v="Sean Martin"/>
        <s v="Matthew Lloyd"/>
        <s v="Gavin Randall"/>
        <s v="Michelle Curtis"/>
        <s v="Alice Schneider"/>
        <s v="Phillip Shelton"/>
        <s v="Edward Ferguson"/>
        <s v="Wyatt Stout"/>
        <s v="Laura Johnson"/>
        <s v="Scott Burns"/>
        <s v="Tyler Aguirre"/>
        <s v="Matthew Lawson"/>
        <s v="James Cherry"/>
        <s v="Samuel Sanford"/>
        <s v="Cesar Greene"/>
        <s v="Melanie Carter"/>
        <s v="Jennifer Martin"/>
        <s v="Anna Mccann"/>
        <s v="Marissa Bass"/>
        <s v="Alexis Day"/>
        <s v="Megan Jones"/>
        <s v="Lori Smith"/>
        <s v="Eric Carpenter"/>
        <s v="Timothy Daniels"/>
        <s v="Robert Nelson"/>
        <s v="Michael Anderson"/>
        <s v="Jessica Snyder"/>
        <s v="Emily Daniels"/>
        <s v="Jamie Ramirez"/>
        <s v="Amy Harrison"/>
        <s v="Melinda White"/>
        <s v="James Hernandez"/>
        <s v="Angelica Rogers"/>
        <s v="Savannah Williams"/>
        <s v="Kaitlyn Schmidt"/>
        <s v="Jason Singh"/>
        <s v="Michelle Ramirez"/>
        <s v="James Brown"/>
        <s v="Samantha Simmons"/>
        <s v="Chase Mason"/>
        <s v="Dominique Ward"/>
        <s v="Lance Griffin"/>
        <s v="Julie Burgess"/>
        <s v="Don Scott"/>
        <s v="Kyle Atkinson"/>
        <s v="Jimmy Hogan"/>
        <s v="Jennifer Mcintyre"/>
        <s v="Larry Simpson"/>
        <s v="Laura Price"/>
        <s v="Mark Wright"/>
        <s v="Samantha Mcdaniel"/>
        <s v="Barbara Foster"/>
        <s v="Courtney Tran"/>
        <s v="Eddie Todd"/>
        <s v="Christine Johnson"/>
        <s v="Leah Phelps"/>
        <s v="Rebekah Williams"/>
        <s v="Crystal Wilson"/>
        <s v="Ashley Cordova"/>
        <s v="Vicki Kelly"/>
        <s v="Corey Warren"/>
        <s v="Gina Thompson"/>
        <s v="Yvonne Berg"/>
        <s v="Thomas Miller"/>
        <s v="Nicholas Burton"/>
        <s v="Jorge Riley"/>
        <s v="Melvin Harris"/>
        <s v="Jeremy Meyer"/>
        <s v="Timothy Lee"/>
        <s v="Diana Bautista"/>
        <s v="Leslie Rodriguez"/>
        <s v="Noah Wiggins"/>
        <s v="Bridget Williams"/>
        <s v="Veronica Baker"/>
        <s v="Andrew Avila"/>
        <s v="Michael Roberson"/>
        <s v="Austin Jenkins"/>
        <s v="Brenda Green"/>
        <s v="Samuel Pierce"/>
        <s v="Briana Smith"/>
        <s v="Ronald Barrett"/>
        <s v="Matthew Smith"/>
        <s v="Logan Huang"/>
        <s v="Miranda Hutchinson"/>
        <s v="Paul Richardson"/>
        <s v="Jose Jones"/>
        <s v="Denise Smith"/>
        <s v="Shelby Mcmahon"/>
        <s v="Bethany Wright"/>
        <s v="David Ortiz"/>
        <s v="Andrew Lynch"/>
        <s v="Kristopher Meyers"/>
        <s v="Thomas Roth"/>
        <s v="Vicki Brown"/>
        <s v="Stacy Sutton"/>
        <s v="Kimberly Holland"/>
        <s v="Travis Richardson"/>
        <s v="Jasmin Ho"/>
        <s v="Mark Paul"/>
        <s v="Jennifer Lewis"/>
        <s v="Elizabeth Lester"/>
        <s v="Kimberly Griffin"/>
        <s v="Tyler Warner"/>
        <s v="Jane Cox"/>
        <s v="Leah Williams"/>
        <s v="Kevin Wong"/>
        <s v="Robert Andrews"/>
        <s v="Jessica Torres"/>
        <s v="Teresa Kim"/>
        <s v="Jon Morgan"/>
        <s v="Gloria Chaney"/>
        <s v="Jesse Campbell"/>
        <s v="Allison Tucker Md"/>
        <s v="Candice Petersen"/>
        <s v="Christopher Nichols"/>
        <s v="Debra Garcia"/>
        <s v="Andrew Fuentes"/>
        <s v="Jason Carter"/>
        <s v="Austin Romero"/>
        <s v="Clayton Burns"/>
        <s v="Jonathan Clark"/>
        <s v="Alexander Griffin"/>
        <s v="Shelly Whitehead"/>
        <s v="Kaitlyn Davis"/>
        <s v="Christopher Jones"/>
        <s v="Cindy Jacobs"/>
        <s v="Penny Day"/>
        <s v="Thomas Ingram"/>
        <s v="Donna Hansen"/>
        <s v="Donna Bailey"/>
        <s v="Joshua Armstrong"/>
        <s v="Jonathan Garza"/>
        <s v="Charles Jones"/>
        <s v="Lindsey Miles"/>
        <s v="Eduardo Reed"/>
        <s v="Lee Fowler"/>
        <s v="Steven Jones Jr."/>
        <s v="Ashley Chen"/>
        <s v="Erica Davis"/>
        <s v="Wayne Gonzales"/>
        <s v="Gary Ballard"/>
        <s v="Maria Mcguire"/>
        <s v="Matthew Richards"/>
        <s v="Patrick Malone"/>
        <s v="Cindy Martin"/>
        <s v="Anne Edwards"/>
        <s v="Mitchell Martin"/>
        <s v="Mitchell Patrick"/>
        <s v="Rebecca Lyons"/>
        <s v="Christian Lopez"/>
        <s v="Nathan Blair"/>
        <s v="Patricia Lopez"/>
        <s v="Michelle Wu"/>
        <s v="Donald Mitchell"/>
        <s v="Sean Gordon"/>
        <s v="Gregory Clarke"/>
        <s v="Steven Whitney"/>
        <s v="Robin Acosta"/>
        <s v="John Smith"/>
        <s v="Susan Baker"/>
        <s v="Anthony Larsen"/>
        <s v="Nicholas Carpenter"/>
        <s v="Debra Salazar"/>
        <s v="William Smith"/>
        <s v="Caroline Gross"/>
        <s v="Jeremy Sawyer"/>
        <s v="Eduardo Burns"/>
        <s v="Amanda Jones"/>
        <s v="Frederick Ware"/>
        <s v="Michael Black"/>
        <s v="Patricia Sanders"/>
        <s v="Marc Joseph"/>
        <s v="Vanessa White"/>
        <s v="Jennifer Garcia"/>
        <s v="Michael Zavala"/>
        <s v="Kimberly Williams"/>
        <s v="Elizabeth Jenkins"/>
        <s v="Brandon Ford"/>
        <s v="Justin House"/>
        <s v="Henry Mullen"/>
        <s v="Jesse Cochran"/>
        <s v="Melissa Rich"/>
        <s v="Patrick Dunlap"/>
        <s v="Troy Carson"/>
        <s v="Jennifer Cherry"/>
        <s v="Brandi Tucker"/>
        <s v="Zachary Burke"/>
        <s v="Thomas Jones"/>
        <s v="Brian Dunn"/>
        <s v="Shirley Strickland"/>
        <s v="Nicole Meyers"/>
        <s v="Jill Stephens"/>
        <s v="Heidi Miranda"/>
        <s v="Jesus Martinez"/>
        <s v="Adam Payne"/>
        <s v="Walter Williams"/>
        <s v="Shannon Farmer"/>
        <s v="Peter Reyes"/>
        <s v="Kristen Knight"/>
        <s v="William Moore Jr."/>
        <s v="Jennifer Rowe"/>
        <s v="Mikayla Henry"/>
        <s v="Jacob Kerr"/>
        <s v="Ryan Johnson"/>
        <s v="Michael Ruiz"/>
        <s v="Monica Roberts"/>
        <s v="Danny Brown"/>
        <s v="Karen Larsen"/>
        <s v="Robert Evans"/>
        <s v="Sean Poole"/>
        <s v="Richard Quinn"/>
        <s v="Jennifer Gonzalez"/>
        <s v="James Skinner"/>
        <s v="Michelle Hill"/>
        <s v="Jacqueline Williams"/>
        <s v="Darrell Johnson"/>
        <s v="Ryan Crawford"/>
        <s v="Chelsea Barber"/>
        <s v="Elaine Martinez"/>
        <s v="Joseph Kent"/>
        <s v="Megan Welch"/>
        <s v="Stephen Ramirez"/>
        <s v="Chloe Gray"/>
        <s v="Michael Williams Jr."/>
        <s v="Matthew Martin"/>
        <s v="Julia Murphy"/>
        <s v="Anna Evans"/>
        <s v="Brenda Fleming"/>
        <s v="Daniel Harrington"/>
        <s v="Daniel Barnett"/>
        <s v="Mark Cummings"/>
        <s v="Christopher Guerra"/>
        <s v="Sarah Ho"/>
        <s v="Veronica Thomas"/>
        <s v="Mitchell Watson"/>
        <s v="Monica Murphy"/>
        <s v="Kristen Williams"/>
        <s v="Nicole Wright"/>
        <s v="Andrew Ruiz"/>
        <s v="Zachary Jackson"/>
        <s v="Stephanie Carter"/>
        <s v="Amy Olson"/>
        <s v="Fred Stark"/>
        <s v="Jacob Gill"/>
        <s v="Anthony Nichols"/>
        <s v="William Knapp"/>
        <s v="Elizabeth Walker"/>
        <s v="Brenda Reeves"/>
        <s v="Carrie Little"/>
        <s v="Steven Jackson"/>
        <s v="Mark Perry"/>
        <s v="Cameron Spencer"/>
        <s v="Jennifer Holmes"/>
        <s v="Jacob Joseph"/>
        <s v="Jeffery Tucker"/>
        <s v="Jacqueline Drake"/>
        <s v="Brian Bautista"/>
        <s v="Dakota Wells"/>
        <s v="Julie White"/>
        <s v="Barbara Keith"/>
        <s v="Heather Camacho"/>
        <s v="Melanie Harris"/>
        <s v="Jacqueline Peterson"/>
        <s v="Nancy Long"/>
        <s v="Juan Mitchell"/>
        <s v="William Gaines"/>
        <s v="Haley Yates"/>
        <s v="Richard Mcguire"/>
        <s v="Stephanie Fisher"/>
        <s v="Anthony Goodwin Dds"/>
        <s v="Meagan Walters"/>
        <s v="David Powell"/>
        <s v="Kelly Jones"/>
        <s v="Dr. Michael Aguilar"/>
        <s v="Alex Novak"/>
        <s v="Ann Contreras"/>
        <s v="Mary Reed"/>
        <s v="Lauren Ross"/>
        <s v="Candice Wise"/>
        <s v="Joyce Humphrey"/>
        <s v="James Carr"/>
        <s v="Joseph Mendoza"/>
        <s v="Cathy Baldwin"/>
        <s v="Christine Hart"/>
        <s v="Mike Stanley"/>
        <s v="Jeffrey Edwards"/>
        <s v="Amy Lee"/>
        <s v="Mark Thompson"/>
        <s v="Alex Wilson"/>
        <s v="Nancy Mendez"/>
        <s v="Beth Crane"/>
        <s v="Miguel Rogers"/>
        <s v="Thomas Robles"/>
        <s v="Joel Brown Iii"/>
        <s v="Olivia Schultz"/>
        <s v="Clayton Pena"/>
        <s v="Ashley Salazar"/>
        <s v="Robert Lucas"/>
        <s v="David Cox"/>
        <s v="Christian Campbell"/>
        <s v="Angela Ward"/>
        <s v="Lucas Chen"/>
        <s v="Ruben Nelson"/>
        <s v="Brenda Briggs"/>
        <s v="Ronald Smith"/>
        <s v="Dakota Giles"/>
        <s v="Angela Castillo"/>
        <s v="Allen Lee"/>
        <s v="Michael Rogers"/>
        <s v="Danielle Costa"/>
        <s v="William Nunez"/>
        <s v="Christopher Riggs"/>
        <s v="Kathryn Myers"/>
        <s v="Robert Walls"/>
        <s v="Justin Johnson"/>
        <s v="Paula Stevens"/>
        <s v="Jennifer Allen"/>
        <s v="Mark Hudson"/>
        <s v="Jessica Smith"/>
        <s v="Mike Dean"/>
        <s v="Jose Wilson"/>
        <s v="Tammy Hill"/>
        <s v="Nathaniel Flores"/>
        <s v="Edwin Carter"/>
        <s v="Patricia Miller"/>
        <s v="Rebecca Schneider"/>
        <s v="John Greene"/>
        <s v="Brittany Mcdowell"/>
        <s v="Lori Miller"/>
        <s v="Joseph Robinson"/>
        <s v="Aaron Pruitt"/>
        <s v="Victoria Miller"/>
        <s v="Clarence Vega"/>
        <s v="Deborah Day"/>
        <s v="Nicole Rocha"/>
        <s v="Elijah Green"/>
        <s v="Emily Johnson"/>
        <s v="Richard Velasquez Jr."/>
        <s v="Kurt Wilson"/>
        <s v="Jeremiah Rodriguez"/>
        <s v="Lauren Lang"/>
        <s v="Matthew Phillips"/>
        <s v="Michael Andersen"/>
        <s v="Amanda Mayo"/>
        <s v="Jessica Vance"/>
        <s v="Alexa Gallegos"/>
        <s v="Charles Pratt"/>
        <s v="Brian Baker"/>
        <s v="Christina Norman"/>
        <s v="Laura Kelly"/>
        <s v="John Webb"/>
        <s v="Christopher Burton"/>
        <s v="Bradley Aguilar"/>
        <s v="Arthur Vasquez"/>
        <s v="Angela Castro"/>
        <s v="Summer Yoder"/>
        <s v="Jackie Allen"/>
        <s v="Brandon Williams"/>
        <s v="Manuel Torres"/>
        <s v="Scott Keller"/>
        <s v="Deborah Brown"/>
        <s v="Jennifer Lara"/>
        <s v="Jason Scott"/>
        <s v="Gregory Garrison"/>
        <s v="Chelsea Anderson"/>
        <s v="Gerald Johnson"/>
        <s v="Kevin Ellis"/>
        <s v="Mitchell Keller"/>
        <s v="Mary Brown"/>
        <s v="Ronald Walls"/>
        <s v="Anthony Avila"/>
        <s v="Douglas Goodwin"/>
        <s v="James Mills"/>
        <s v="Nicole Marks"/>
        <s v="Phyllis Dawson"/>
        <s v="Renee Arnold"/>
        <s v="Eric Robinson"/>
        <s v="Paul Brown"/>
        <s v="Sarah Proctor"/>
        <s v="Matthew Hicks"/>
        <s v="Christopher Black"/>
        <s v="Joanne Reyes"/>
        <s v="Isaac Gray"/>
        <s v="Joshua Roberts"/>
        <s v="Elizabeth Estrada"/>
        <s v="Lori Malone"/>
        <s v="Anthony Huynh Md"/>
        <s v="Mindy York"/>
        <s v="Christine Cherry"/>
        <s v="Daniel Foster"/>
        <s v="David Valencia"/>
        <s v="Ethan Adams"/>
        <s v="Brett Moore"/>
        <s v="Phillip Griffin"/>
        <s v="Stacie Wall"/>
        <s v="Jacob Austin"/>
        <s v="Sabrina Davidson"/>
        <s v="Dustin Douglas"/>
        <s v="Steven Norris"/>
        <s v="Mindy Sullivan"/>
        <s v="Elizabeth Stone"/>
        <s v="Diane Flores"/>
        <s v="Jessica Erickson"/>
        <s v="Sara Moses"/>
        <s v="Allison Henderson"/>
        <s v="Susan Dixon"/>
        <s v="David Morrison"/>
        <s v="James Jacobs"/>
        <s v="Kathleen Quinn"/>
        <s v="Natalie Frank Md"/>
        <s v="Michael Reed"/>
        <s v="Sheila Smith"/>
        <s v="Morgan Ford"/>
        <s v="Linda Schultz"/>
        <s v="Regina Daniel"/>
        <s v="Allison Perkins"/>
        <s v="Bradley Weaver"/>
        <s v="Sarah Hall"/>
        <s v="Diana Walton"/>
        <s v="Donna Davis"/>
        <s v="Christopher Mcclain"/>
        <s v="Dr. Paul Williamson"/>
        <s v="Barbara Brown"/>
        <s v="Kimberly Allen"/>
        <s v="Elizabeth Edwards"/>
        <s v="Anthony Downs"/>
        <s v="Jack Ortega"/>
        <s v="Marvin Moore"/>
        <s v="Tony French"/>
        <s v="Stacy Hudson"/>
        <s v="Scott Washington"/>
        <s v="Timothy Wright"/>
        <s v="Joseph Gonzalez"/>
        <s v="Andrea Perez"/>
        <s v="Angel Collins"/>
        <s v="Daniel Terry"/>
        <s v="Steven Whitaker"/>
        <s v="Denise Neal"/>
        <s v="Amanda Jacobs"/>
        <s v="Karen Mercer"/>
        <s v="Lindsay Hudson"/>
        <s v="Stephanie Armstrong"/>
        <s v="Dr. Jessica Campbell"/>
        <s v="Curtis Maxwell"/>
        <s v="Adam Kelly Phd"/>
        <s v="Julie Becker"/>
        <s v="James Moore"/>
        <s v="Danielle Barrera"/>
        <s v="David Sanchez"/>
        <s v="Tiffany Bowman"/>
        <s v="Jesus Quinn"/>
        <s v="Danny Morris Dds"/>
        <s v="Nicole York"/>
        <s v="John Mathis"/>
        <s v="Julie Barnett"/>
        <s v="Jasmine Harris"/>
        <s v="Mary Henry"/>
        <s v="Judith Riggs"/>
        <s v="Justin Ruiz"/>
        <s v="Jennifer Sullivan"/>
        <s v="Jesse Moran"/>
        <s v="Monica Smith"/>
        <s v="Ian May"/>
        <s v="Kayla Meyers"/>
        <s v="John Bray"/>
        <s v="James Smith"/>
        <s v="Mark Duncan"/>
        <s v="Matthew Gay"/>
        <s v="Cheryl Freeman"/>
        <s v="Patrick Welch"/>
        <s v="Craig Levine"/>
        <s v="Richard Harvey"/>
        <s v="Bonnie Sherman"/>
        <s v="Keith Trujillo"/>
        <s v="Corey Combs"/>
        <s v="Antonio King"/>
        <s v="Jennifer Rogers"/>
        <s v="Jeffrey Cooper"/>
        <s v="Allison Williams"/>
        <s v="Raymond Sherman"/>
        <s v="Jennifer Nelson"/>
        <s v="Jennifer Carter"/>
        <s v="Todd Williams"/>
        <s v="Emily Horton"/>
        <s v="Lance Lester"/>
        <s v="Kevin Flores"/>
        <s v="Aaron Stewart Phd"/>
        <s v="Robin Moore"/>
        <s v="Suzanne Ingram"/>
        <s v="Jacob Mclaughlin"/>
        <s v="Michael Nunez"/>
        <s v="Isabel Brown"/>
        <s v="Michael Stein"/>
        <s v="Robert Stone"/>
        <s v="Dillon Henry"/>
        <s v="James Todd"/>
        <s v="Clifford Moore Md"/>
        <s v="John Rios"/>
        <s v="Anthony Gaines"/>
        <s v="Kristi Brown Dvm"/>
        <s v="Ashley Odonnell"/>
        <s v="Ronald Elliott"/>
        <s v="Lorraine Lowery"/>
        <s v="Victoria Chapman"/>
        <s v="Heather Davis"/>
        <s v="Diana Chase"/>
        <s v="Danielle Adkins"/>
        <s v="Kenneth Arias"/>
        <s v="Victoria Owen"/>
        <s v="Christina King"/>
        <s v="Samantha King"/>
        <s v="Scott Compton"/>
        <s v="Monica West"/>
        <s v="Theresa Stewart"/>
        <s v="Steven Kim"/>
        <s v="Kristi Knight"/>
        <s v="Jason Bryant"/>
        <s v="Maureen Keith"/>
        <s v="Shawn Hogan"/>
        <s v="William Davis"/>
        <s v="Stacy Bailey"/>
        <s v="Thomas Dixon"/>
        <s v="Maria Hall"/>
        <s v="Tony Lee"/>
        <s v="Catherine Mccoy Md"/>
        <s v="Maria Benitez"/>
        <s v="Joshua Chambers"/>
        <s v="Janice Daniels"/>
        <s v="Carla Wood"/>
        <s v="Kenneth Vasquez"/>
        <s v="Kevin Smith"/>
        <s v="Thomas Kim"/>
        <s v="Sean Park"/>
        <s v="Judith Poole"/>
        <s v="Melanie Baird"/>
        <s v="Erika Mitchell"/>
        <s v="Ricky Martinez"/>
        <s v="John Christian"/>
        <s v="Nancy Smith"/>
        <s v="Cassandra Stephens"/>
        <s v="Miss Janet Donovan Md"/>
        <s v="Kristina Williams"/>
        <s v="Wayne Barnes"/>
        <s v="James Hinton"/>
        <s v="David Spence"/>
        <s v="Tyler Cooper"/>
        <s v="Sean Martinez"/>
        <s v="Janet Barron"/>
        <s v="Rodney Wilson"/>
        <s v="Kimberly Fitzgerald"/>
        <s v="Nicole Davis"/>
        <s v="Elizabeth Hayes"/>
        <s v="Kathy Faulkner"/>
        <s v="John Gonzales"/>
        <s v="Shannon Luna"/>
        <s v="Stephanie Burton"/>
        <s v="Kevin Gonzales"/>
        <s v="Dawn Hardy"/>
        <s v="Margaret Perkins"/>
        <s v="Amanda Vargas"/>
        <s v="Tonya Gonzalez"/>
        <s v="Elizabeth Bowman"/>
        <s v="Ariana Pittman"/>
        <s v="Antonio Johnson"/>
        <s v="Justin Lang"/>
        <s v="Kelli Ramirez"/>
        <s v="Deborah Torres"/>
        <s v="Joseph Horn"/>
        <s v="Christopher Robinson"/>
        <s v="Sandra Mccormick"/>
        <s v="Michael Holland"/>
        <s v="Kenneth Stevenson"/>
        <s v="Timothy Bennett"/>
        <s v="Gregory Randall"/>
        <s v="Charles Martinez"/>
        <s v="James Hall"/>
        <s v="Michael Garcia"/>
        <s v="Michele Duran"/>
        <s v="Jessica Gray"/>
        <s v="Keith Shaffer"/>
        <s v="Jessica Decker"/>
        <s v="Brianna Pittman"/>
        <s v="Kimberly Hunter"/>
        <s v="Daniel Martin"/>
        <s v="Rachel Smith"/>
        <s v="Michael Miller"/>
        <s v="Willie Clark"/>
        <s v="Jeremy Hernandez"/>
        <s v="Tina Shelton"/>
        <s v="Dr. Pamela Larson"/>
        <s v="Ryan Ewing"/>
        <s v="Mark Cochran"/>
        <s v="Martha Carson"/>
        <s v="Heather Jackson"/>
        <s v="Megan Young"/>
        <s v="Thomas Davis"/>
        <s v="Thomas Mooney"/>
        <s v="Susan Smith"/>
        <s v="Brianna Orr"/>
        <s v="Dustin Smith"/>
        <s v="Sarah White"/>
        <s v="Michael Davis"/>
        <s v="Jennifer Phillips"/>
        <s v="Dana Sanders"/>
        <s v="Daniel Quinn"/>
        <s v="Matthew Steele"/>
        <s v="Michele Taylor"/>
        <s v="Ashley Hammond"/>
        <s v="Nicole Taylor"/>
        <s v="Casey Bush"/>
        <s v="Samuel Patterson"/>
        <s v="Craig Dennis"/>
        <s v="Heidi Dixon"/>
        <s v="David Bishop"/>
        <s v="Laura Butler"/>
        <s v="Denise Erickson"/>
        <s v="Nicole Austin"/>
        <s v="Summer Williams"/>
        <s v="Angela Blackwell"/>
        <s v="Thomas Wall"/>
        <s v="Sarah Anderson"/>
        <s v="Christian Lane"/>
        <s v="Todd Casey"/>
        <s v="David Martinez"/>
        <s v="Donald Salas"/>
        <s v="Emma Hicks"/>
        <s v="Alison Clark"/>
        <s v="Andrew Barnes"/>
        <s v="Gina Snyder"/>
        <s v="David Watson"/>
        <s v="John Davis"/>
        <s v="Joseph Thomas"/>
        <s v="Dean Finley"/>
        <s v="Ashley Kemp"/>
        <s v="Kenneth Evans"/>
        <s v="Brandon Newman"/>
        <s v="Katie Hensley"/>
        <s v="Joel Randolph"/>
        <s v="Andrew Scott"/>
        <s v="Zachary Ochoa"/>
        <s v="John Arroyo"/>
        <s v="Matthew Fernandez"/>
        <s v="Benjamin Stark"/>
        <s v="Tammy Greer"/>
        <s v="Cynthia Mckinney"/>
        <s v="Wendy Rice"/>
        <s v="Randy Bender"/>
        <s v="Richard Dominguez"/>
        <s v="Melissa Maldonado"/>
        <s v="Leah Harris"/>
        <s v="Lynn French"/>
        <s v="Angela Johnson"/>
        <s v="Sarah Edwards"/>
        <s v="Roy Collins"/>
        <s v="Samantha Porter"/>
        <s v="Juan Elliott"/>
        <s v="Elizabeth Phillips"/>
        <s v="Laura Evans"/>
        <s v="Amanda Mitchell"/>
        <s v="Sandra Williams"/>
        <s v="Eric Johnson"/>
        <s v="Javier Hobbs"/>
        <s v="Jacob Jones"/>
        <s v="Zachary Murphy"/>
        <s v="Joshua Owens"/>
        <s v="Dawn Mitchell"/>
        <s v="Regina Dunn"/>
        <s v="Ernest Cole"/>
        <s v="Hannah Sanders"/>
        <s v="Ellen Bowman"/>
        <s v="Nancy Moore"/>
        <s v="Joseph Wood"/>
        <s v="Michael Harrell"/>
        <s v="Connie Mcclain"/>
        <s v="Matthew Baldwin"/>
        <s v="Danielle Nelson"/>
        <s v="Steven Moore"/>
        <s v="Megan Hudson"/>
        <s v="Tracy White"/>
        <s v="Natalie Diaz"/>
        <s v="Karen Scott"/>
        <s v="Jon Jones"/>
        <s v="Jason Phillips"/>
        <s v="Eric Walsh"/>
        <s v="Carol Schneider"/>
        <s v="Juan Hines"/>
        <s v="Martha Sweeney"/>
        <s v="Jason Weaver"/>
        <s v="Benjamin Stevens"/>
        <s v="Daniel Lopez"/>
        <s v="John Simpson"/>
        <s v="Katrina Schultz"/>
        <s v="Danielle Bell"/>
        <s v="Jason Brady"/>
        <s v="Megan Bright"/>
        <s v="David Griffin"/>
        <s v="Michael Clark"/>
        <s v="Rebecca Barker"/>
        <s v="Angela Smith"/>
        <s v="Christina Wright"/>
        <s v="Todd Turner"/>
        <s v="Elizabeth Green"/>
        <s v="Alex Smith"/>
        <s v="Shane Hale"/>
        <s v="Kathy Grimes"/>
        <s v="David Cherry"/>
        <s v="Rachel Rogers"/>
        <s v="Travis Braun"/>
        <s v="Shawna Palmer"/>
        <s v="Bradley Gaines"/>
        <s v="April Ford"/>
        <s v="James Gonzalez"/>
        <s v="John Castillo"/>
        <s v="Ian Hayes"/>
        <s v="Christine Castro"/>
        <s v="Jessica Chaney"/>
        <s v="John Gray"/>
        <s v="Shane Booker"/>
        <s v="Kyle Hall"/>
        <s v="Ronald Munoz"/>
        <s v="Christopher Long"/>
        <s v="Sandra Ali"/>
        <s v="Jessica Garza"/>
        <s v="Gregory Waters"/>
        <s v="Misty Adams"/>
        <s v="Megan Brown"/>
        <s v="Gregory Brown"/>
        <s v="Scott Alexander Md"/>
        <s v="Eric Nguyen"/>
        <s v="Wendy Boyer"/>
        <s v="Mark Clark"/>
        <s v="Carl Kline"/>
        <s v="Linda Williams"/>
        <s v="Jason Edwards"/>
        <s v="Madison Mcintosh"/>
        <s v="Desiree Winters"/>
        <s v="Ryan Taylor"/>
        <s v="Patricia Scott"/>
        <s v="Erin Jimenez"/>
        <s v="Anthony Krause"/>
        <s v="Diane Dean"/>
        <s v="Stuart Mckinney"/>
        <s v="Kellie Le"/>
        <s v="Lauren Henry"/>
        <s v="Brandon Fox"/>
        <s v="Richard Smith"/>
        <s v="John White"/>
        <s v="Gilbert Mcintyre"/>
        <s v="Christopher Sparks"/>
        <s v="Aaron Hicks"/>
        <s v="Jose Patterson"/>
        <s v="Bryan Long"/>
        <s v="Tammy Gomez"/>
        <s v="Diana Raymond"/>
        <s v="Jessica Armstrong"/>
        <s v="Amanda Martin"/>
        <s v="Anne Hamilton"/>
        <s v="Heather Curtis"/>
        <s v="Tiffany Moses"/>
        <s v="Jacqueline Moon"/>
        <s v="James Campbell"/>
        <s v="Melissa Vasquez"/>
        <s v="Katherine Carlson"/>
        <s v="Adam Clay"/>
        <s v="Amy Combs"/>
        <s v="Anthony Case"/>
        <s v="Kimberly Brown"/>
        <s v="Joshua Holloway"/>
        <s v="Cynthia Walton"/>
        <s v="Shawn Delgado"/>
        <s v="Jeremy Smith"/>
        <s v="Marc Ortiz"/>
        <s v="Michelle Gregory"/>
        <s v="Melanie Gay"/>
        <s v="Brittany Lambert"/>
        <s v="Mary Hernandez"/>
        <s v="Jonathan Jones"/>
        <s v="Gina Williams"/>
        <s v="Kelly Lawson"/>
        <s v="Keith Smith"/>
        <s v="Christopher Hunter"/>
        <s v="Dwayne Parks"/>
        <s v="Mary Hall"/>
        <s v="Jake Gilmore"/>
        <s v="Mark Lopez"/>
        <s v="Dana Rice"/>
        <s v="Beth Young"/>
        <s v="Ryan Powell"/>
        <s v="Amanda Fowler"/>
        <s v="Lindsay Rivera"/>
        <s v="Mark Ward"/>
        <s v="Amanda Smith"/>
        <s v="Emily Brown"/>
        <s v="Dwayne Cardenas"/>
        <s v="Dr. Rhonda Hernandez"/>
        <s v="Melody Barker"/>
        <s v="Russell Carpenter"/>
        <s v="Richard Hill"/>
        <s v="Lindsay Potts"/>
        <s v="Michelle Campbell"/>
        <s v="Alan Williams"/>
        <s v="Robin Hinton"/>
        <s v="Brian Holland"/>
        <s v="Adam Stone"/>
        <s v="Curtis Lambert"/>
        <s v="Alexandra Sims"/>
        <s v="Brenda Spencer"/>
        <s v="Joshua Bush"/>
        <s v="Erin Martin"/>
        <s v="Alexander Hogan"/>
        <s v="William Harris"/>
        <s v="Michael Mcmahon"/>
        <s v="Michael Watson"/>
        <s v="Lori Perez"/>
        <s v="Lindsay Le"/>
        <s v="Scott Long"/>
        <s v="Diana Ferguson"/>
        <s v="Joseph Miller"/>
        <s v="Julia Reid"/>
        <s v="Samantha Matthews"/>
        <s v="Brian Bailey"/>
        <s v="Toni Hinton"/>
        <s v="Robin Ortiz"/>
        <s v="Adam Griffith"/>
        <s v="Daniel Roberson"/>
        <s v="Dale Haynes"/>
        <s v="Emily Scott"/>
        <s v="David Brown"/>
        <s v="Stephanie Guzman"/>
        <s v="Maxwell Johnson"/>
        <s v="Reginald Stephens"/>
        <s v="Justin Jones"/>
        <s v="Kristine Garcia"/>
        <s v="John Nguyen"/>
        <s v="Anna Fleming"/>
        <s v="Linda Williamson"/>
        <s v="Roy Wilson"/>
        <s v="Jennifer Pierce"/>
        <s v="Jason Johnson"/>
        <s v="Jasmine Lane"/>
        <s v="Evan Soto"/>
        <s v="Kevin Serrano"/>
        <s v="Nathaniel Benson"/>
        <s v="Deanna Miles"/>
        <s v="Beverly Roy"/>
        <s v="Heather Saunders"/>
        <s v="Nicholas Guerrero"/>
        <s v="Christopher Johnson"/>
        <s v="Steven Flowers"/>
        <s v="Marvin Woods Iii"/>
        <s v="Michelle Cook"/>
        <s v="Logan Zamora"/>
        <s v="Casey Roberts"/>
        <s v="Jerry Price"/>
        <s v="Kelly Ellis"/>
        <s v="Caleb Guerra"/>
        <s v="Samantha Norman"/>
        <s v="Sarah Clarke"/>
        <s v="Aaron Blair"/>
        <s v="Courtney Burton"/>
        <s v="Gerald Taylor"/>
        <s v="Mary Ward"/>
        <s v="Lisa Beard Dvm"/>
        <s v="Larry Wallace"/>
        <s v="Jeremiah Thompson"/>
        <s v="Jessica Williams Dvm"/>
        <s v="Martin Moreno"/>
        <s v="Yolanda Proctor"/>
        <s v="Allen Turner"/>
        <s v="Beth Huff"/>
        <s v="John Mckinney"/>
        <s v="Lindsey Wang"/>
        <s v="Margaret Schwartz"/>
        <s v="Kyle Ray"/>
        <s v="Isaac Hebert"/>
        <s v="Michele Jones"/>
        <s v="Austin Allen"/>
        <s v="Haley Castro"/>
        <s v="David Armstrong"/>
        <s v="Wendy Mitchell"/>
        <s v="Anthony Hernandez"/>
        <s v="Erica Johnson"/>
        <s v="Randall Barrett"/>
        <s v="Nathan Huff"/>
        <s v="Robin Walsh"/>
        <s v="Yvonne Robinson"/>
        <s v="Kathleen Hendrix"/>
        <s v="Jennifer Baker"/>
        <s v="Kim Martinez"/>
        <s v="Andrew Little"/>
        <s v="Kelly Shelton"/>
        <s v="Steven Duncan"/>
        <s v="Kristen Haney"/>
        <s v="Kathy Reese"/>
        <s v="Steven Murphy"/>
        <s v="William Hartman"/>
        <s v="Sonya Haley"/>
        <s v="Patricia Richardson"/>
        <s v="Carolyn Lopez"/>
        <s v="Kyle Burns"/>
        <s v="Margaret Garcia"/>
        <s v="Brittany Barker"/>
        <s v="Paul Campbell"/>
        <s v="Amy Morrow"/>
        <s v="Amy Fitzgerald"/>
        <s v="Anita Becker"/>
        <s v="Amy Brooks"/>
        <s v="Lori Marshall"/>
        <s v="Jennifer Miller"/>
        <s v="Thomas Young"/>
        <s v="Zachary Larsen"/>
        <s v="Valerie Gutierrez"/>
        <s v="Daniel Parker"/>
        <s v="Nicole Bennett"/>
        <s v="Lauren Lowery"/>
        <s v="Alexander Woodward"/>
        <s v="Anthony Walter"/>
        <s v="Valerie Finley"/>
        <s v="Deborah Kelley"/>
        <s v="Kristina Miller"/>
        <s v="Anne Hampton"/>
        <s v="Sandra Henry"/>
        <s v="Tony Hester"/>
        <s v="Nathan Davis"/>
        <s v="Erica Jackson"/>
        <s v="Nancy Glover"/>
        <s v="Richard Sanchez"/>
        <s v="Savannah Reid"/>
        <s v="Robert Salazar"/>
        <s v="Hector Greer"/>
        <s v="Thomas Jackson"/>
        <s v="Tina Clark"/>
        <s v="Heather Brown"/>
        <s v="John Weaver"/>
        <s v="Bradley Harris"/>
        <s v="Cassandra Macdonald"/>
        <s v="Matthew White"/>
        <s v="Miss Kimberly Marshall"/>
        <s v="Laura Thompson"/>
        <s v="Nathan Soto"/>
        <s v="Rhonda Hines"/>
        <s v="Gabrielle Bowman"/>
        <s v="Julian Edwards"/>
        <s v="Nicholas Scott"/>
        <s v="Daniel Green"/>
        <s v="Catherine Johnston"/>
        <s v="Brenda Koch"/>
        <s v="Robert Meza"/>
        <s v="Latoya Brown"/>
        <s v="David Osborne Iii"/>
        <s v="David Hooper"/>
        <s v="Sarah Miller"/>
        <s v="Lisa Werner Md"/>
        <s v="Eric Jimenez"/>
        <s v="Jay Bush"/>
        <s v="Johnny Rice"/>
        <s v="Matthew Strong"/>
        <s v="Mark Chandler"/>
        <s v="Crystal Brown"/>
        <s v="Timothy Barton"/>
        <s v="Lisa Hickman"/>
        <s v="Alan Mendoza"/>
        <s v="Jason Sanders"/>
        <s v="Charles Dean"/>
        <s v="Blake Newton"/>
        <s v="David Gonzalez"/>
        <s v="Cindy Williams"/>
        <s v="Laura Wong Dds"/>
        <s v="Robert Moran"/>
        <s v="Bradley Wu"/>
        <s v="Daniel Thomas"/>
        <s v="Michelle Peterson"/>
        <s v="Seth Thomas"/>
        <s v="Evan Ramos"/>
        <s v="Michelle Solis"/>
        <s v="Charlotte Taylor"/>
        <s v="Sandra Preston"/>
        <s v="Jim Weiss"/>
        <s v="Jennifer Hinton"/>
        <s v="Albert Wilcox"/>
        <s v="Cheryl Norris"/>
        <s v="Kathy Watkins"/>
        <s v="John Obrien"/>
        <s v="Dawn Green"/>
      </sharedItems>
    </cacheField>
    <cacheField name="Gender" numFmtId="49">
      <sharedItems count="2">
        <s v="Female"/>
        <s v="Male"/>
      </sharedItems>
    </cacheField>
    <cacheField name="Age" numFmtId="49">
      <sharedItems/>
    </cacheField>
    <cacheField name="Country" numFmtId="49">
      <sharedItems count="21">
        <s v="Italy"/>
        <s v="Australia"/>
        <s v="Germany"/>
        <s v="Netherlands"/>
        <s v="Indonesia"/>
        <s v="United States"/>
        <s v="Turkey"/>
        <s v="United Kingdom"/>
        <s v="Argentina"/>
        <s v="Japan"/>
        <s v="India"/>
        <s v="Brazil"/>
        <s v="South Korea"/>
        <s v="Russia"/>
        <s v="Canada"/>
        <s v="France"/>
        <s v="Egypt"/>
        <s v="South Africa"/>
        <s v="China"/>
        <s v="Mexico"/>
        <s v="Spain"/>
      </sharedItems>
    </cacheField>
    <cacheField name="Language" numFmtId="49">
      <sharedItems count="16">
        <s v="Italian"/>
        <s v="English"/>
        <s v="German"/>
        <s v="Dutch"/>
        <s v="Indonesian"/>
        <s v="Turkish"/>
        <s v="Spanish"/>
        <s v="Japanese"/>
        <s v="Hindi"/>
        <s v="Portuguese"/>
        <s v="Korean"/>
        <s v="Russian"/>
        <s v="French"/>
        <s v="Arabic"/>
        <s v="Afrikaans"/>
        <s v="Mandarin"/>
      </sharedItems>
    </cacheField>
    <cacheField name="Primary skill" numFmtId="49">
      <sharedItems/>
    </cacheField>
    <cacheField name="Years of Experience" numFmtId="2">
      <sharedItems/>
    </cacheField>
    <cacheField name="Hourly rate (USD)" numFmtId="165">
      <sharedItems/>
    </cacheField>
    <cacheField name="Rating" numFmtId="164">
      <sharedItems containsSemiMixedTypes="0" containsString="0" containsNumber="1" minValue="0" maxValue="5"/>
    </cacheField>
    <cacheField name="Is active" numFmtId="49">
      <sharedItems/>
    </cacheField>
    <cacheField name="Client satisfaction" numFmtId="2">
      <sharedItems containsSemiMixedTypes="0" containsString="0" containsNumber="1" minValue="0.6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2.020705902774" createdVersion="8" refreshedVersion="8" minRefreshableVersion="3" recordCount="1000" xr:uid="{2505DEA0-75E8-481F-AAA3-3212C1C2B5CD}">
  <cacheSource type="worksheet">
    <worksheetSource name="Table2"/>
  </cacheSource>
  <cacheFields count="12">
    <cacheField name="Freelancer_ID" numFmtId="0">
      <sharedItems/>
    </cacheField>
    <cacheField name="Name" numFmtId="49">
      <sharedItems/>
    </cacheField>
    <cacheField name="Gender" numFmtId="49">
      <sharedItems count="2">
        <s v="Female"/>
        <s v="Male"/>
      </sharedItems>
    </cacheField>
    <cacheField name="Age" numFmtId="49">
      <sharedItems/>
    </cacheField>
    <cacheField name="Country" numFmtId="49">
      <sharedItems count="21">
        <s v="Italy"/>
        <s v="Australia"/>
        <s v="Germany"/>
        <s v="Netherlands"/>
        <s v="Indonesia"/>
        <s v="United States"/>
        <s v="Turkey"/>
        <s v="United Kingdom"/>
        <s v="Argentina"/>
        <s v="Japan"/>
        <s v="India"/>
        <s v="Brazil"/>
        <s v="South Korea"/>
        <s v="Russia"/>
        <s v="Canada"/>
        <s v="France"/>
        <s v="Egypt"/>
        <s v="South Africa"/>
        <s v="China"/>
        <s v="Mexico"/>
        <s v="Spain"/>
      </sharedItems>
    </cacheField>
    <cacheField name="Language" numFmtId="49">
      <sharedItems/>
    </cacheField>
    <cacheField name="Primary skill" numFmtId="49">
      <sharedItems/>
    </cacheField>
    <cacheField name="Years of Experience" numFmtId="2">
      <sharedItems/>
    </cacheField>
    <cacheField name="Hourly rate (USD)" numFmtId="1">
      <sharedItems containsSemiMixedTypes="0" containsString="0" containsNumber="1" containsInteger="1" minValue="20" maxValue="100"/>
    </cacheField>
    <cacheField name="Rating" numFmtId="164">
      <sharedItems containsSemiMixedTypes="0" containsString="0" containsNumber="1" minValue="0" maxValue="5"/>
    </cacheField>
    <cacheField name="Is active" numFmtId="49">
      <sharedItems/>
    </cacheField>
    <cacheField name="Client satisfaction" numFmtId="2">
      <sharedItems containsSemiMixedTypes="0" containsString="0" containsNumber="1" minValue="0.6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FL250001"/>
    <x v="0"/>
    <x v="0"/>
    <s v="52"/>
    <x v="0"/>
    <x v="0"/>
    <s v="Blockchain Development"/>
    <s v="11"/>
    <s v="100"/>
    <n v="2.6"/>
    <s v="FALSE"/>
    <n v="0.75"/>
  </r>
  <r>
    <s v="FL250002"/>
    <x v="1"/>
    <x v="0"/>
    <s v="52"/>
    <x v="1"/>
    <x v="1"/>
    <s v="Mobile Apps"/>
    <s v="34"/>
    <s v="100"/>
    <n v="3.3"/>
    <s v="TRUE"/>
    <n v="0.84"/>
  </r>
  <r>
    <s v="FL250003"/>
    <x v="2"/>
    <x v="1"/>
    <s v="53"/>
    <x v="2"/>
    <x v="2"/>
    <s v="Graphic Design"/>
    <s v="31"/>
    <s v="50"/>
    <n v="0"/>
    <s v="FALSE"/>
    <n v="0.71"/>
  </r>
  <r>
    <s v="FL250004"/>
    <x v="3"/>
    <x v="0"/>
    <s v="38"/>
    <x v="1"/>
    <x v="1"/>
    <s v="Web Development"/>
    <s v="4"/>
    <s v="40"/>
    <n v="1.5"/>
    <s v="FALSE"/>
    <n v="0.9"/>
  </r>
  <r>
    <s v="FL250005"/>
    <x v="4"/>
    <x v="0"/>
    <s v="53"/>
    <x v="2"/>
    <x v="2"/>
    <s v="Web Development"/>
    <s v="27"/>
    <s v="30"/>
    <n v="4.8"/>
    <s v="FALSE"/>
    <n v="0.83"/>
  </r>
  <r>
    <s v="FL250006"/>
    <x v="5"/>
    <x v="0"/>
    <s v="59"/>
    <x v="3"/>
    <x v="3"/>
    <s v="AI"/>
    <s v="14"/>
    <s v="30"/>
    <n v="2.4"/>
    <s v="TRUE"/>
    <n v="0.75"/>
  </r>
  <r>
    <s v="FL250007"/>
    <x v="6"/>
    <x v="1"/>
    <s v="52"/>
    <x v="4"/>
    <x v="4"/>
    <s v="Data Analysis"/>
    <s v="10"/>
    <s v="75"/>
    <n v="3.1"/>
    <s v="FALSE"/>
    <n v="0.94"/>
  </r>
  <r>
    <s v="FL250008"/>
    <x v="7"/>
    <x v="1"/>
    <s v="43"/>
    <x v="0"/>
    <x v="0"/>
    <s v="Blockchain Development"/>
    <s v="14"/>
    <s v="40"/>
    <n v="4.5999999999999996"/>
    <s v="TRUE"/>
    <n v="0.94"/>
  </r>
  <r>
    <s v="FL250009"/>
    <x v="8"/>
    <x v="1"/>
    <s v="26"/>
    <x v="5"/>
    <x v="1"/>
    <s v="Blockchain Development"/>
    <s v="4"/>
    <s v="50"/>
    <n v="4"/>
    <s v="TRUE"/>
    <n v="0.76"/>
  </r>
  <r>
    <s v="FL250010"/>
    <x v="9"/>
    <x v="1"/>
    <s v="52"/>
    <x v="6"/>
    <x v="5"/>
    <s v="AI"/>
    <s v="22"/>
    <s v="50"/>
    <n v="2.6"/>
    <s v="TRUE"/>
    <n v="0.75"/>
  </r>
  <r>
    <s v="FL250011"/>
    <x v="10"/>
    <x v="1"/>
    <s v="40"/>
    <x v="7"/>
    <x v="1"/>
    <s v="Data Analysis"/>
    <s v="17"/>
    <s v="40"/>
    <n v="3.6"/>
    <s v="TRUE"/>
    <n v="0.77"/>
  </r>
  <r>
    <s v="FL250012"/>
    <x v="11"/>
    <x v="0"/>
    <s v="55"/>
    <x v="8"/>
    <x v="6"/>
    <s v="UI/UX Design"/>
    <s v="15"/>
    <s v="50"/>
    <n v="2.6"/>
    <s v="TRUE"/>
    <n v="0.86"/>
  </r>
  <r>
    <s v="FL250013"/>
    <x v="12"/>
    <x v="0"/>
    <s v="57"/>
    <x v="7"/>
    <x v="1"/>
    <s v="Cybersecurity"/>
    <s v="18"/>
    <s v="50"/>
    <n v="2"/>
    <s v="FALSE"/>
    <n v="0.86"/>
  </r>
  <r>
    <s v="FL250014"/>
    <x v="13"/>
    <x v="1"/>
    <s v="38"/>
    <x v="8"/>
    <x v="6"/>
    <s v="Graphic Design"/>
    <s v="20"/>
    <s v="75"/>
    <n v="2.9"/>
    <s v="TRUE"/>
    <n v="0.93"/>
  </r>
  <r>
    <s v="FL250015"/>
    <x v="14"/>
    <x v="1"/>
    <s v="50"/>
    <x v="2"/>
    <x v="2"/>
    <s v="Data Analysis"/>
    <s v="22"/>
    <s v="75"/>
    <n v="3.7"/>
    <s v="TRUE"/>
    <n v="0.7"/>
  </r>
  <r>
    <s v="FL250016"/>
    <x v="15"/>
    <x v="1"/>
    <s v="42"/>
    <x v="9"/>
    <x v="7"/>
    <s v="Data Analysis"/>
    <s v="0"/>
    <s v="30"/>
    <n v="1.2"/>
    <s v="FALSE"/>
    <n v="0.69"/>
  </r>
  <r>
    <s v="FL250017"/>
    <x v="16"/>
    <x v="0"/>
    <s v="39"/>
    <x v="1"/>
    <x v="1"/>
    <s v="DevOps"/>
    <s v="13"/>
    <s v="30"/>
    <n v="2.5"/>
    <s v="TRUE"/>
    <n v="0.6"/>
  </r>
  <r>
    <s v="FL250018"/>
    <x v="17"/>
    <x v="1"/>
    <s v="56"/>
    <x v="10"/>
    <x v="8"/>
    <s v="Blockchain Development"/>
    <s v="Unknown"/>
    <s v="50"/>
    <n v="2.6"/>
    <s v="TRUE"/>
    <n v="0.87"/>
  </r>
  <r>
    <s v="FL250019"/>
    <x v="18"/>
    <x v="1"/>
    <s v="56"/>
    <x v="5"/>
    <x v="1"/>
    <s v="UI/UX Design"/>
    <s v="31"/>
    <s v="50"/>
    <n v="1.1000000000000001"/>
    <s v="FALSE"/>
    <n v="0.75"/>
  </r>
  <r>
    <s v="FL250020"/>
    <x v="19"/>
    <x v="1"/>
    <s v="57"/>
    <x v="0"/>
    <x v="0"/>
    <s v="Web Development"/>
    <s v="3"/>
    <s v="100"/>
    <n v="1.8"/>
    <s v="TRUE"/>
    <n v="0.68"/>
  </r>
  <r>
    <s v="FL250021"/>
    <x v="20"/>
    <x v="1"/>
    <s v="Unknown"/>
    <x v="4"/>
    <x v="4"/>
    <s v="AI"/>
    <s v="9"/>
    <s v="50"/>
    <n v="1.8"/>
    <s v="TRUE"/>
    <n v="0.65"/>
  </r>
  <r>
    <s v="FL250022"/>
    <x v="21"/>
    <x v="1"/>
    <s v="51"/>
    <x v="9"/>
    <x v="7"/>
    <s v="DevOps"/>
    <s v="Unknown"/>
    <s v="50"/>
    <n v="2.4"/>
    <s v="FALSE"/>
    <n v="0.69"/>
  </r>
  <r>
    <s v="FL250023"/>
    <x v="22"/>
    <x v="1"/>
    <s v="51"/>
    <x v="11"/>
    <x v="9"/>
    <s v="Cybersecurity"/>
    <s v="21"/>
    <s v="30"/>
    <n v="4.7"/>
    <s v="FALSE"/>
    <n v="0.75"/>
  </r>
  <r>
    <s v="FL250024"/>
    <x v="23"/>
    <x v="0"/>
    <s v="51"/>
    <x v="12"/>
    <x v="10"/>
    <s v="Machine Learning"/>
    <s v="15"/>
    <s v="50"/>
    <n v="1.3"/>
    <s v="TRUE"/>
    <n v="1"/>
  </r>
  <r>
    <s v="FL250025"/>
    <x v="24"/>
    <x v="0"/>
    <s v="54"/>
    <x v="4"/>
    <x v="4"/>
    <s v="Machine Learning"/>
    <s v="13"/>
    <s v="75"/>
    <n v="2.9"/>
    <s v="TRUE"/>
    <n v="0.92"/>
  </r>
  <r>
    <s v="FL250026"/>
    <x v="25"/>
    <x v="0"/>
    <s v="22"/>
    <x v="12"/>
    <x v="10"/>
    <s v="DevOps"/>
    <s v="0"/>
    <s v="30"/>
    <n v="1.2"/>
    <s v="TRUE"/>
    <n v="0.7"/>
  </r>
  <r>
    <s v="FL250027"/>
    <x v="26"/>
    <x v="0"/>
    <s v="34"/>
    <x v="9"/>
    <x v="7"/>
    <s v="Blockchain Development"/>
    <s v="8"/>
    <s v="20"/>
    <n v="0"/>
    <s v="TRUE"/>
    <n v="0.89"/>
  </r>
  <r>
    <s v="FL250028"/>
    <x v="27"/>
    <x v="0"/>
    <s v="36"/>
    <x v="13"/>
    <x v="11"/>
    <s v="Graphic Design"/>
    <s v="11"/>
    <s v="50"/>
    <n v="1.8"/>
    <s v="TRUE"/>
    <n v="0.86"/>
  </r>
  <r>
    <s v="FL250029"/>
    <x v="28"/>
    <x v="0"/>
    <s v="47"/>
    <x v="14"/>
    <x v="1"/>
    <s v="AI"/>
    <s v="22"/>
    <s v="30"/>
    <n v="1.3"/>
    <s v="FALSE"/>
    <n v="0.62"/>
  </r>
  <r>
    <s v="FL250030"/>
    <x v="29"/>
    <x v="0"/>
    <s v="41"/>
    <x v="3"/>
    <x v="3"/>
    <s v="Data Analysis"/>
    <s v="14"/>
    <s v="75"/>
    <n v="1.2"/>
    <s v="FALSE"/>
    <n v="0.75"/>
  </r>
  <r>
    <s v="FL250031"/>
    <x v="30"/>
    <x v="1"/>
    <s v="22"/>
    <x v="3"/>
    <x v="3"/>
    <s v="DevOps"/>
    <s v="4"/>
    <s v="50"/>
    <n v="1"/>
    <s v="TRUE"/>
    <n v="0.75"/>
  </r>
  <r>
    <s v="FL250032"/>
    <x v="31"/>
    <x v="1"/>
    <s v="38"/>
    <x v="15"/>
    <x v="12"/>
    <s v="Machine Learning"/>
    <s v="19"/>
    <s v="100"/>
    <n v="4.2"/>
    <s v="FALSE"/>
    <n v="0.68"/>
  </r>
  <r>
    <s v="FL250033"/>
    <x v="32"/>
    <x v="1"/>
    <s v="46"/>
    <x v="16"/>
    <x v="13"/>
    <s v="AI"/>
    <s v="9"/>
    <s v="20"/>
    <n v="1.4"/>
    <s v="TRUE"/>
    <n v="0.76"/>
  </r>
  <r>
    <s v="FL250034"/>
    <x v="33"/>
    <x v="1"/>
    <s v="Unknown"/>
    <x v="12"/>
    <x v="10"/>
    <s v="AI"/>
    <s v="9"/>
    <s v="40"/>
    <n v="2.4"/>
    <s v="TRUE"/>
    <n v="0.82"/>
  </r>
  <r>
    <s v="FL250035"/>
    <x v="34"/>
    <x v="0"/>
    <s v="54"/>
    <x v="5"/>
    <x v="1"/>
    <s v="Web Development"/>
    <s v="32"/>
    <s v="75"/>
    <n v="1"/>
    <s v="TRUE"/>
    <n v="0.81"/>
  </r>
  <r>
    <s v="FL250036"/>
    <x v="35"/>
    <x v="0"/>
    <s v="52"/>
    <x v="12"/>
    <x v="10"/>
    <s v="Web Development"/>
    <s v="28"/>
    <s v="20"/>
    <n v="2.6"/>
    <s v="FALSE"/>
    <n v="0.75"/>
  </r>
  <r>
    <s v="FL250037"/>
    <x v="36"/>
    <x v="0"/>
    <s v="42"/>
    <x v="9"/>
    <x v="7"/>
    <s v="Mobile Apps"/>
    <s v="6"/>
    <s v="40"/>
    <n v="2.6"/>
    <s v="FALSE"/>
    <n v="0.63"/>
  </r>
  <r>
    <s v="FL250038"/>
    <x v="37"/>
    <x v="0"/>
    <s v="29"/>
    <x v="3"/>
    <x v="3"/>
    <s v="Graphic Design"/>
    <s v="10"/>
    <s v="40"/>
    <n v="2.2000000000000002"/>
    <s v="FALSE"/>
    <n v="0.67"/>
  </r>
  <r>
    <s v="FL250039"/>
    <x v="38"/>
    <x v="0"/>
    <s v="42"/>
    <x v="17"/>
    <x v="14"/>
    <s v="Mobile Apps"/>
    <s v="23"/>
    <s v="50"/>
    <n v="3.2"/>
    <s v="TRUE"/>
    <n v="0.75"/>
  </r>
  <r>
    <s v="FL250040"/>
    <x v="39"/>
    <x v="1"/>
    <s v="60"/>
    <x v="9"/>
    <x v="7"/>
    <s v="Web Development"/>
    <s v="13"/>
    <s v="20"/>
    <n v="3.6"/>
    <s v="FALSE"/>
    <n v="0.8"/>
  </r>
  <r>
    <s v="FL250041"/>
    <x v="40"/>
    <x v="0"/>
    <s v="59"/>
    <x v="7"/>
    <x v="1"/>
    <s v="AI"/>
    <s v="3"/>
    <s v="50"/>
    <n v="0"/>
    <s v="FALSE"/>
    <n v="0.75"/>
  </r>
  <r>
    <s v="FL250042"/>
    <x v="41"/>
    <x v="0"/>
    <s v="21"/>
    <x v="14"/>
    <x v="1"/>
    <s v="Web Development"/>
    <s v="0"/>
    <s v="30"/>
    <n v="2.7"/>
    <s v="TRUE"/>
    <n v="0.84"/>
  </r>
  <r>
    <s v="FL250043"/>
    <x v="42"/>
    <x v="0"/>
    <s v="35"/>
    <x v="2"/>
    <x v="2"/>
    <s v="DevOps"/>
    <s v="10"/>
    <s v="50"/>
    <n v="0"/>
    <s v="FALSE"/>
    <n v="0.75"/>
  </r>
  <r>
    <s v="FL250044"/>
    <x v="43"/>
    <x v="1"/>
    <s v="41"/>
    <x v="7"/>
    <x v="1"/>
    <s v="Data Analysis"/>
    <s v="Unknown"/>
    <s v="20"/>
    <n v="2.8"/>
    <s v="TRUE"/>
    <n v="0.63"/>
  </r>
  <r>
    <s v="FL250045"/>
    <x v="44"/>
    <x v="0"/>
    <s v="51"/>
    <x v="3"/>
    <x v="3"/>
    <s v="Machine Learning"/>
    <s v="23"/>
    <s v="20"/>
    <n v="2.5"/>
    <s v="TRUE"/>
    <n v="0.8"/>
  </r>
  <r>
    <s v="FL250046"/>
    <x v="45"/>
    <x v="1"/>
    <s v="41"/>
    <x v="17"/>
    <x v="14"/>
    <s v="Web Development"/>
    <s v="9"/>
    <s v="75"/>
    <n v="4.9000000000000004"/>
    <s v="TRUE"/>
    <n v="0.74"/>
  </r>
  <r>
    <s v="FL250047"/>
    <x v="46"/>
    <x v="0"/>
    <s v="47"/>
    <x v="16"/>
    <x v="13"/>
    <s v="DevOps"/>
    <s v="15"/>
    <s v="30"/>
    <n v="4.5"/>
    <s v="TRUE"/>
    <n v="0.85"/>
  </r>
  <r>
    <s v="FL250048"/>
    <x v="47"/>
    <x v="1"/>
    <s v="25"/>
    <x v="18"/>
    <x v="15"/>
    <s v="Graphic Design"/>
    <s v="4"/>
    <s v="50"/>
    <n v="2.7"/>
    <s v="FALSE"/>
    <n v="0.77"/>
  </r>
  <r>
    <s v="FL250049"/>
    <x v="48"/>
    <x v="0"/>
    <s v="25"/>
    <x v="19"/>
    <x v="6"/>
    <s v="Mobile Apps"/>
    <s v="7"/>
    <s v="20"/>
    <n v="1.9"/>
    <s v="FALSE"/>
    <n v="0.75"/>
  </r>
  <r>
    <s v="FL250050"/>
    <x v="49"/>
    <x v="1"/>
    <s v="29"/>
    <x v="3"/>
    <x v="3"/>
    <s v="UI/UX Design"/>
    <s v="1"/>
    <s v="20"/>
    <n v="1.4"/>
    <s v="TRUE"/>
    <n v="0.63"/>
  </r>
  <r>
    <s v="FL250051"/>
    <x v="50"/>
    <x v="0"/>
    <s v="23"/>
    <x v="8"/>
    <x v="6"/>
    <s v="Cybersecurity"/>
    <s v="0"/>
    <s v="75"/>
    <n v="1.9"/>
    <s v="TRUE"/>
    <n v="0.79"/>
  </r>
  <r>
    <s v="FL250052"/>
    <x v="51"/>
    <x v="1"/>
    <s v="31"/>
    <x v="15"/>
    <x v="12"/>
    <s v="Data Analysis"/>
    <s v="8"/>
    <s v="50"/>
    <n v="3.4"/>
    <s v="FALSE"/>
    <n v="0.75"/>
  </r>
  <r>
    <s v="FL250053"/>
    <x v="52"/>
    <x v="1"/>
    <s v="51"/>
    <x v="2"/>
    <x v="2"/>
    <s v="Machine Learning"/>
    <s v="33"/>
    <s v="75"/>
    <n v="3.3"/>
    <s v="TRUE"/>
    <n v="0.68"/>
  </r>
  <r>
    <s v="FL250054"/>
    <x v="53"/>
    <x v="1"/>
    <s v="Unknown"/>
    <x v="20"/>
    <x v="6"/>
    <s v="UI/UX Design"/>
    <s v="1"/>
    <s v="30"/>
    <n v="0"/>
    <s v="FALSE"/>
    <n v="0.68"/>
  </r>
  <r>
    <s v="FL250055"/>
    <x v="54"/>
    <x v="0"/>
    <s v="29"/>
    <x v="6"/>
    <x v="5"/>
    <s v="Cybersecurity"/>
    <s v="11"/>
    <s v="100"/>
    <n v="2.2999999999999998"/>
    <s v="TRUE"/>
    <n v="0.72"/>
  </r>
  <r>
    <s v="FL250056"/>
    <x v="55"/>
    <x v="1"/>
    <s v="50"/>
    <x v="7"/>
    <x v="1"/>
    <s v="AI"/>
    <s v="15"/>
    <s v="50"/>
    <n v="2"/>
    <s v="TRUE"/>
    <n v="0.65"/>
  </r>
  <r>
    <s v="FL250057"/>
    <x v="56"/>
    <x v="0"/>
    <s v="26"/>
    <x v="7"/>
    <x v="1"/>
    <s v="DevOps"/>
    <s v="8"/>
    <s v="50"/>
    <n v="1.3"/>
    <s v="TRUE"/>
    <n v="0.76"/>
  </r>
  <r>
    <s v="FL250058"/>
    <x v="57"/>
    <x v="1"/>
    <s v="38"/>
    <x v="14"/>
    <x v="1"/>
    <s v="AI"/>
    <s v="17"/>
    <s v="40"/>
    <n v="4"/>
    <s v="TRUE"/>
    <n v="0.9"/>
  </r>
  <r>
    <s v="FL250059"/>
    <x v="58"/>
    <x v="0"/>
    <s v="23"/>
    <x v="10"/>
    <x v="8"/>
    <s v="Mobile Apps"/>
    <s v="Unknown"/>
    <s v="75"/>
    <n v="3.6"/>
    <s v="TRUE"/>
    <n v="0.65"/>
  </r>
  <r>
    <s v="FL250060"/>
    <x v="59"/>
    <x v="0"/>
    <s v="51"/>
    <x v="17"/>
    <x v="14"/>
    <s v="DevOps"/>
    <s v="28"/>
    <s v="40"/>
    <n v="3.9"/>
    <s v="FALSE"/>
    <n v="0.63"/>
  </r>
  <r>
    <s v="FL250061"/>
    <x v="60"/>
    <x v="0"/>
    <s v="51"/>
    <x v="4"/>
    <x v="4"/>
    <s v="AI"/>
    <s v="33"/>
    <s v="75"/>
    <n v="0"/>
    <s v="TRUE"/>
    <n v="0.75"/>
  </r>
  <r>
    <s v="FL250062"/>
    <x v="61"/>
    <x v="1"/>
    <s v="47"/>
    <x v="2"/>
    <x v="2"/>
    <s v="AI"/>
    <s v="18"/>
    <s v="75"/>
    <n v="0"/>
    <s v="FALSE"/>
    <n v="0.75"/>
  </r>
  <r>
    <s v="FL250063"/>
    <x v="62"/>
    <x v="0"/>
    <s v="34"/>
    <x v="13"/>
    <x v="11"/>
    <s v="UI/UX Design"/>
    <s v="16"/>
    <s v="20"/>
    <n v="2.2999999999999998"/>
    <s v="TRUE"/>
    <n v="0.93"/>
  </r>
  <r>
    <s v="FL250064"/>
    <x v="63"/>
    <x v="0"/>
    <s v="58"/>
    <x v="4"/>
    <x v="4"/>
    <s v="Data Analysis"/>
    <s v="35"/>
    <s v="50"/>
    <n v="4.7"/>
    <s v="FALSE"/>
    <n v="0.7"/>
  </r>
  <r>
    <s v="FL250065"/>
    <x v="64"/>
    <x v="0"/>
    <s v="50"/>
    <x v="13"/>
    <x v="11"/>
    <s v="AI"/>
    <s v="14"/>
    <s v="50"/>
    <n v="3.5"/>
    <s v="TRUE"/>
    <n v="0.83"/>
  </r>
  <r>
    <s v="FL250066"/>
    <x v="65"/>
    <x v="0"/>
    <s v="34"/>
    <x v="20"/>
    <x v="6"/>
    <s v="Web Development"/>
    <s v="12"/>
    <s v="40"/>
    <n v="2.4"/>
    <s v="TRUE"/>
    <n v="0.64"/>
  </r>
  <r>
    <s v="FL250067"/>
    <x v="66"/>
    <x v="0"/>
    <s v="45"/>
    <x v="11"/>
    <x v="9"/>
    <s v="AI"/>
    <s v="11"/>
    <s v="75"/>
    <n v="4"/>
    <s v="FALSE"/>
    <n v="1"/>
  </r>
  <r>
    <s v="FL250068"/>
    <x v="67"/>
    <x v="0"/>
    <s v="55"/>
    <x v="11"/>
    <x v="9"/>
    <s v="Web Development"/>
    <s v="0"/>
    <s v="40"/>
    <n v="0"/>
    <s v="TRUE"/>
    <n v="0.75"/>
  </r>
  <r>
    <s v="FL250069"/>
    <x v="68"/>
    <x v="1"/>
    <s v="Unknown"/>
    <x v="8"/>
    <x v="6"/>
    <s v="UI/UX Design"/>
    <s v="6"/>
    <s v="100"/>
    <n v="1.5"/>
    <s v="TRUE"/>
    <n v="0.75"/>
  </r>
  <r>
    <s v="FL250070"/>
    <x v="69"/>
    <x v="0"/>
    <s v="60"/>
    <x v="18"/>
    <x v="15"/>
    <s v="UI/UX Design"/>
    <s v="38"/>
    <s v="20"/>
    <n v="2"/>
    <s v="FALSE"/>
    <n v="0.71"/>
  </r>
  <r>
    <s v="FL250071"/>
    <x v="70"/>
    <x v="0"/>
    <s v="33"/>
    <x v="17"/>
    <x v="14"/>
    <s v="Mobile Apps"/>
    <s v="11"/>
    <s v="50"/>
    <n v="2.6"/>
    <s v="TRUE"/>
    <n v="0.84"/>
  </r>
  <r>
    <s v="FL250072"/>
    <x v="71"/>
    <x v="1"/>
    <s v="60"/>
    <x v="0"/>
    <x v="0"/>
    <s v="DevOps"/>
    <s v="13"/>
    <s v="50"/>
    <n v="1"/>
    <s v="TRUE"/>
    <n v="0.75"/>
  </r>
  <r>
    <s v="FL250073"/>
    <x v="72"/>
    <x v="1"/>
    <s v="40"/>
    <x v="5"/>
    <x v="1"/>
    <s v="Web Development"/>
    <s v="9"/>
    <s v="100"/>
    <n v="4.5"/>
    <s v="TRUE"/>
    <n v="0.69"/>
  </r>
  <r>
    <s v="FL250074"/>
    <x v="73"/>
    <x v="1"/>
    <s v="59"/>
    <x v="1"/>
    <x v="1"/>
    <s v="Blockchain Development"/>
    <s v="4"/>
    <s v="50"/>
    <n v="1.9"/>
    <s v="TRUE"/>
    <n v="0.88"/>
  </r>
  <r>
    <s v="FL250075"/>
    <x v="74"/>
    <x v="1"/>
    <s v="36"/>
    <x v="0"/>
    <x v="0"/>
    <s v="Machine Learning"/>
    <s v="14"/>
    <s v="100"/>
    <n v="3.7"/>
    <s v="FALSE"/>
    <n v="0.75"/>
  </r>
  <r>
    <s v="FL250076"/>
    <x v="75"/>
    <x v="1"/>
    <s v="32"/>
    <x v="10"/>
    <x v="8"/>
    <s v="Data Analysis"/>
    <s v="Unknown"/>
    <s v="30"/>
    <n v="1.9"/>
    <s v="TRUE"/>
    <n v="0.96"/>
  </r>
  <r>
    <s v="FL250077"/>
    <x v="76"/>
    <x v="1"/>
    <s v="59"/>
    <x v="1"/>
    <x v="1"/>
    <s v="AI"/>
    <s v="9"/>
    <s v="75"/>
    <n v="4"/>
    <s v="TRUE"/>
    <n v="0.96"/>
  </r>
  <r>
    <s v="FL250078"/>
    <x v="77"/>
    <x v="0"/>
    <s v="54"/>
    <x v="20"/>
    <x v="6"/>
    <s v="DevOps"/>
    <s v="32"/>
    <s v="40"/>
    <n v="1.8"/>
    <s v="FALSE"/>
    <n v="0.75"/>
  </r>
  <r>
    <s v="FL250079"/>
    <x v="78"/>
    <x v="0"/>
    <s v="37"/>
    <x v="14"/>
    <x v="1"/>
    <s v="Graphic Design"/>
    <s v="9"/>
    <s v="50"/>
    <n v="0"/>
    <s v="TRUE"/>
    <n v="0.89"/>
  </r>
  <r>
    <s v="FL250080"/>
    <x v="79"/>
    <x v="1"/>
    <s v="54"/>
    <x v="10"/>
    <x v="8"/>
    <s v="Machine Learning"/>
    <s v="21"/>
    <s v="100"/>
    <n v="4.5999999999999996"/>
    <s v="TRUE"/>
    <n v="0.75"/>
  </r>
  <r>
    <s v="FL250081"/>
    <x v="80"/>
    <x v="0"/>
    <s v="33"/>
    <x v="8"/>
    <x v="6"/>
    <s v="UI/UX Design"/>
    <s v="12"/>
    <s v="100"/>
    <n v="3.6"/>
    <s v="FALSE"/>
    <n v="0.63"/>
  </r>
  <r>
    <s v="FL250082"/>
    <x v="81"/>
    <x v="0"/>
    <s v="25"/>
    <x v="16"/>
    <x v="13"/>
    <s v="Web Development"/>
    <s v="7"/>
    <s v="40"/>
    <n v="4.4000000000000004"/>
    <s v="TRUE"/>
    <n v="0.81"/>
  </r>
  <r>
    <s v="FL250083"/>
    <x v="82"/>
    <x v="1"/>
    <s v="Unknown"/>
    <x v="18"/>
    <x v="15"/>
    <s v="DevOps"/>
    <s v="3"/>
    <s v="40"/>
    <n v="4.5999999999999996"/>
    <s v="FALSE"/>
    <n v="0.74"/>
  </r>
  <r>
    <s v="FL250084"/>
    <x v="83"/>
    <x v="1"/>
    <s v="35"/>
    <x v="12"/>
    <x v="10"/>
    <s v="Web Development"/>
    <s v="5"/>
    <s v="75"/>
    <n v="3.2"/>
    <s v="TRUE"/>
    <n v="0.72"/>
  </r>
  <r>
    <s v="FL250085"/>
    <x v="84"/>
    <x v="1"/>
    <s v="59"/>
    <x v="12"/>
    <x v="10"/>
    <s v="AI"/>
    <s v="30"/>
    <s v="40"/>
    <n v="0"/>
    <s v="TRUE"/>
    <n v="0.75"/>
  </r>
  <r>
    <s v="FL250086"/>
    <x v="85"/>
    <x v="0"/>
    <s v="21"/>
    <x v="18"/>
    <x v="15"/>
    <s v="DevOps"/>
    <s v="2"/>
    <s v="100"/>
    <n v="2.6"/>
    <s v="TRUE"/>
    <n v="0.85"/>
  </r>
  <r>
    <s v="FL250087"/>
    <x v="86"/>
    <x v="1"/>
    <s v="25"/>
    <x v="5"/>
    <x v="1"/>
    <s v="Mobile Apps"/>
    <s v="2"/>
    <s v="75"/>
    <n v="3.7"/>
    <s v="FALSE"/>
    <n v="0.75"/>
  </r>
  <r>
    <s v="FL250088"/>
    <x v="87"/>
    <x v="0"/>
    <s v="38"/>
    <x v="19"/>
    <x v="6"/>
    <s v="Web Development"/>
    <s v="19"/>
    <s v="75"/>
    <n v="2.2999999999999998"/>
    <s v="TRUE"/>
    <n v="0.61"/>
  </r>
  <r>
    <s v="FL250089"/>
    <x v="88"/>
    <x v="1"/>
    <s v="57"/>
    <x v="13"/>
    <x v="11"/>
    <s v="AI"/>
    <s v="16"/>
    <s v="100"/>
    <n v="3.1"/>
    <s v="TRUE"/>
    <n v="0.75"/>
  </r>
  <r>
    <s v="FL250090"/>
    <x v="89"/>
    <x v="1"/>
    <s v="32"/>
    <x v="10"/>
    <x v="8"/>
    <s v="Mobile Apps"/>
    <s v="10"/>
    <s v="20"/>
    <n v="2.4"/>
    <s v="FALSE"/>
    <n v="0.86"/>
  </r>
  <r>
    <s v="FL250091"/>
    <x v="90"/>
    <x v="1"/>
    <s v="21"/>
    <x v="0"/>
    <x v="0"/>
    <s v="DevOps"/>
    <s v="2"/>
    <s v="100"/>
    <n v="1.6"/>
    <s v="TRUE"/>
    <n v="0.97"/>
  </r>
  <r>
    <s v="FL250092"/>
    <x v="91"/>
    <x v="0"/>
    <s v="57"/>
    <x v="14"/>
    <x v="1"/>
    <s v="Cybersecurity"/>
    <s v="18"/>
    <s v="50"/>
    <n v="2.4"/>
    <s v="TRUE"/>
    <n v="0.63"/>
  </r>
  <r>
    <s v="FL250093"/>
    <x v="92"/>
    <x v="1"/>
    <s v="53"/>
    <x v="18"/>
    <x v="15"/>
    <s v="UI/UX Design"/>
    <s v="21"/>
    <s v="100"/>
    <n v="2.6"/>
    <s v="TRUE"/>
    <n v="0.97"/>
  </r>
  <r>
    <s v="FL250094"/>
    <x v="93"/>
    <x v="1"/>
    <s v="35"/>
    <x v="13"/>
    <x v="11"/>
    <s v="Blockchain Development"/>
    <s v="3"/>
    <s v="30"/>
    <n v="3.8"/>
    <s v="TRUE"/>
    <n v="0.81"/>
  </r>
  <r>
    <s v="FL250095"/>
    <x v="94"/>
    <x v="0"/>
    <s v="54"/>
    <x v="18"/>
    <x v="15"/>
    <s v="Machine Learning"/>
    <s v="17"/>
    <s v="20"/>
    <n v="1.7"/>
    <s v="FALSE"/>
    <n v="0.69"/>
  </r>
  <r>
    <s v="FL250096"/>
    <x v="95"/>
    <x v="0"/>
    <s v="36"/>
    <x v="0"/>
    <x v="0"/>
    <s v="UI/UX Design"/>
    <s v="0"/>
    <s v="20"/>
    <n v="1.3"/>
    <s v="TRUE"/>
    <n v="0.64"/>
  </r>
  <r>
    <s v="FL250097"/>
    <x v="96"/>
    <x v="0"/>
    <s v="49"/>
    <x v="20"/>
    <x v="6"/>
    <s v="Cybersecurity"/>
    <s v="25"/>
    <s v="50"/>
    <n v="5"/>
    <s v="FALSE"/>
    <n v="0.77"/>
  </r>
  <r>
    <s v="FL250098"/>
    <x v="97"/>
    <x v="1"/>
    <s v="37"/>
    <x v="5"/>
    <x v="1"/>
    <s v="Blockchain Development"/>
    <s v="17"/>
    <s v="20"/>
    <n v="3.3"/>
    <s v="FALSE"/>
    <n v="0.96"/>
  </r>
  <r>
    <s v="FL250099"/>
    <x v="98"/>
    <x v="1"/>
    <s v="Unknown"/>
    <x v="5"/>
    <x v="1"/>
    <s v="UI/UX Design"/>
    <s v="5"/>
    <s v="20"/>
    <n v="1.1000000000000001"/>
    <s v="FALSE"/>
    <n v="0.74"/>
  </r>
  <r>
    <s v="FL250100"/>
    <x v="99"/>
    <x v="1"/>
    <s v="32"/>
    <x v="16"/>
    <x v="13"/>
    <s v="UI/UX Design"/>
    <s v="10"/>
    <s v="50"/>
    <n v="1.2"/>
    <s v="TRUE"/>
    <n v="0.89"/>
  </r>
  <r>
    <s v="FL250101"/>
    <x v="100"/>
    <x v="1"/>
    <s v="35"/>
    <x v="10"/>
    <x v="8"/>
    <s v="Mobile Apps"/>
    <s v="0"/>
    <s v="50"/>
    <n v="2"/>
    <s v="TRUE"/>
    <n v="0.64"/>
  </r>
  <r>
    <s v="FL250102"/>
    <x v="101"/>
    <x v="0"/>
    <s v="51"/>
    <x v="13"/>
    <x v="11"/>
    <s v="Graphic Design"/>
    <s v="2"/>
    <s v="30"/>
    <n v="4.5"/>
    <s v="FALSE"/>
    <n v="0.64"/>
  </r>
  <r>
    <s v="FL250103"/>
    <x v="102"/>
    <x v="0"/>
    <s v="50"/>
    <x v="13"/>
    <x v="11"/>
    <s v="DevOps"/>
    <s v="30"/>
    <s v="100"/>
    <n v="3"/>
    <s v="TRUE"/>
    <n v="0.73"/>
  </r>
  <r>
    <s v="FL250104"/>
    <x v="103"/>
    <x v="0"/>
    <s v="21"/>
    <x v="6"/>
    <x v="5"/>
    <s v="Blockchain Development"/>
    <s v="2"/>
    <s v="50"/>
    <n v="4.9000000000000004"/>
    <s v="TRUE"/>
    <n v="0.68"/>
  </r>
  <r>
    <s v="FL250105"/>
    <x v="104"/>
    <x v="1"/>
    <s v="25"/>
    <x v="5"/>
    <x v="1"/>
    <s v="Graphic Design"/>
    <s v="3"/>
    <s v="30"/>
    <n v="2.6"/>
    <s v="FALSE"/>
    <n v="0.88"/>
  </r>
  <r>
    <s v="FL250106"/>
    <x v="105"/>
    <x v="0"/>
    <s v="57"/>
    <x v="15"/>
    <x v="12"/>
    <s v="DevOps"/>
    <s v="21"/>
    <s v="40"/>
    <n v="2.5"/>
    <s v="FALSE"/>
    <n v="0.77"/>
  </r>
  <r>
    <s v="FL250107"/>
    <x v="106"/>
    <x v="1"/>
    <s v="58"/>
    <x v="13"/>
    <x v="11"/>
    <s v="Blockchain Development"/>
    <s v="3"/>
    <s v="50"/>
    <n v="0"/>
    <s v="TRUE"/>
    <n v="0.75"/>
  </r>
  <r>
    <s v="FL250108"/>
    <x v="107"/>
    <x v="0"/>
    <s v="45"/>
    <x v="4"/>
    <x v="4"/>
    <s v="Mobile Apps"/>
    <s v="19"/>
    <s v="40"/>
    <n v="2.6"/>
    <s v="TRUE"/>
    <n v="0.72"/>
  </r>
  <r>
    <s v="FL250109"/>
    <x v="108"/>
    <x v="0"/>
    <s v="23"/>
    <x v="5"/>
    <x v="1"/>
    <s v="Web Development"/>
    <s v="0"/>
    <s v="20"/>
    <n v="4.7"/>
    <s v="TRUE"/>
    <n v="0.6"/>
  </r>
  <r>
    <s v="FL250110"/>
    <x v="109"/>
    <x v="0"/>
    <s v="46"/>
    <x v="5"/>
    <x v="1"/>
    <s v="AI"/>
    <s v="9"/>
    <s v="30"/>
    <n v="3.5"/>
    <s v="TRUE"/>
    <n v="0.72"/>
  </r>
  <r>
    <s v="FL250111"/>
    <x v="110"/>
    <x v="1"/>
    <s v="27"/>
    <x v="8"/>
    <x v="6"/>
    <s v="UI/UX Design"/>
    <s v="5"/>
    <s v="30"/>
    <n v="2.6"/>
    <s v="FALSE"/>
    <n v="0.92"/>
  </r>
  <r>
    <s v="FL250112"/>
    <x v="111"/>
    <x v="0"/>
    <s v="32"/>
    <x v="5"/>
    <x v="1"/>
    <s v="Machine Learning"/>
    <s v="6"/>
    <s v="50"/>
    <n v="3.4"/>
    <s v="TRUE"/>
    <n v="0.75"/>
  </r>
  <r>
    <s v="FL250113"/>
    <x v="112"/>
    <x v="0"/>
    <s v="48"/>
    <x v="8"/>
    <x v="6"/>
    <s v="Machine Learning"/>
    <s v="6"/>
    <s v="75"/>
    <n v="2.5"/>
    <s v="TRUE"/>
    <n v="0.92"/>
  </r>
  <r>
    <s v="FL250114"/>
    <x v="113"/>
    <x v="1"/>
    <s v="30"/>
    <x v="6"/>
    <x v="5"/>
    <s v="Mobile Apps"/>
    <s v="3"/>
    <s v="30"/>
    <n v="1.1000000000000001"/>
    <s v="TRUE"/>
    <n v="0.75"/>
  </r>
  <r>
    <s v="FL250115"/>
    <x v="114"/>
    <x v="1"/>
    <s v="59"/>
    <x v="6"/>
    <x v="5"/>
    <s v="AI"/>
    <s v="13"/>
    <s v="20"/>
    <n v="4.8"/>
    <s v="TRUE"/>
    <n v="0.75"/>
  </r>
  <r>
    <s v="FL250116"/>
    <x v="115"/>
    <x v="0"/>
    <s v="32"/>
    <x v="19"/>
    <x v="6"/>
    <s v="AI"/>
    <s v="5"/>
    <s v="30"/>
    <n v="2.6"/>
    <s v="FALSE"/>
    <n v="0.86"/>
  </r>
  <r>
    <s v="FL250117"/>
    <x v="116"/>
    <x v="0"/>
    <s v="57"/>
    <x v="16"/>
    <x v="13"/>
    <s v="UI/UX Design"/>
    <s v="4"/>
    <s v="40"/>
    <n v="3.4"/>
    <s v="TRUE"/>
    <n v="0.68"/>
  </r>
  <r>
    <s v="FL250118"/>
    <x v="117"/>
    <x v="1"/>
    <s v="27"/>
    <x v="1"/>
    <x v="1"/>
    <s v="Machine Learning"/>
    <s v="7"/>
    <s v="20"/>
    <n v="3.2"/>
    <s v="TRUE"/>
    <n v="0.62"/>
  </r>
  <r>
    <s v="FL250119"/>
    <x v="118"/>
    <x v="0"/>
    <s v="33"/>
    <x v="4"/>
    <x v="4"/>
    <s v="Machine Learning"/>
    <s v="13"/>
    <s v="20"/>
    <n v="3.2"/>
    <s v="TRUE"/>
    <n v="0.75"/>
  </r>
  <r>
    <s v="FL250120"/>
    <x v="119"/>
    <x v="1"/>
    <s v="29"/>
    <x v="12"/>
    <x v="10"/>
    <s v="Data Analysis"/>
    <s v="4"/>
    <s v="30"/>
    <n v="0"/>
    <s v="TRUE"/>
    <n v="0.82"/>
  </r>
  <r>
    <s v="FL250121"/>
    <x v="120"/>
    <x v="0"/>
    <s v="36"/>
    <x v="4"/>
    <x v="4"/>
    <s v="UI/UX Design"/>
    <s v="13"/>
    <s v="75"/>
    <n v="2.6"/>
    <s v="TRUE"/>
    <n v="0.75"/>
  </r>
  <r>
    <s v="FL250122"/>
    <x v="121"/>
    <x v="0"/>
    <s v="47"/>
    <x v="0"/>
    <x v="0"/>
    <s v="DevOps"/>
    <s v="5"/>
    <s v="40"/>
    <n v="3.7"/>
    <s v="TRUE"/>
    <n v="0.93"/>
  </r>
  <r>
    <s v="FL250123"/>
    <x v="122"/>
    <x v="1"/>
    <s v="48"/>
    <x v="14"/>
    <x v="1"/>
    <s v="Machine Learning"/>
    <s v="15"/>
    <s v="50"/>
    <n v="1"/>
    <s v="TRUE"/>
    <n v="0.64"/>
  </r>
  <r>
    <s v="FL250124"/>
    <x v="123"/>
    <x v="0"/>
    <s v="27"/>
    <x v="18"/>
    <x v="15"/>
    <s v="UI/UX Design"/>
    <s v="8"/>
    <s v="50"/>
    <n v="0"/>
    <s v="TRUE"/>
    <n v="0.75"/>
  </r>
  <r>
    <s v="FL250125"/>
    <x v="124"/>
    <x v="1"/>
    <s v="34"/>
    <x v="1"/>
    <x v="1"/>
    <s v="Web Development"/>
    <s v="10"/>
    <s v="50"/>
    <n v="1.7"/>
    <s v="FALSE"/>
    <n v="0.96"/>
  </r>
  <r>
    <s v="FL250126"/>
    <x v="125"/>
    <x v="1"/>
    <s v="49"/>
    <x v="12"/>
    <x v="10"/>
    <s v="Data Analysis"/>
    <s v="19"/>
    <s v="50"/>
    <n v="5"/>
    <s v="TRUE"/>
    <n v="0.83"/>
  </r>
  <r>
    <s v="FL250127"/>
    <x v="126"/>
    <x v="1"/>
    <s v="30"/>
    <x v="11"/>
    <x v="9"/>
    <s v="Mobile Apps"/>
    <s v="10"/>
    <s v="100"/>
    <n v="1.7"/>
    <s v="TRUE"/>
    <n v="0.64"/>
  </r>
  <r>
    <s v="FL250128"/>
    <x v="127"/>
    <x v="1"/>
    <s v="31"/>
    <x v="16"/>
    <x v="13"/>
    <s v="Graphic Design"/>
    <s v="8"/>
    <s v="40"/>
    <n v="4.4000000000000004"/>
    <s v="FALSE"/>
    <n v="0.7"/>
  </r>
  <r>
    <s v="FL250129"/>
    <x v="128"/>
    <x v="1"/>
    <s v="58"/>
    <x v="18"/>
    <x v="15"/>
    <s v="Machine Learning"/>
    <s v="9"/>
    <s v="20"/>
    <n v="0"/>
    <s v="FALSE"/>
    <n v="0.65"/>
  </r>
  <r>
    <s v="FL250130"/>
    <x v="129"/>
    <x v="1"/>
    <s v="47"/>
    <x v="15"/>
    <x v="12"/>
    <s v="Machine Learning"/>
    <s v="13"/>
    <s v="40"/>
    <n v="3.4"/>
    <s v="TRUE"/>
    <n v="0.67"/>
  </r>
  <r>
    <s v="FL250131"/>
    <x v="130"/>
    <x v="0"/>
    <s v="45"/>
    <x v="7"/>
    <x v="1"/>
    <s v="Cybersecurity"/>
    <s v="14"/>
    <s v="100"/>
    <n v="1.1000000000000001"/>
    <s v="FALSE"/>
    <n v="0.93"/>
  </r>
  <r>
    <s v="FL250132"/>
    <x v="131"/>
    <x v="0"/>
    <s v="57"/>
    <x v="15"/>
    <x v="12"/>
    <s v="Machine Learning"/>
    <s v="0"/>
    <s v="50"/>
    <n v="1.6"/>
    <s v="FALSE"/>
    <n v="0.6"/>
  </r>
  <r>
    <s v="FL250133"/>
    <x v="132"/>
    <x v="1"/>
    <s v="50"/>
    <x v="10"/>
    <x v="8"/>
    <s v="Web Development"/>
    <s v="22"/>
    <s v="100"/>
    <n v="4.0999999999999996"/>
    <s v="FALSE"/>
    <n v="0.62"/>
  </r>
  <r>
    <s v="FL250134"/>
    <x v="133"/>
    <x v="0"/>
    <s v="Unknown"/>
    <x v="11"/>
    <x v="9"/>
    <s v="Machine Learning"/>
    <s v="4"/>
    <s v="50"/>
    <n v="2.5"/>
    <s v="TRUE"/>
    <n v="0.7"/>
  </r>
  <r>
    <s v="FL250135"/>
    <x v="134"/>
    <x v="0"/>
    <s v="45"/>
    <x v="4"/>
    <x v="4"/>
    <s v="Blockchain Development"/>
    <s v="22"/>
    <s v="100"/>
    <n v="4"/>
    <s v="TRUE"/>
    <n v="0.75"/>
  </r>
  <r>
    <s v="FL250136"/>
    <x v="135"/>
    <x v="1"/>
    <s v="60"/>
    <x v="17"/>
    <x v="14"/>
    <s v="Cybersecurity"/>
    <s v="39"/>
    <s v="75"/>
    <n v="1.4"/>
    <s v="FALSE"/>
    <n v="0.7"/>
  </r>
  <r>
    <s v="FL250137"/>
    <x v="136"/>
    <x v="0"/>
    <s v="43"/>
    <x v="7"/>
    <x v="1"/>
    <s v="Cybersecurity"/>
    <s v="5"/>
    <s v="50"/>
    <n v="2.6"/>
    <s v="TRUE"/>
    <n v="0.84"/>
  </r>
  <r>
    <s v="FL250138"/>
    <x v="137"/>
    <x v="0"/>
    <s v="39"/>
    <x v="15"/>
    <x v="12"/>
    <s v="Cybersecurity"/>
    <s v="5"/>
    <s v="40"/>
    <n v="1.2"/>
    <s v="FALSE"/>
    <n v="0.83"/>
  </r>
  <r>
    <s v="FL250139"/>
    <x v="138"/>
    <x v="1"/>
    <s v="26"/>
    <x v="19"/>
    <x v="6"/>
    <s v="UI/UX Design"/>
    <s v="5"/>
    <s v="50"/>
    <n v="0"/>
    <s v="FALSE"/>
    <n v="0.75"/>
  </r>
  <r>
    <s v="FL250140"/>
    <x v="139"/>
    <x v="1"/>
    <s v="31"/>
    <x v="2"/>
    <x v="2"/>
    <s v="Cybersecurity"/>
    <s v="11"/>
    <s v="50"/>
    <n v="3.1"/>
    <s v="TRUE"/>
    <n v="0.88"/>
  </r>
  <r>
    <s v="FL250141"/>
    <x v="140"/>
    <x v="1"/>
    <s v="52"/>
    <x v="15"/>
    <x v="12"/>
    <s v="UI/UX Design"/>
    <s v="15"/>
    <s v="50"/>
    <n v="0"/>
    <s v="TRUE"/>
    <n v="0.81"/>
  </r>
  <r>
    <s v="FL250142"/>
    <x v="141"/>
    <x v="0"/>
    <s v="34"/>
    <x v="10"/>
    <x v="8"/>
    <s v="Data Analysis"/>
    <s v="5"/>
    <s v="20"/>
    <n v="2.2000000000000002"/>
    <s v="TRUE"/>
    <n v="0.8"/>
  </r>
  <r>
    <s v="FL250143"/>
    <x v="142"/>
    <x v="1"/>
    <s v="45"/>
    <x v="7"/>
    <x v="1"/>
    <s v="Web Development"/>
    <s v="7"/>
    <s v="75"/>
    <n v="3"/>
    <s v="TRUE"/>
    <n v="0.67"/>
  </r>
  <r>
    <s v="FL250144"/>
    <x v="143"/>
    <x v="1"/>
    <s v="46"/>
    <x v="7"/>
    <x v="1"/>
    <s v="Cybersecurity"/>
    <s v="9"/>
    <s v="20"/>
    <n v="0"/>
    <s v="FALSE"/>
    <n v="0.82"/>
  </r>
  <r>
    <s v="FL250145"/>
    <x v="144"/>
    <x v="1"/>
    <s v="56"/>
    <x v="15"/>
    <x v="12"/>
    <s v="UI/UX Design"/>
    <s v="21"/>
    <s v="100"/>
    <n v="0"/>
    <s v="TRUE"/>
    <n v="0.78"/>
  </r>
  <r>
    <s v="FL250146"/>
    <x v="145"/>
    <x v="0"/>
    <s v="59"/>
    <x v="2"/>
    <x v="2"/>
    <s v="AI"/>
    <s v="7"/>
    <s v="40"/>
    <n v="1.4"/>
    <s v="TRUE"/>
    <n v="0.81"/>
  </r>
  <r>
    <s v="FL250147"/>
    <x v="146"/>
    <x v="0"/>
    <s v="54"/>
    <x v="16"/>
    <x v="13"/>
    <s v="Blockchain Development"/>
    <s v="4"/>
    <s v="50"/>
    <n v="1.4"/>
    <s v="TRUE"/>
    <n v="0.74"/>
  </r>
  <r>
    <s v="FL250148"/>
    <x v="147"/>
    <x v="1"/>
    <s v="36"/>
    <x v="2"/>
    <x v="2"/>
    <s v="UI/UX Design"/>
    <s v="7"/>
    <s v="30"/>
    <n v="0"/>
    <s v="FALSE"/>
    <n v="0.88"/>
  </r>
  <r>
    <s v="FL250149"/>
    <x v="148"/>
    <x v="1"/>
    <s v="25"/>
    <x v="19"/>
    <x v="6"/>
    <s v="Data Analysis"/>
    <s v="0"/>
    <s v="40"/>
    <n v="0"/>
    <s v="FALSE"/>
    <n v="0.9"/>
  </r>
  <r>
    <s v="FL250150"/>
    <x v="149"/>
    <x v="0"/>
    <s v="37"/>
    <x v="13"/>
    <x v="11"/>
    <s v="Data Analysis"/>
    <s v="15"/>
    <s v="40"/>
    <n v="2.9"/>
    <s v="TRUE"/>
    <n v="0.75"/>
  </r>
  <r>
    <s v="FL250151"/>
    <x v="150"/>
    <x v="1"/>
    <s v="Unknown"/>
    <x v="6"/>
    <x v="5"/>
    <s v="Data Analysis"/>
    <s v="10"/>
    <s v="40"/>
    <n v="0"/>
    <s v="TRUE"/>
    <n v="0.75"/>
  </r>
  <r>
    <s v="FL250152"/>
    <x v="151"/>
    <x v="1"/>
    <s v="29"/>
    <x v="20"/>
    <x v="6"/>
    <s v="Data Analysis"/>
    <s v="11"/>
    <s v="20"/>
    <n v="2.7"/>
    <s v="FALSE"/>
    <n v="0.93"/>
  </r>
  <r>
    <s v="FL250153"/>
    <x v="152"/>
    <x v="0"/>
    <s v="55"/>
    <x v="8"/>
    <x v="6"/>
    <s v="Mobile Apps"/>
    <s v="12"/>
    <s v="100"/>
    <n v="1.8"/>
    <s v="TRUE"/>
    <n v="0.75"/>
  </r>
  <r>
    <s v="FL250154"/>
    <x v="153"/>
    <x v="0"/>
    <s v="38"/>
    <x v="9"/>
    <x v="7"/>
    <s v="DevOps"/>
    <s v="20"/>
    <s v="75"/>
    <n v="1.1000000000000001"/>
    <s v="FALSE"/>
    <n v="0.71"/>
  </r>
  <r>
    <s v="FL250155"/>
    <x v="154"/>
    <x v="1"/>
    <s v="47"/>
    <x v="12"/>
    <x v="10"/>
    <s v="DevOps"/>
    <s v="29"/>
    <s v="40"/>
    <n v="4.3"/>
    <s v="TRUE"/>
    <n v="0.95"/>
  </r>
  <r>
    <s v="FL250156"/>
    <x v="155"/>
    <x v="1"/>
    <s v="60"/>
    <x v="11"/>
    <x v="9"/>
    <s v="Web Development"/>
    <s v="15"/>
    <s v="100"/>
    <n v="1.5"/>
    <s v="FALSE"/>
    <n v="0.8"/>
  </r>
  <r>
    <s v="FL250157"/>
    <x v="156"/>
    <x v="0"/>
    <s v="43"/>
    <x v="0"/>
    <x v="0"/>
    <s v="Data Analysis"/>
    <s v="9"/>
    <s v="20"/>
    <n v="2.2000000000000002"/>
    <s v="FALSE"/>
    <n v="0.75"/>
  </r>
  <r>
    <s v="FL250158"/>
    <x v="157"/>
    <x v="1"/>
    <s v="56"/>
    <x v="17"/>
    <x v="14"/>
    <s v="Data Analysis"/>
    <s v="Unknown"/>
    <s v="100"/>
    <n v="3.2"/>
    <s v="FALSE"/>
    <n v="0.62"/>
  </r>
  <r>
    <s v="FL250159"/>
    <x v="158"/>
    <x v="1"/>
    <s v="42"/>
    <x v="13"/>
    <x v="11"/>
    <s v="DevOps"/>
    <s v="2"/>
    <s v="50"/>
    <n v="1.9"/>
    <s v="TRUE"/>
    <n v="0.95"/>
  </r>
  <r>
    <s v="FL250160"/>
    <x v="159"/>
    <x v="0"/>
    <s v="20"/>
    <x v="20"/>
    <x v="6"/>
    <s v="Graphic Design"/>
    <s v="0"/>
    <s v="40"/>
    <n v="2.5"/>
    <s v="FALSE"/>
    <n v="0.79"/>
  </r>
  <r>
    <s v="FL250161"/>
    <x v="160"/>
    <x v="0"/>
    <s v="47"/>
    <x v="4"/>
    <x v="4"/>
    <s v="UI/UX Design"/>
    <s v="12"/>
    <s v="40"/>
    <n v="4.5"/>
    <s v="FALSE"/>
    <n v="0.62"/>
  </r>
  <r>
    <s v="FL250162"/>
    <x v="161"/>
    <x v="1"/>
    <s v="Unknown"/>
    <x v="8"/>
    <x v="6"/>
    <s v="Data Analysis"/>
    <s v="12"/>
    <s v="30"/>
    <n v="4.0999999999999996"/>
    <s v="FALSE"/>
    <n v="0.68"/>
  </r>
  <r>
    <s v="FL250163"/>
    <x v="162"/>
    <x v="1"/>
    <s v="56"/>
    <x v="4"/>
    <x v="4"/>
    <s v="DevOps"/>
    <s v="15"/>
    <s v="75"/>
    <n v="0"/>
    <s v="FALSE"/>
    <n v="0.75"/>
  </r>
  <r>
    <s v="FL250164"/>
    <x v="163"/>
    <x v="1"/>
    <s v="59"/>
    <x v="7"/>
    <x v="1"/>
    <s v="DevOps"/>
    <s v="29"/>
    <s v="75"/>
    <n v="2.6"/>
    <s v="FALSE"/>
    <n v="0.8"/>
  </r>
  <r>
    <s v="FL250165"/>
    <x v="164"/>
    <x v="1"/>
    <s v="56"/>
    <x v="9"/>
    <x v="7"/>
    <s v="Cybersecurity"/>
    <s v="15"/>
    <s v="40"/>
    <n v="3.7"/>
    <s v="TRUE"/>
    <n v="0.92"/>
  </r>
  <r>
    <s v="FL250166"/>
    <x v="165"/>
    <x v="0"/>
    <s v="31"/>
    <x v="17"/>
    <x v="14"/>
    <s v="Web Development"/>
    <s v="Unknown"/>
    <s v="75"/>
    <n v="1.3"/>
    <s v="TRUE"/>
    <n v="0.65"/>
  </r>
  <r>
    <s v="FL250167"/>
    <x v="166"/>
    <x v="1"/>
    <s v="60"/>
    <x v="12"/>
    <x v="10"/>
    <s v="Mobile Apps"/>
    <s v="33"/>
    <s v="40"/>
    <n v="3.6"/>
    <s v="TRUE"/>
    <n v="0.87"/>
  </r>
  <r>
    <s v="FL250168"/>
    <x v="167"/>
    <x v="0"/>
    <s v="31"/>
    <x v="14"/>
    <x v="1"/>
    <s v="Web Development"/>
    <s v="10"/>
    <s v="75"/>
    <n v="0"/>
    <s v="FALSE"/>
    <n v="0.7"/>
  </r>
  <r>
    <s v="FL250169"/>
    <x v="168"/>
    <x v="1"/>
    <s v="60"/>
    <x v="8"/>
    <x v="6"/>
    <s v="Cybersecurity"/>
    <s v="20"/>
    <s v="40"/>
    <n v="1.4"/>
    <s v="FALSE"/>
    <n v="0.87"/>
  </r>
  <r>
    <s v="FL250170"/>
    <x v="169"/>
    <x v="1"/>
    <s v="46"/>
    <x v="15"/>
    <x v="12"/>
    <s v="DevOps"/>
    <s v="23"/>
    <s v="20"/>
    <n v="2.9"/>
    <s v="FALSE"/>
    <n v="0.72"/>
  </r>
  <r>
    <s v="FL250171"/>
    <x v="170"/>
    <x v="0"/>
    <s v="Unknown"/>
    <x v="3"/>
    <x v="3"/>
    <s v="Blockchain Development"/>
    <s v="Unknown"/>
    <s v="40"/>
    <n v="2.8"/>
    <s v="FALSE"/>
    <n v="0.8"/>
  </r>
  <r>
    <s v="FL250172"/>
    <x v="171"/>
    <x v="1"/>
    <s v="34"/>
    <x v="9"/>
    <x v="7"/>
    <s v="UI/UX Design"/>
    <s v="0"/>
    <s v="20"/>
    <n v="1.7"/>
    <s v="FALSE"/>
    <n v="0.66"/>
  </r>
  <r>
    <s v="FL250173"/>
    <x v="172"/>
    <x v="0"/>
    <s v="42"/>
    <x v="3"/>
    <x v="3"/>
    <s v="Graphic Design"/>
    <s v="7"/>
    <s v="40"/>
    <n v="0"/>
    <s v="TRUE"/>
    <n v="0.75"/>
  </r>
  <r>
    <s v="FL250174"/>
    <x v="173"/>
    <x v="1"/>
    <s v="31"/>
    <x v="7"/>
    <x v="1"/>
    <s v="Data Analysis"/>
    <s v="4"/>
    <s v="75"/>
    <n v="1.1000000000000001"/>
    <s v="TRUE"/>
    <n v="0.64"/>
  </r>
  <r>
    <s v="FL250175"/>
    <x v="174"/>
    <x v="1"/>
    <s v="29"/>
    <x v="11"/>
    <x v="9"/>
    <s v="UI/UX Design"/>
    <s v="9"/>
    <s v="20"/>
    <n v="2.6"/>
    <s v="TRUE"/>
    <n v="0.68"/>
  </r>
  <r>
    <s v="FL250176"/>
    <x v="175"/>
    <x v="0"/>
    <s v="57"/>
    <x v="1"/>
    <x v="1"/>
    <s v="Graphic Design"/>
    <s v="17"/>
    <s v="20"/>
    <n v="3.6"/>
    <s v="FALSE"/>
    <n v="0.63"/>
  </r>
  <r>
    <s v="FL250177"/>
    <x v="176"/>
    <x v="1"/>
    <s v="47"/>
    <x v="10"/>
    <x v="8"/>
    <s v="DevOps"/>
    <s v="8"/>
    <s v="20"/>
    <n v="4.5"/>
    <s v="TRUE"/>
    <n v="0.72"/>
  </r>
  <r>
    <s v="FL250178"/>
    <x v="177"/>
    <x v="1"/>
    <s v="47"/>
    <x v="17"/>
    <x v="14"/>
    <s v="AI"/>
    <s v="14"/>
    <s v="30"/>
    <n v="0"/>
    <s v="TRUE"/>
    <n v="0.86"/>
  </r>
  <r>
    <s v="FL250179"/>
    <x v="178"/>
    <x v="0"/>
    <s v="45"/>
    <x v="15"/>
    <x v="12"/>
    <s v="Graphic Design"/>
    <s v="21"/>
    <s v="30"/>
    <n v="1.5"/>
    <s v="TRUE"/>
    <n v="0.73"/>
  </r>
  <r>
    <s v="FL250180"/>
    <x v="179"/>
    <x v="1"/>
    <s v="24"/>
    <x v="6"/>
    <x v="5"/>
    <s v="Machine Learning"/>
    <s v="1"/>
    <s v="30"/>
    <n v="3.7"/>
    <s v="FALSE"/>
    <n v="0.95"/>
  </r>
  <r>
    <s v="FL250181"/>
    <x v="180"/>
    <x v="0"/>
    <s v="31"/>
    <x v="8"/>
    <x v="6"/>
    <s v="Mobile Apps"/>
    <s v="12"/>
    <s v="20"/>
    <n v="2.2999999999999998"/>
    <s v="TRUE"/>
    <n v="0.9"/>
  </r>
  <r>
    <s v="FL250182"/>
    <x v="181"/>
    <x v="0"/>
    <s v="20"/>
    <x v="19"/>
    <x v="6"/>
    <s v="Graphic Design"/>
    <s v="2"/>
    <s v="20"/>
    <n v="2.8"/>
    <s v="FALSE"/>
    <n v="0.78"/>
  </r>
  <r>
    <s v="FL250183"/>
    <x v="182"/>
    <x v="1"/>
    <s v="38"/>
    <x v="9"/>
    <x v="7"/>
    <s v="Web Development"/>
    <s v="3"/>
    <s v="30"/>
    <n v="3.5"/>
    <s v="FALSE"/>
    <n v="0.97"/>
  </r>
  <r>
    <s v="FL250184"/>
    <x v="183"/>
    <x v="0"/>
    <s v="33"/>
    <x v="2"/>
    <x v="2"/>
    <s v="UI/UX Design"/>
    <s v="11"/>
    <s v="50"/>
    <n v="0"/>
    <s v="TRUE"/>
    <n v="0.65"/>
  </r>
  <r>
    <s v="FL250185"/>
    <x v="184"/>
    <x v="0"/>
    <s v="31"/>
    <x v="1"/>
    <x v="1"/>
    <s v="Web Development"/>
    <s v="4"/>
    <s v="40"/>
    <n v="3.2"/>
    <s v="TRUE"/>
    <n v="0.78"/>
  </r>
  <r>
    <s v="FL250186"/>
    <x v="185"/>
    <x v="1"/>
    <s v="41"/>
    <x v="20"/>
    <x v="6"/>
    <s v="Machine Learning"/>
    <s v="21"/>
    <s v="50"/>
    <n v="3.3"/>
    <s v="TRUE"/>
    <n v="0.65"/>
  </r>
  <r>
    <s v="FL250187"/>
    <x v="186"/>
    <x v="1"/>
    <s v="54"/>
    <x v="6"/>
    <x v="5"/>
    <s v="Web Development"/>
    <s v="0"/>
    <s v="20"/>
    <n v="4.9000000000000004"/>
    <s v="TRUE"/>
    <n v="0.75"/>
  </r>
  <r>
    <s v="FL250188"/>
    <x v="187"/>
    <x v="1"/>
    <s v="50"/>
    <x v="19"/>
    <x v="6"/>
    <s v="Data Analysis"/>
    <s v="6"/>
    <s v="30"/>
    <n v="2.2000000000000002"/>
    <s v="TRUE"/>
    <n v="0.95"/>
  </r>
  <r>
    <s v="FL250189"/>
    <x v="188"/>
    <x v="1"/>
    <s v="48"/>
    <x v="11"/>
    <x v="9"/>
    <s v="Machine Learning"/>
    <s v="18"/>
    <s v="40"/>
    <n v="2.6"/>
    <s v="TRUE"/>
    <n v="0.88"/>
  </r>
  <r>
    <s v="FL250190"/>
    <x v="189"/>
    <x v="0"/>
    <s v="49"/>
    <x v="19"/>
    <x v="6"/>
    <s v="Graphic Design"/>
    <s v="Unknown"/>
    <s v="50"/>
    <n v="1.8"/>
    <s v="FALSE"/>
    <n v="0.75"/>
  </r>
  <r>
    <s v="FL250191"/>
    <x v="190"/>
    <x v="1"/>
    <s v="21"/>
    <x v="12"/>
    <x v="10"/>
    <s v="Graphic Design"/>
    <s v="1"/>
    <s v="75"/>
    <n v="4.5999999999999996"/>
    <s v="FALSE"/>
    <n v="0.92"/>
  </r>
  <r>
    <s v="FL250192"/>
    <x v="191"/>
    <x v="1"/>
    <s v="58"/>
    <x v="1"/>
    <x v="1"/>
    <s v="Graphic Design"/>
    <s v="20"/>
    <s v="75"/>
    <n v="2.8"/>
    <s v="FALSE"/>
    <n v="0.75"/>
  </r>
  <r>
    <s v="FL250193"/>
    <x v="89"/>
    <x v="1"/>
    <s v="41"/>
    <x v="0"/>
    <x v="0"/>
    <s v="DevOps"/>
    <s v="Unknown"/>
    <s v="30"/>
    <n v="1.4"/>
    <s v="TRUE"/>
    <n v="0.74"/>
  </r>
  <r>
    <s v="FL250194"/>
    <x v="192"/>
    <x v="0"/>
    <s v="58"/>
    <x v="13"/>
    <x v="11"/>
    <s v="Blockchain Development"/>
    <s v="25"/>
    <s v="30"/>
    <n v="4.2"/>
    <s v="TRUE"/>
    <n v="0.71"/>
  </r>
  <r>
    <s v="FL250195"/>
    <x v="193"/>
    <x v="0"/>
    <s v="50"/>
    <x v="17"/>
    <x v="14"/>
    <s v="Graphic Design"/>
    <s v="20"/>
    <s v="40"/>
    <n v="3.6"/>
    <s v="TRUE"/>
    <n v="0.89"/>
  </r>
  <r>
    <s v="FL250196"/>
    <x v="194"/>
    <x v="1"/>
    <s v="52"/>
    <x v="4"/>
    <x v="4"/>
    <s v="Web Development"/>
    <s v="33"/>
    <s v="100"/>
    <n v="1.6"/>
    <s v="TRUE"/>
    <n v="0.66"/>
  </r>
  <r>
    <s v="FL250197"/>
    <x v="195"/>
    <x v="1"/>
    <s v="34"/>
    <x v="3"/>
    <x v="3"/>
    <s v="Data Analysis"/>
    <s v="6"/>
    <s v="100"/>
    <n v="2"/>
    <s v="FALSE"/>
    <n v="0.75"/>
  </r>
  <r>
    <s v="FL250198"/>
    <x v="196"/>
    <x v="1"/>
    <s v="32"/>
    <x v="15"/>
    <x v="12"/>
    <s v="Machine Learning"/>
    <s v="11"/>
    <s v="40"/>
    <n v="4.3"/>
    <s v="TRUE"/>
    <n v="0.86"/>
  </r>
  <r>
    <s v="FL250199"/>
    <x v="197"/>
    <x v="0"/>
    <s v="50"/>
    <x v="10"/>
    <x v="8"/>
    <s v="Graphic Design"/>
    <s v="28"/>
    <s v="100"/>
    <n v="4.9000000000000004"/>
    <s v="TRUE"/>
    <n v="0.86"/>
  </r>
  <r>
    <s v="FL250200"/>
    <x v="198"/>
    <x v="0"/>
    <s v="39"/>
    <x v="8"/>
    <x v="6"/>
    <s v="Data Analysis"/>
    <s v="11"/>
    <s v="100"/>
    <n v="3.5"/>
    <s v="TRUE"/>
    <n v="0.82"/>
  </r>
  <r>
    <s v="FL250201"/>
    <x v="199"/>
    <x v="0"/>
    <s v="25"/>
    <x v="20"/>
    <x v="6"/>
    <s v="AI"/>
    <s v="2"/>
    <s v="100"/>
    <n v="2.5"/>
    <s v="FALSE"/>
    <n v="0.87"/>
  </r>
  <r>
    <s v="FL250202"/>
    <x v="200"/>
    <x v="0"/>
    <s v="55"/>
    <x v="18"/>
    <x v="15"/>
    <s v="Machine Learning"/>
    <s v="7"/>
    <s v="100"/>
    <n v="1.7"/>
    <s v="TRUE"/>
    <n v="0.8"/>
  </r>
  <r>
    <s v="FL250203"/>
    <x v="201"/>
    <x v="1"/>
    <s v="42"/>
    <x v="0"/>
    <x v="0"/>
    <s v="DevOps"/>
    <s v="10"/>
    <s v="100"/>
    <n v="4.5999999999999996"/>
    <s v="TRUE"/>
    <n v="0.71"/>
  </r>
  <r>
    <s v="FL250204"/>
    <x v="202"/>
    <x v="1"/>
    <s v="43"/>
    <x v="13"/>
    <x v="11"/>
    <s v="Mobile Apps"/>
    <s v="6"/>
    <s v="50"/>
    <n v="2.6"/>
    <s v="FALSE"/>
    <n v="0.77"/>
  </r>
  <r>
    <s v="FL250205"/>
    <x v="203"/>
    <x v="1"/>
    <s v="54"/>
    <x v="0"/>
    <x v="0"/>
    <s v="DevOps"/>
    <s v="29"/>
    <s v="30"/>
    <n v="1.7"/>
    <s v="FALSE"/>
    <n v="0.68"/>
  </r>
  <r>
    <s v="FL250206"/>
    <x v="204"/>
    <x v="0"/>
    <s v="21"/>
    <x v="16"/>
    <x v="13"/>
    <s v="Graphic Design"/>
    <s v="0"/>
    <s v="20"/>
    <n v="1.8"/>
    <s v="FALSE"/>
    <n v="0.91"/>
  </r>
  <r>
    <s v="FL250207"/>
    <x v="205"/>
    <x v="1"/>
    <s v="46"/>
    <x v="14"/>
    <x v="1"/>
    <s v="UI/UX Design"/>
    <s v="5"/>
    <s v="20"/>
    <n v="2.2000000000000002"/>
    <s v="TRUE"/>
    <n v="0.75"/>
  </r>
  <r>
    <s v="FL250208"/>
    <x v="206"/>
    <x v="0"/>
    <s v="30"/>
    <x v="20"/>
    <x v="6"/>
    <s v="Blockchain Development"/>
    <s v="11"/>
    <s v="40"/>
    <n v="1"/>
    <s v="FALSE"/>
    <n v="0.9"/>
  </r>
  <r>
    <s v="FL250209"/>
    <x v="207"/>
    <x v="1"/>
    <s v="36"/>
    <x v="18"/>
    <x v="15"/>
    <s v="Machine Learning"/>
    <s v="11"/>
    <s v="75"/>
    <n v="3.2"/>
    <s v="FALSE"/>
    <n v="0.93"/>
  </r>
  <r>
    <s v="FL250210"/>
    <x v="208"/>
    <x v="0"/>
    <s v="47"/>
    <x v="2"/>
    <x v="2"/>
    <s v="Data Analysis"/>
    <s v="15"/>
    <s v="40"/>
    <n v="2.1"/>
    <s v="TRUE"/>
    <n v="0.94"/>
  </r>
  <r>
    <s v="FL250211"/>
    <x v="209"/>
    <x v="0"/>
    <s v="43"/>
    <x v="14"/>
    <x v="1"/>
    <s v="Mobile Apps"/>
    <s v="1"/>
    <s v="50"/>
    <n v="4.5999999999999996"/>
    <s v="TRUE"/>
    <n v="0.64"/>
  </r>
  <r>
    <s v="FL250212"/>
    <x v="210"/>
    <x v="1"/>
    <s v="57"/>
    <x v="12"/>
    <x v="10"/>
    <s v="Cybersecurity"/>
    <s v="8"/>
    <s v="20"/>
    <n v="0"/>
    <s v="TRUE"/>
    <n v="0.84"/>
  </r>
  <r>
    <s v="FL250213"/>
    <x v="211"/>
    <x v="1"/>
    <s v="52"/>
    <x v="0"/>
    <x v="0"/>
    <s v="Machine Learning"/>
    <s v="30"/>
    <s v="20"/>
    <n v="2.8"/>
    <s v="FALSE"/>
    <n v="0.87"/>
  </r>
  <r>
    <s v="FL250214"/>
    <x v="212"/>
    <x v="1"/>
    <s v="Unknown"/>
    <x v="2"/>
    <x v="2"/>
    <s v="Blockchain Development"/>
    <s v="8"/>
    <s v="40"/>
    <n v="0"/>
    <s v="FALSE"/>
    <n v="0.64"/>
  </r>
  <r>
    <s v="FL250215"/>
    <x v="213"/>
    <x v="0"/>
    <s v="22"/>
    <x v="4"/>
    <x v="4"/>
    <s v="Machine Learning"/>
    <s v="0"/>
    <s v="100"/>
    <n v="2.7"/>
    <s v="TRUE"/>
    <n v="0.64"/>
  </r>
  <r>
    <s v="FL250216"/>
    <x v="214"/>
    <x v="1"/>
    <s v="Unknown"/>
    <x v="10"/>
    <x v="8"/>
    <s v="Machine Learning"/>
    <s v="12"/>
    <s v="20"/>
    <n v="0"/>
    <s v="TRUE"/>
    <n v="0.8"/>
  </r>
  <r>
    <s v="FL250217"/>
    <x v="215"/>
    <x v="0"/>
    <s v="58"/>
    <x v="20"/>
    <x v="6"/>
    <s v="Mobile Apps"/>
    <s v="4"/>
    <s v="50"/>
    <n v="3.1"/>
    <s v="FALSE"/>
    <n v="0.9"/>
  </r>
  <r>
    <s v="FL250218"/>
    <x v="216"/>
    <x v="1"/>
    <s v="39"/>
    <x v="12"/>
    <x v="10"/>
    <s v="Web Development"/>
    <s v="14"/>
    <s v="100"/>
    <n v="0"/>
    <s v="TRUE"/>
    <n v="0.92"/>
  </r>
  <r>
    <s v="FL250219"/>
    <x v="217"/>
    <x v="1"/>
    <s v="32"/>
    <x v="4"/>
    <x v="4"/>
    <s v="Graphic Design"/>
    <s v="14"/>
    <s v="50"/>
    <n v="2.6"/>
    <s v="FALSE"/>
    <n v="0.96"/>
  </r>
  <r>
    <s v="FL250220"/>
    <x v="218"/>
    <x v="1"/>
    <s v="37"/>
    <x v="14"/>
    <x v="1"/>
    <s v="UI/UX Design"/>
    <s v="2"/>
    <s v="30"/>
    <n v="2.2999999999999998"/>
    <s v="TRUE"/>
    <n v="0.75"/>
  </r>
  <r>
    <s v="FL250221"/>
    <x v="219"/>
    <x v="0"/>
    <s v="21"/>
    <x v="18"/>
    <x v="15"/>
    <s v="Cybersecurity"/>
    <s v="2"/>
    <s v="100"/>
    <n v="2.4"/>
    <s v="TRUE"/>
    <n v="0.75"/>
  </r>
  <r>
    <s v="FL250222"/>
    <x v="220"/>
    <x v="1"/>
    <s v="41"/>
    <x v="12"/>
    <x v="10"/>
    <s v="Machine Learning"/>
    <s v="4"/>
    <s v="75"/>
    <n v="2.6"/>
    <s v="TRUE"/>
    <n v="0.85"/>
  </r>
  <r>
    <s v="FL250223"/>
    <x v="221"/>
    <x v="0"/>
    <s v="21"/>
    <x v="14"/>
    <x v="1"/>
    <s v="AI"/>
    <s v="0"/>
    <s v="40"/>
    <n v="1.1000000000000001"/>
    <s v="FALSE"/>
    <n v="0.79"/>
  </r>
  <r>
    <s v="FL250224"/>
    <x v="222"/>
    <x v="0"/>
    <s v="58"/>
    <x v="18"/>
    <x v="15"/>
    <s v="Machine Learning"/>
    <s v="9"/>
    <s v="30"/>
    <n v="0"/>
    <s v="TRUE"/>
    <n v="0.65"/>
  </r>
  <r>
    <s v="FL250225"/>
    <x v="223"/>
    <x v="1"/>
    <s v="60"/>
    <x v="14"/>
    <x v="1"/>
    <s v="Machine Learning"/>
    <s v="3"/>
    <s v="40"/>
    <n v="4.7"/>
    <s v="TRUE"/>
    <n v="0.63"/>
  </r>
  <r>
    <s v="FL250226"/>
    <x v="224"/>
    <x v="1"/>
    <s v="27"/>
    <x v="17"/>
    <x v="14"/>
    <s v="Web Development"/>
    <s v="2"/>
    <s v="40"/>
    <n v="1.2"/>
    <s v="TRUE"/>
    <n v="0.75"/>
  </r>
  <r>
    <s v="FL250227"/>
    <x v="225"/>
    <x v="0"/>
    <s v="29"/>
    <x v="2"/>
    <x v="2"/>
    <s v="Machine Learning"/>
    <s v="10"/>
    <s v="40"/>
    <n v="1.2"/>
    <s v="TRUE"/>
    <n v="0.78"/>
  </r>
  <r>
    <s v="FL250228"/>
    <x v="226"/>
    <x v="0"/>
    <s v="54"/>
    <x v="14"/>
    <x v="1"/>
    <s v="Graphic Design"/>
    <s v="33"/>
    <s v="75"/>
    <n v="0"/>
    <s v="TRUE"/>
    <n v="0.62"/>
  </r>
  <r>
    <s v="FL250229"/>
    <x v="227"/>
    <x v="1"/>
    <s v="52"/>
    <x v="19"/>
    <x v="6"/>
    <s v="Machine Learning"/>
    <s v="12"/>
    <s v="40"/>
    <n v="1.2"/>
    <s v="FALSE"/>
    <n v="0.76"/>
  </r>
  <r>
    <s v="FL250230"/>
    <x v="228"/>
    <x v="0"/>
    <s v="55"/>
    <x v="4"/>
    <x v="4"/>
    <s v="Blockchain Development"/>
    <s v="18"/>
    <s v="100"/>
    <n v="2.9"/>
    <s v="FALSE"/>
    <n v="0.97"/>
  </r>
  <r>
    <s v="FL250231"/>
    <x v="229"/>
    <x v="1"/>
    <s v="37"/>
    <x v="11"/>
    <x v="9"/>
    <s v="Blockchain Development"/>
    <s v="4"/>
    <s v="50"/>
    <n v="2.6"/>
    <s v="FALSE"/>
    <n v="0.75"/>
  </r>
  <r>
    <s v="FL250232"/>
    <x v="230"/>
    <x v="0"/>
    <s v="34"/>
    <x v="16"/>
    <x v="13"/>
    <s v="Data Analysis"/>
    <s v="11"/>
    <s v="50"/>
    <n v="3.9"/>
    <s v="TRUE"/>
    <n v="0.82"/>
  </r>
  <r>
    <s v="FL250233"/>
    <x v="231"/>
    <x v="1"/>
    <s v="20"/>
    <x v="15"/>
    <x v="12"/>
    <s v="Data Analysis"/>
    <s v="1"/>
    <s v="50"/>
    <n v="3.1"/>
    <s v="TRUE"/>
    <n v="0.71"/>
  </r>
  <r>
    <s v="FL250234"/>
    <x v="232"/>
    <x v="1"/>
    <s v="22"/>
    <x v="19"/>
    <x v="6"/>
    <s v="UI/UX Design"/>
    <s v="2"/>
    <s v="50"/>
    <n v="0"/>
    <s v="TRUE"/>
    <n v="0.75"/>
  </r>
  <r>
    <s v="FL250235"/>
    <x v="233"/>
    <x v="0"/>
    <s v="23"/>
    <x v="12"/>
    <x v="10"/>
    <s v="Graphic Design"/>
    <s v="2"/>
    <s v="50"/>
    <n v="3.2"/>
    <s v="TRUE"/>
    <n v="0.75"/>
  </r>
  <r>
    <s v="FL250236"/>
    <x v="234"/>
    <x v="0"/>
    <s v="53"/>
    <x v="12"/>
    <x v="10"/>
    <s v="Blockchain Development"/>
    <s v="34"/>
    <s v="30"/>
    <n v="2.6"/>
    <s v="TRUE"/>
    <n v="0.75"/>
  </r>
  <r>
    <s v="FL250237"/>
    <x v="235"/>
    <x v="0"/>
    <s v="56"/>
    <x v="12"/>
    <x v="10"/>
    <s v="Graphic Design"/>
    <s v="27"/>
    <s v="100"/>
    <n v="4.7"/>
    <s v="TRUE"/>
    <n v="0.69"/>
  </r>
  <r>
    <s v="FL250238"/>
    <x v="236"/>
    <x v="1"/>
    <s v="27"/>
    <x v="14"/>
    <x v="1"/>
    <s v="AI"/>
    <s v="4"/>
    <s v="75"/>
    <n v="5"/>
    <s v="FALSE"/>
    <n v="0.88"/>
  </r>
  <r>
    <s v="FL250239"/>
    <x v="237"/>
    <x v="1"/>
    <s v="34"/>
    <x v="0"/>
    <x v="0"/>
    <s v="Mobile Apps"/>
    <s v="11"/>
    <s v="40"/>
    <n v="2.6"/>
    <s v="TRUE"/>
    <n v="0.67"/>
  </r>
  <r>
    <s v="FL250240"/>
    <x v="238"/>
    <x v="1"/>
    <s v="29"/>
    <x v="5"/>
    <x v="1"/>
    <s v="Web Development"/>
    <s v="4"/>
    <s v="50"/>
    <n v="4"/>
    <s v="FALSE"/>
    <n v="0.75"/>
  </r>
  <r>
    <s v="FL250241"/>
    <x v="239"/>
    <x v="1"/>
    <s v="34"/>
    <x v="10"/>
    <x v="8"/>
    <s v="AI"/>
    <s v="11"/>
    <s v="50"/>
    <n v="1.2"/>
    <s v="TRUE"/>
    <n v="0.75"/>
  </r>
  <r>
    <s v="FL250242"/>
    <x v="240"/>
    <x v="0"/>
    <s v="32"/>
    <x v="19"/>
    <x v="6"/>
    <s v="AI"/>
    <s v="1"/>
    <s v="100"/>
    <n v="4.7"/>
    <s v="FALSE"/>
    <n v="0.67"/>
  </r>
  <r>
    <s v="FL250243"/>
    <x v="241"/>
    <x v="0"/>
    <s v="21"/>
    <x v="17"/>
    <x v="14"/>
    <s v="Machine Learning"/>
    <s v="2"/>
    <s v="20"/>
    <n v="2.4"/>
    <s v="TRUE"/>
    <n v="0.86"/>
  </r>
  <r>
    <s v="FL250244"/>
    <x v="242"/>
    <x v="1"/>
    <s v="20"/>
    <x v="19"/>
    <x v="6"/>
    <s v="Graphic Design"/>
    <s v="2"/>
    <s v="50"/>
    <n v="1.1000000000000001"/>
    <s v="TRUE"/>
    <n v="0.69"/>
  </r>
  <r>
    <s v="FL250245"/>
    <x v="243"/>
    <x v="0"/>
    <s v="35"/>
    <x v="5"/>
    <x v="1"/>
    <s v="Mobile Apps"/>
    <s v="10"/>
    <s v="50"/>
    <n v="1.4"/>
    <s v="TRUE"/>
    <n v="0.85"/>
  </r>
  <r>
    <s v="FL250246"/>
    <x v="244"/>
    <x v="0"/>
    <s v="47"/>
    <x v="5"/>
    <x v="1"/>
    <s v="UI/UX Design"/>
    <s v="18"/>
    <s v="40"/>
    <n v="3.4"/>
    <s v="FALSE"/>
    <n v="0.6"/>
  </r>
  <r>
    <s v="FL250247"/>
    <x v="245"/>
    <x v="0"/>
    <s v="41"/>
    <x v="6"/>
    <x v="5"/>
    <s v="Blockchain Development"/>
    <s v="4"/>
    <s v="40"/>
    <n v="2.7"/>
    <s v="TRUE"/>
    <n v="0.7"/>
  </r>
  <r>
    <s v="FL250248"/>
    <x v="246"/>
    <x v="1"/>
    <s v="58"/>
    <x v="8"/>
    <x v="6"/>
    <s v="Web Development"/>
    <s v="23"/>
    <s v="50"/>
    <n v="4.9000000000000004"/>
    <s v="TRUE"/>
    <n v="0.75"/>
  </r>
  <r>
    <s v="FL250249"/>
    <x v="247"/>
    <x v="1"/>
    <s v="34"/>
    <x v="18"/>
    <x v="15"/>
    <s v="Data Analysis"/>
    <s v="6"/>
    <s v="75"/>
    <n v="1.9"/>
    <s v="TRUE"/>
    <n v="0.81"/>
  </r>
  <r>
    <s v="FL250250"/>
    <x v="248"/>
    <x v="0"/>
    <s v="50"/>
    <x v="10"/>
    <x v="8"/>
    <s v="Mobile Apps"/>
    <s v="5"/>
    <s v="100"/>
    <n v="2.6"/>
    <s v="TRUE"/>
    <n v="0.75"/>
  </r>
  <r>
    <s v="FL250251"/>
    <x v="249"/>
    <x v="0"/>
    <s v="42"/>
    <x v="19"/>
    <x v="6"/>
    <s v="DevOps"/>
    <s v="19"/>
    <s v="75"/>
    <n v="4.5999999999999996"/>
    <s v="FALSE"/>
    <n v="0.78"/>
  </r>
  <r>
    <s v="FL250252"/>
    <x v="250"/>
    <x v="1"/>
    <s v="43"/>
    <x v="2"/>
    <x v="2"/>
    <s v="UI/UX Design"/>
    <s v="6"/>
    <s v="50"/>
    <n v="0"/>
    <s v="FALSE"/>
    <n v="0.81"/>
  </r>
  <r>
    <s v="FL250253"/>
    <x v="251"/>
    <x v="1"/>
    <s v="34"/>
    <x v="2"/>
    <x v="2"/>
    <s v="Data Analysis"/>
    <s v="8"/>
    <s v="75"/>
    <n v="1.8"/>
    <s v="TRUE"/>
    <n v="0.71"/>
  </r>
  <r>
    <s v="FL250254"/>
    <x v="252"/>
    <x v="1"/>
    <s v="24"/>
    <x v="20"/>
    <x v="6"/>
    <s v="Mobile Apps"/>
    <s v="3"/>
    <s v="75"/>
    <n v="2"/>
    <s v="TRUE"/>
    <n v="0.75"/>
  </r>
  <r>
    <s v="FL250255"/>
    <x v="253"/>
    <x v="1"/>
    <s v="48"/>
    <x v="17"/>
    <x v="14"/>
    <s v="UI/UX Design"/>
    <s v="8"/>
    <s v="30"/>
    <n v="5"/>
    <s v="TRUE"/>
    <n v="0.99"/>
  </r>
  <r>
    <s v="FL250256"/>
    <x v="254"/>
    <x v="0"/>
    <s v="39"/>
    <x v="12"/>
    <x v="10"/>
    <s v="Data Analysis"/>
    <s v="12"/>
    <s v="20"/>
    <n v="3.2"/>
    <s v="TRUE"/>
    <n v="0.66"/>
  </r>
  <r>
    <s v="FL250257"/>
    <x v="255"/>
    <x v="0"/>
    <s v="57"/>
    <x v="1"/>
    <x v="1"/>
    <s v="Blockchain Development"/>
    <s v="30"/>
    <s v="30"/>
    <n v="2.4"/>
    <s v="TRUE"/>
    <n v="0.8"/>
  </r>
  <r>
    <s v="FL250258"/>
    <x v="256"/>
    <x v="0"/>
    <s v="44"/>
    <x v="14"/>
    <x v="1"/>
    <s v="Web Development"/>
    <s v="21"/>
    <s v="100"/>
    <n v="2.9"/>
    <s v="FALSE"/>
    <n v="0.83"/>
  </r>
  <r>
    <s v="FL250259"/>
    <x v="257"/>
    <x v="1"/>
    <s v="37"/>
    <x v="11"/>
    <x v="9"/>
    <s v="UI/UX Design"/>
    <s v="17"/>
    <s v="20"/>
    <n v="0"/>
    <s v="TRUE"/>
    <n v="0.87"/>
  </r>
  <r>
    <s v="FL250260"/>
    <x v="258"/>
    <x v="1"/>
    <s v="50"/>
    <x v="6"/>
    <x v="5"/>
    <s v="Data Analysis"/>
    <s v="9"/>
    <s v="30"/>
    <n v="3"/>
    <s v="FALSE"/>
    <n v="0.76"/>
  </r>
  <r>
    <s v="FL250261"/>
    <x v="259"/>
    <x v="1"/>
    <s v="50"/>
    <x v="20"/>
    <x v="6"/>
    <s v="UI/UX Design"/>
    <s v="2"/>
    <s v="50"/>
    <n v="1.6"/>
    <s v="FALSE"/>
    <n v="0.89"/>
  </r>
  <r>
    <s v="FL250262"/>
    <x v="260"/>
    <x v="0"/>
    <s v="28"/>
    <x v="15"/>
    <x v="12"/>
    <s v="Graphic Design"/>
    <s v="1"/>
    <s v="20"/>
    <n v="3.6"/>
    <s v="TRUE"/>
    <n v="0.94"/>
  </r>
  <r>
    <s v="FL250263"/>
    <x v="261"/>
    <x v="1"/>
    <s v="48"/>
    <x v="0"/>
    <x v="0"/>
    <s v="Web Development"/>
    <s v="23"/>
    <s v="50"/>
    <n v="2.1"/>
    <s v="FALSE"/>
    <n v="0.68"/>
  </r>
  <r>
    <s v="FL250264"/>
    <x v="262"/>
    <x v="1"/>
    <s v="42"/>
    <x v="2"/>
    <x v="2"/>
    <s v="DevOps"/>
    <s v="8"/>
    <s v="30"/>
    <n v="3.6"/>
    <s v="TRUE"/>
    <n v="0.96"/>
  </r>
  <r>
    <s v="FL250265"/>
    <x v="263"/>
    <x v="0"/>
    <s v="37"/>
    <x v="14"/>
    <x v="1"/>
    <s v="Data Analysis"/>
    <s v="6"/>
    <s v="20"/>
    <n v="2.7"/>
    <s v="TRUE"/>
    <n v="0.91"/>
  </r>
  <r>
    <s v="FL250266"/>
    <x v="264"/>
    <x v="1"/>
    <s v="21"/>
    <x v="10"/>
    <x v="8"/>
    <s v="Blockchain Development"/>
    <s v="1"/>
    <s v="100"/>
    <n v="2.1"/>
    <s v="TRUE"/>
    <n v="0.92"/>
  </r>
  <r>
    <s v="FL250267"/>
    <x v="265"/>
    <x v="1"/>
    <s v="50"/>
    <x v="12"/>
    <x v="10"/>
    <s v="Web Development"/>
    <s v="19"/>
    <s v="40"/>
    <n v="4.9000000000000004"/>
    <s v="TRUE"/>
    <n v="0.82"/>
  </r>
  <r>
    <s v="FL250268"/>
    <x v="266"/>
    <x v="0"/>
    <s v="22"/>
    <x v="8"/>
    <x v="6"/>
    <s v="AI"/>
    <s v="2"/>
    <s v="30"/>
    <n v="2.1"/>
    <s v="TRUE"/>
    <n v="0.75"/>
  </r>
  <r>
    <s v="FL250269"/>
    <x v="267"/>
    <x v="0"/>
    <s v="39"/>
    <x v="9"/>
    <x v="7"/>
    <s v="Web Development"/>
    <s v="21"/>
    <s v="100"/>
    <n v="0"/>
    <s v="FALSE"/>
    <n v="0.91"/>
  </r>
  <r>
    <s v="FL250270"/>
    <x v="268"/>
    <x v="0"/>
    <s v="25"/>
    <x v="9"/>
    <x v="7"/>
    <s v="Machine Learning"/>
    <s v="3"/>
    <s v="50"/>
    <n v="2.8"/>
    <s v="TRUE"/>
    <n v="0.86"/>
  </r>
  <r>
    <s v="FL250271"/>
    <x v="269"/>
    <x v="0"/>
    <s v="47"/>
    <x v="17"/>
    <x v="14"/>
    <s v="Mobile Apps"/>
    <s v="14"/>
    <s v="50"/>
    <n v="2.6"/>
    <s v="TRUE"/>
    <n v="0.69"/>
  </r>
  <r>
    <s v="FL250272"/>
    <x v="270"/>
    <x v="0"/>
    <s v="35"/>
    <x v="17"/>
    <x v="14"/>
    <s v="UI/UX Design"/>
    <s v="10"/>
    <s v="100"/>
    <n v="4.7"/>
    <s v="TRUE"/>
    <n v="0.84"/>
  </r>
  <r>
    <s v="FL250273"/>
    <x v="271"/>
    <x v="0"/>
    <s v="Unknown"/>
    <x v="7"/>
    <x v="1"/>
    <s v="Cybersecurity"/>
    <s v="5"/>
    <s v="100"/>
    <n v="1.3"/>
    <s v="FALSE"/>
    <n v="0.6"/>
  </r>
  <r>
    <s v="FL250274"/>
    <x v="272"/>
    <x v="1"/>
    <s v="35"/>
    <x v="3"/>
    <x v="3"/>
    <s v="Blockchain Development"/>
    <s v="6"/>
    <s v="75"/>
    <n v="1.6"/>
    <s v="TRUE"/>
    <n v="0.97"/>
  </r>
  <r>
    <s v="FL250275"/>
    <x v="273"/>
    <x v="1"/>
    <s v="59"/>
    <x v="15"/>
    <x v="12"/>
    <s v="Web Development"/>
    <s v="21"/>
    <s v="100"/>
    <n v="0"/>
    <s v="TRUE"/>
    <n v="0.7"/>
  </r>
  <r>
    <s v="FL250276"/>
    <x v="274"/>
    <x v="0"/>
    <s v="26"/>
    <x v="18"/>
    <x v="15"/>
    <s v="UI/UX Design"/>
    <s v="4"/>
    <s v="100"/>
    <n v="3.6"/>
    <s v="FALSE"/>
    <n v="0.81"/>
  </r>
  <r>
    <s v="FL250277"/>
    <x v="275"/>
    <x v="1"/>
    <s v="44"/>
    <x v="13"/>
    <x v="11"/>
    <s v="Machine Learning"/>
    <s v="18"/>
    <s v="20"/>
    <n v="4.7"/>
    <s v="TRUE"/>
    <n v="0.88"/>
  </r>
  <r>
    <s v="FL250278"/>
    <x v="276"/>
    <x v="0"/>
    <s v="31"/>
    <x v="17"/>
    <x v="14"/>
    <s v="UI/UX Design"/>
    <s v="12"/>
    <s v="40"/>
    <n v="2.6"/>
    <s v="TRUE"/>
    <n v="1"/>
  </r>
  <r>
    <s v="FL250279"/>
    <x v="277"/>
    <x v="1"/>
    <s v="60"/>
    <x v="6"/>
    <x v="5"/>
    <s v="Data Analysis"/>
    <s v="6"/>
    <s v="50"/>
    <n v="3.2"/>
    <s v="FALSE"/>
    <n v="0.95"/>
  </r>
  <r>
    <s v="FL250280"/>
    <x v="278"/>
    <x v="0"/>
    <s v="23"/>
    <x v="7"/>
    <x v="1"/>
    <s v="Blockchain Development"/>
    <s v="4"/>
    <s v="20"/>
    <n v="2.6"/>
    <s v="FALSE"/>
    <n v="0.71"/>
  </r>
  <r>
    <s v="FL250281"/>
    <x v="279"/>
    <x v="1"/>
    <s v="42"/>
    <x v="4"/>
    <x v="4"/>
    <s v="UI/UX Design"/>
    <s v="13"/>
    <s v="20"/>
    <n v="4.7"/>
    <s v="FALSE"/>
    <n v="0.85"/>
  </r>
  <r>
    <s v="FL250282"/>
    <x v="280"/>
    <x v="0"/>
    <s v="48"/>
    <x v="10"/>
    <x v="8"/>
    <s v="Mobile Apps"/>
    <s v="6"/>
    <s v="30"/>
    <n v="2.6"/>
    <s v="FALSE"/>
    <n v="0.96"/>
  </r>
  <r>
    <s v="FL250283"/>
    <x v="281"/>
    <x v="1"/>
    <s v="42"/>
    <x v="3"/>
    <x v="3"/>
    <s v="Graphic Design"/>
    <s v="10"/>
    <s v="20"/>
    <n v="2.4"/>
    <s v="TRUE"/>
    <n v="0.92"/>
  </r>
  <r>
    <s v="FL250284"/>
    <x v="282"/>
    <x v="1"/>
    <s v="52"/>
    <x v="12"/>
    <x v="10"/>
    <s v="Cybersecurity"/>
    <s v="20"/>
    <s v="50"/>
    <n v="2.6"/>
    <s v="TRUE"/>
    <n v="0.79"/>
  </r>
  <r>
    <s v="FL250285"/>
    <x v="283"/>
    <x v="0"/>
    <s v="55"/>
    <x v="9"/>
    <x v="7"/>
    <s v="Web Development"/>
    <s v="20"/>
    <s v="75"/>
    <n v="2.9"/>
    <s v="TRUE"/>
    <n v="0.75"/>
  </r>
  <r>
    <s v="FL250286"/>
    <x v="284"/>
    <x v="0"/>
    <s v="58"/>
    <x v="17"/>
    <x v="14"/>
    <s v="Cybersecurity"/>
    <s v="11"/>
    <s v="50"/>
    <n v="0"/>
    <s v="FALSE"/>
    <n v="0.75"/>
  </r>
  <r>
    <s v="FL250287"/>
    <x v="285"/>
    <x v="0"/>
    <s v="46"/>
    <x v="12"/>
    <x v="10"/>
    <s v="Machine Learning"/>
    <s v="12"/>
    <s v="20"/>
    <n v="0"/>
    <s v="TRUE"/>
    <n v="0.89"/>
  </r>
  <r>
    <s v="FL250288"/>
    <x v="286"/>
    <x v="0"/>
    <s v="45"/>
    <x v="20"/>
    <x v="6"/>
    <s v="Machine Learning"/>
    <s v="1"/>
    <s v="100"/>
    <n v="1.5"/>
    <s v="TRUE"/>
    <n v="1"/>
  </r>
  <r>
    <s v="FL250289"/>
    <x v="287"/>
    <x v="0"/>
    <s v="56"/>
    <x v="10"/>
    <x v="8"/>
    <s v="Machine Learning"/>
    <s v="2"/>
    <s v="30"/>
    <n v="1.9"/>
    <s v="TRUE"/>
    <n v="0.81"/>
  </r>
  <r>
    <s v="FL250290"/>
    <x v="288"/>
    <x v="1"/>
    <s v="44"/>
    <x v="7"/>
    <x v="1"/>
    <s v="Blockchain Development"/>
    <s v="13"/>
    <s v="100"/>
    <n v="3.1"/>
    <s v="TRUE"/>
    <n v="0.95"/>
  </r>
  <r>
    <s v="FL250291"/>
    <x v="289"/>
    <x v="1"/>
    <s v="46"/>
    <x v="4"/>
    <x v="4"/>
    <s v="UI/UX Design"/>
    <s v="0"/>
    <s v="50"/>
    <n v="1.8"/>
    <s v="FALSE"/>
    <n v="0.88"/>
  </r>
  <r>
    <s v="FL250292"/>
    <x v="290"/>
    <x v="0"/>
    <s v="27"/>
    <x v="9"/>
    <x v="7"/>
    <s v="Web Development"/>
    <s v="7"/>
    <s v="30"/>
    <n v="2.4"/>
    <s v="TRUE"/>
    <n v="0.66"/>
  </r>
  <r>
    <s v="FL250293"/>
    <x v="291"/>
    <x v="0"/>
    <s v="49"/>
    <x v="10"/>
    <x v="8"/>
    <s v="Blockchain Development"/>
    <s v="13"/>
    <s v="100"/>
    <n v="4.2"/>
    <s v="TRUE"/>
    <n v="0.84"/>
  </r>
  <r>
    <s v="FL250294"/>
    <x v="292"/>
    <x v="1"/>
    <s v="53"/>
    <x v="19"/>
    <x v="6"/>
    <s v="Web Development"/>
    <s v="21"/>
    <s v="50"/>
    <n v="1.4"/>
    <s v="FALSE"/>
    <n v="0.75"/>
  </r>
  <r>
    <s v="FL250295"/>
    <x v="293"/>
    <x v="1"/>
    <s v="56"/>
    <x v="1"/>
    <x v="1"/>
    <s v="Web Development"/>
    <s v="19"/>
    <s v="40"/>
    <n v="1.2"/>
    <s v="TRUE"/>
    <n v="0.82"/>
  </r>
  <r>
    <s v="FL250296"/>
    <x v="294"/>
    <x v="0"/>
    <s v="56"/>
    <x v="7"/>
    <x v="1"/>
    <s v="DevOps"/>
    <s v="34"/>
    <s v="50"/>
    <n v="2.1"/>
    <s v="TRUE"/>
    <n v="0.84"/>
  </r>
  <r>
    <s v="FL250297"/>
    <x v="295"/>
    <x v="1"/>
    <s v="38"/>
    <x v="17"/>
    <x v="14"/>
    <s v="Data Analysis"/>
    <s v="3"/>
    <s v="100"/>
    <n v="1.4"/>
    <s v="TRUE"/>
    <n v="0.73"/>
  </r>
  <r>
    <s v="FL250298"/>
    <x v="296"/>
    <x v="1"/>
    <s v="20"/>
    <x v="12"/>
    <x v="10"/>
    <s v="Mobile Apps"/>
    <s v="0"/>
    <s v="30"/>
    <n v="3.8"/>
    <s v="TRUE"/>
    <n v="0.93"/>
  </r>
  <r>
    <s v="FL250299"/>
    <x v="297"/>
    <x v="0"/>
    <s v="38"/>
    <x v="14"/>
    <x v="1"/>
    <s v="Machine Learning"/>
    <s v="20"/>
    <s v="50"/>
    <n v="0"/>
    <s v="TRUE"/>
    <n v="0.64"/>
  </r>
  <r>
    <s v="FL250300"/>
    <x v="298"/>
    <x v="0"/>
    <s v="Unknown"/>
    <x v="3"/>
    <x v="3"/>
    <s v="Mobile Apps"/>
    <s v="6"/>
    <s v="40"/>
    <n v="3.5"/>
    <s v="FALSE"/>
    <n v="0.76"/>
  </r>
  <r>
    <s v="FL250301"/>
    <x v="299"/>
    <x v="1"/>
    <s v="46"/>
    <x v="10"/>
    <x v="8"/>
    <s v="Machine Learning"/>
    <s v="13"/>
    <s v="100"/>
    <n v="0"/>
    <s v="TRUE"/>
    <n v="0.97"/>
  </r>
  <r>
    <s v="FL250302"/>
    <x v="300"/>
    <x v="1"/>
    <s v="36"/>
    <x v="17"/>
    <x v="14"/>
    <s v="Data Analysis"/>
    <s v="9"/>
    <s v="75"/>
    <n v="2.2000000000000002"/>
    <s v="FALSE"/>
    <n v="0.95"/>
  </r>
  <r>
    <s v="FL250303"/>
    <x v="301"/>
    <x v="1"/>
    <s v="33"/>
    <x v="13"/>
    <x v="11"/>
    <s v="Web Development"/>
    <s v="2"/>
    <s v="75"/>
    <n v="2.5"/>
    <s v="TRUE"/>
    <n v="0.65"/>
  </r>
  <r>
    <s v="FL250304"/>
    <x v="302"/>
    <x v="0"/>
    <s v="37"/>
    <x v="14"/>
    <x v="1"/>
    <s v="Graphic Design"/>
    <s v="0"/>
    <s v="50"/>
    <n v="4.7"/>
    <s v="FALSE"/>
    <n v="0.77"/>
  </r>
  <r>
    <s v="FL250305"/>
    <x v="303"/>
    <x v="1"/>
    <s v="20"/>
    <x v="16"/>
    <x v="13"/>
    <s v="Data Analysis"/>
    <s v="0"/>
    <s v="20"/>
    <n v="3.9"/>
    <s v="TRUE"/>
    <n v="0.75"/>
  </r>
  <r>
    <s v="FL250306"/>
    <x v="304"/>
    <x v="0"/>
    <s v="48"/>
    <x v="18"/>
    <x v="15"/>
    <s v="Data Analysis"/>
    <s v="2"/>
    <s v="75"/>
    <n v="1.6"/>
    <s v="FALSE"/>
    <n v="0.67"/>
  </r>
  <r>
    <s v="FL250307"/>
    <x v="305"/>
    <x v="1"/>
    <s v="27"/>
    <x v="15"/>
    <x v="12"/>
    <s v="Cybersecurity"/>
    <s v="2"/>
    <s v="50"/>
    <n v="2.6"/>
    <s v="FALSE"/>
    <n v="0.84"/>
  </r>
  <r>
    <s v="FL250308"/>
    <x v="306"/>
    <x v="1"/>
    <s v="34"/>
    <x v="12"/>
    <x v="10"/>
    <s v="Mobile Apps"/>
    <s v="1"/>
    <s v="30"/>
    <n v="3.6"/>
    <s v="TRUE"/>
    <n v="0.87"/>
  </r>
  <r>
    <s v="FL250309"/>
    <x v="307"/>
    <x v="1"/>
    <s v="55"/>
    <x v="11"/>
    <x v="9"/>
    <s v="Machine Learning"/>
    <s v="14"/>
    <s v="30"/>
    <n v="1.2"/>
    <s v="TRUE"/>
    <n v="0.91"/>
  </r>
  <r>
    <s v="FL250310"/>
    <x v="308"/>
    <x v="0"/>
    <s v="44"/>
    <x v="17"/>
    <x v="14"/>
    <s v="Machine Learning"/>
    <s v="14"/>
    <s v="75"/>
    <n v="3"/>
    <s v="FALSE"/>
    <n v="0.78"/>
  </r>
  <r>
    <s v="FL250311"/>
    <x v="309"/>
    <x v="1"/>
    <s v="31"/>
    <x v="3"/>
    <x v="3"/>
    <s v="UI/UX Design"/>
    <s v="2"/>
    <s v="50"/>
    <n v="3.9"/>
    <s v="FALSE"/>
    <n v="0.75"/>
  </r>
  <r>
    <s v="FL250312"/>
    <x v="310"/>
    <x v="1"/>
    <s v="34"/>
    <x v="1"/>
    <x v="1"/>
    <s v="DevOps"/>
    <s v="1"/>
    <s v="40"/>
    <n v="1.7"/>
    <s v="TRUE"/>
    <n v="0.74"/>
  </r>
  <r>
    <s v="FL250313"/>
    <x v="311"/>
    <x v="0"/>
    <s v="47"/>
    <x v="11"/>
    <x v="9"/>
    <s v="DevOps"/>
    <s v="13"/>
    <s v="20"/>
    <n v="4.5"/>
    <s v="TRUE"/>
    <n v="0.91"/>
  </r>
  <r>
    <s v="FL250314"/>
    <x v="312"/>
    <x v="1"/>
    <s v="50"/>
    <x v="5"/>
    <x v="1"/>
    <s v="Graphic Design"/>
    <s v="23"/>
    <s v="40"/>
    <n v="3.6"/>
    <s v="TRUE"/>
    <n v="0.71"/>
  </r>
  <r>
    <s v="FL250315"/>
    <x v="313"/>
    <x v="1"/>
    <s v="39"/>
    <x v="2"/>
    <x v="2"/>
    <s v="Cybersecurity"/>
    <s v="Unknown"/>
    <s v="75"/>
    <n v="3.6"/>
    <s v="TRUE"/>
    <n v="0.87"/>
  </r>
  <r>
    <s v="FL250316"/>
    <x v="314"/>
    <x v="0"/>
    <s v="26"/>
    <x v="8"/>
    <x v="6"/>
    <s v="Blockchain Development"/>
    <s v="3"/>
    <s v="100"/>
    <n v="2.8"/>
    <s v="TRUE"/>
    <n v="0.61"/>
  </r>
  <r>
    <s v="FL250317"/>
    <x v="315"/>
    <x v="1"/>
    <s v="Unknown"/>
    <x v="3"/>
    <x v="3"/>
    <s v="DevOps"/>
    <s v="0"/>
    <s v="100"/>
    <n v="5"/>
    <s v="FALSE"/>
    <n v="0.75"/>
  </r>
  <r>
    <s v="FL250318"/>
    <x v="316"/>
    <x v="1"/>
    <s v="32"/>
    <x v="2"/>
    <x v="2"/>
    <s v="Graphic Design"/>
    <s v="0"/>
    <s v="100"/>
    <n v="1.4"/>
    <s v="TRUE"/>
    <n v="0.81"/>
  </r>
  <r>
    <s v="FL250319"/>
    <x v="317"/>
    <x v="0"/>
    <s v="55"/>
    <x v="13"/>
    <x v="11"/>
    <s v="Data Analysis"/>
    <s v="17"/>
    <s v="30"/>
    <n v="2.6"/>
    <s v="TRUE"/>
    <n v="0.75"/>
  </r>
  <r>
    <s v="FL250320"/>
    <x v="318"/>
    <x v="1"/>
    <s v="32"/>
    <x v="8"/>
    <x v="6"/>
    <s v="Machine Learning"/>
    <s v="9"/>
    <s v="40"/>
    <n v="4.5999999999999996"/>
    <s v="TRUE"/>
    <n v="0.84"/>
  </r>
  <r>
    <s v="FL250321"/>
    <x v="319"/>
    <x v="1"/>
    <s v="30"/>
    <x v="12"/>
    <x v="10"/>
    <s v="Blockchain Development"/>
    <s v="4"/>
    <s v="20"/>
    <n v="3.3"/>
    <s v="FALSE"/>
    <n v="0.75"/>
  </r>
  <r>
    <s v="FL250322"/>
    <x v="320"/>
    <x v="0"/>
    <s v="37"/>
    <x v="14"/>
    <x v="1"/>
    <s v="Cybersecurity"/>
    <s v="0"/>
    <s v="40"/>
    <n v="3.7"/>
    <s v="TRUE"/>
    <n v="0.75"/>
  </r>
  <r>
    <s v="FL250323"/>
    <x v="321"/>
    <x v="1"/>
    <s v="52"/>
    <x v="11"/>
    <x v="9"/>
    <s v="Graphic Design"/>
    <s v="33"/>
    <s v="50"/>
    <n v="0"/>
    <s v="TRUE"/>
    <n v="0.6"/>
  </r>
  <r>
    <s v="FL250324"/>
    <x v="322"/>
    <x v="1"/>
    <s v="48"/>
    <x v="10"/>
    <x v="8"/>
    <s v="Cybersecurity"/>
    <s v="18"/>
    <s v="50"/>
    <n v="0"/>
    <s v="TRUE"/>
    <n v="0.64"/>
  </r>
  <r>
    <s v="FL250325"/>
    <x v="323"/>
    <x v="0"/>
    <s v="28"/>
    <x v="9"/>
    <x v="7"/>
    <s v="Mobile Apps"/>
    <s v="9"/>
    <s v="40"/>
    <n v="2.6"/>
    <s v="TRUE"/>
    <n v="0.64"/>
  </r>
  <r>
    <s v="FL250326"/>
    <x v="324"/>
    <x v="0"/>
    <s v="58"/>
    <x v="20"/>
    <x v="6"/>
    <s v="Data Analysis"/>
    <s v="40"/>
    <s v="75"/>
    <n v="3.4"/>
    <s v="TRUE"/>
    <n v="1"/>
  </r>
  <r>
    <s v="FL250327"/>
    <x v="325"/>
    <x v="1"/>
    <s v="30"/>
    <x v="8"/>
    <x v="6"/>
    <s v="Web Development"/>
    <s v="1"/>
    <s v="40"/>
    <n v="1.6"/>
    <s v="TRUE"/>
    <n v="1"/>
  </r>
  <r>
    <s v="FL250328"/>
    <x v="326"/>
    <x v="0"/>
    <s v="47"/>
    <x v="18"/>
    <x v="15"/>
    <s v="Mobile Apps"/>
    <s v="5"/>
    <s v="20"/>
    <n v="1.9"/>
    <s v="FALSE"/>
    <n v="0.75"/>
  </r>
  <r>
    <s v="FL250329"/>
    <x v="327"/>
    <x v="1"/>
    <s v="44"/>
    <x v="8"/>
    <x v="6"/>
    <s v="AI"/>
    <s v="4"/>
    <s v="50"/>
    <n v="0"/>
    <s v="TRUE"/>
    <n v="0.83"/>
  </r>
  <r>
    <s v="FL250330"/>
    <x v="328"/>
    <x v="1"/>
    <s v="56"/>
    <x v="0"/>
    <x v="0"/>
    <s v="Machine Learning"/>
    <s v="13"/>
    <s v="40"/>
    <n v="2.6"/>
    <s v="TRUE"/>
    <n v="0.87"/>
  </r>
  <r>
    <s v="FL250331"/>
    <x v="329"/>
    <x v="0"/>
    <s v="53"/>
    <x v="5"/>
    <x v="1"/>
    <s v="Mobile Apps"/>
    <s v="33"/>
    <s v="100"/>
    <n v="2.6"/>
    <s v="FALSE"/>
    <n v="0.75"/>
  </r>
  <r>
    <s v="FL250332"/>
    <x v="330"/>
    <x v="1"/>
    <s v="59"/>
    <x v="7"/>
    <x v="1"/>
    <s v="Mobile Apps"/>
    <s v="22"/>
    <s v="40"/>
    <n v="1.1000000000000001"/>
    <s v="TRUE"/>
    <n v="0.61"/>
  </r>
  <r>
    <s v="FL250333"/>
    <x v="331"/>
    <x v="1"/>
    <s v="60"/>
    <x v="5"/>
    <x v="1"/>
    <s v="DevOps"/>
    <s v="34"/>
    <s v="50"/>
    <n v="2.5"/>
    <s v="TRUE"/>
    <n v="0.93"/>
  </r>
  <r>
    <s v="FL250334"/>
    <x v="332"/>
    <x v="0"/>
    <s v="33"/>
    <x v="2"/>
    <x v="2"/>
    <s v="Mobile Apps"/>
    <s v="8"/>
    <s v="30"/>
    <n v="3.6"/>
    <s v="TRUE"/>
    <n v="0.75"/>
  </r>
  <r>
    <s v="FL250335"/>
    <x v="333"/>
    <x v="0"/>
    <s v="21"/>
    <x v="8"/>
    <x v="6"/>
    <s v="Web Development"/>
    <s v="1"/>
    <s v="20"/>
    <n v="2.6"/>
    <s v="TRUE"/>
    <n v="0.99"/>
  </r>
  <r>
    <s v="FL250336"/>
    <x v="334"/>
    <x v="1"/>
    <s v="54"/>
    <x v="7"/>
    <x v="1"/>
    <s v="UI/UX Design"/>
    <s v="20"/>
    <s v="50"/>
    <n v="4.4000000000000004"/>
    <s v="FALSE"/>
    <n v="0.73"/>
  </r>
  <r>
    <s v="FL250337"/>
    <x v="335"/>
    <x v="0"/>
    <s v="33"/>
    <x v="5"/>
    <x v="1"/>
    <s v="Graphic Design"/>
    <s v="11"/>
    <s v="75"/>
    <n v="2.1"/>
    <s v="FALSE"/>
    <n v="0.96"/>
  </r>
  <r>
    <s v="FL250338"/>
    <x v="336"/>
    <x v="0"/>
    <s v="57"/>
    <x v="6"/>
    <x v="5"/>
    <s v="Data Analysis"/>
    <s v="2"/>
    <s v="40"/>
    <n v="0"/>
    <s v="TRUE"/>
    <n v="0.6"/>
  </r>
  <r>
    <s v="FL250339"/>
    <x v="337"/>
    <x v="1"/>
    <s v="36"/>
    <x v="12"/>
    <x v="10"/>
    <s v="Graphic Design"/>
    <s v="6"/>
    <s v="20"/>
    <n v="1"/>
    <s v="TRUE"/>
    <n v="0.64"/>
  </r>
  <r>
    <s v="FL250340"/>
    <x v="338"/>
    <x v="1"/>
    <s v="50"/>
    <x v="2"/>
    <x v="2"/>
    <s v="Blockchain Development"/>
    <s v="20"/>
    <s v="30"/>
    <n v="0"/>
    <s v="FALSE"/>
    <n v="0.75"/>
  </r>
  <r>
    <s v="FL250341"/>
    <x v="339"/>
    <x v="0"/>
    <s v="37"/>
    <x v="14"/>
    <x v="1"/>
    <s v="DevOps"/>
    <s v="Unknown"/>
    <s v="20"/>
    <n v="4.9000000000000004"/>
    <s v="FALSE"/>
    <n v="0.75"/>
  </r>
  <r>
    <s v="FL250342"/>
    <x v="340"/>
    <x v="1"/>
    <s v="53"/>
    <x v="0"/>
    <x v="0"/>
    <s v="AI"/>
    <s v="4"/>
    <s v="30"/>
    <n v="4.7"/>
    <s v="FALSE"/>
    <n v="0.99"/>
  </r>
  <r>
    <s v="FL250343"/>
    <x v="341"/>
    <x v="0"/>
    <s v="22"/>
    <x v="0"/>
    <x v="0"/>
    <s v="Blockchain Development"/>
    <s v="3"/>
    <s v="40"/>
    <n v="2.1"/>
    <s v="FALSE"/>
    <n v="0.75"/>
  </r>
  <r>
    <s v="FL250344"/>
    <x v="342"/>
    <x v="0"/>
    <s v="55"/>
    <x v="3"/>
    <x v="3"/>
    <s v="Mobile Apps"/>
    <s v="33"/>
    <s v="40"/>
    <n v="1.5"/>
    <s v="TRUE"/>
    <n v="0.71"/>
  </r>
  <r>
    <s v="FL250345"/>
    <x v="343"/>
    <x v="1"/>
    <s v="22"/>
    <x v="1"/>
    <x v="1"/>
    <s v="Cybersecurity"/>
    <s v="1"/>
    <s v="50"/>
    <n v="2.6"/>
    <s v="FALSE"/>
    <n v="0.72"/>
  </r>
  <r>
    <s v="FL250346"/>
    <x v="344"/>
    <x v="0"/>
    <s v="45"/>
    <x v="6"/>
    <x v="5"/>
    <s v="Web Development"/>
    <s v="23"/>
    <s v="50"/>
    <n v="0"/>
    <s v="FALSE"/>
    <n v="0.66"/>
  </r>
  <r>
    <s v="FL250347"/>
    <x v="345"/>
    <x v="1"/>
    <s v="36"/>
    <x v="15"/>
    <x v="12"/>
    <s v="Data Analysis"/>
    <s v="13"/>
    <s v="40"/>
    <n v="2.6"/>
    <s v="FALSE"/>
    <n v="0.78"/>
  </r>
  <r>
    <s v="FL250348"/>
    <x v="346"/>
    <x v="1"/>
    <s v="23"/>
    <x v="1"/>
    <x v="1"/>
    <s v="DevOps"/>
    <s v="1"/>
    <s v="20"/>
    <n v="4"/>
    <s v="TRUE"/>
    <n v="1"/>
  </r>
  <r>
    <s v="FL250349"/>
    <x v="347"/>
    <x v="1"/>
    <s v="55"/>
    <x v="0"/>
    <x v="0"/>
    <s v="DevOps"/>
    <s v="15"/>
    <s v="40"/>
    <n v="4.5"/>
    <s v="TRUE"/>
    <n v="0.75"/>
  </r>
  <r>
    <s v="FL250350"/>
    <x v="348"/>
    <x v="0"/>
    <s v="50"/>
    <x v="11"/>
    <x v="9"/>
    <s v="Mobile Apps"/>
    <s v="18"/>
    <s v="75"/>
    <n v="3.8"/>
    <s v="FALSE"/>
    <n v="0.67"/>
  </r>
  <r>
    <s v="FL250351"/>
    <x v="349"/>
    <x v="1"/>
    <s v="48"/>
    <x v="5"/>
    <x v="1"/>
    <s v="Machine Learning"/>
    <s v="21"/>
    <s v="50"/>
    <n v="4"/>
    <s v="FALSE"/>
    <n v="0.78"/>
  </r>
  <r>
    <s v="FL250352"/>
    <x v="350"/>
    <x v="1"/>
    <s v="23"/>
    <x v="3"/>
    <x v="3"/>
    <s v="DevOps"/>
    <s v="1"/>
    <s v="40"/>
    <n v="4.9000000000000004"/>
    <s v="TRUE"/>
    <n v="0.78"/>
  </r>
  <r>
    <s v="FL250353"/>
    <x v="351"/>
    <x v="0"/>
    <s v="49"/>
    <x v="14"/>
    <x v="1"/>
    <s v="Web Development"/>
    <s v="25"/>
    <s v="30"/>
    <n v="3.4"/>
    <s v="FALSE"/>
    <n v="0.75"/>
  </r>
  <r>
    <s v="FL250354"/>
    <x v="352"/>
    <x v="0"/>
    <s v="47"/>
    <x v="0"/>
    <x v="0"/>
    <s v="Cybersecurity"/>
    <s v="12"/>
    <s v="50"/>
    <n v="2.1"/>
    <s v="TRUE"/>
    <n v="0.67"/>
  </r>
  <r>
    <s v="FL250355"/>
    <x v="353"/>
    <x v="0"/>
    <s v="56"/>
    <x v="9"/>
    <x v="7"/>
    <s v="Graphic Design"/>
    <s v="32"/>
    <s v="40"/>
    <n v="0"/>
    <s v="TRUE"/>
    <n v="0.86"/>
  </r>
  <r>
    <s v="FL250356"/>
    <x v="354"/>
    <x v="1"/>
    <s v="58"/>
    <x v="8"/>
    <x v="6"/>
    <s v="UI/UX Design"/>
    <s v="Unknown"/>
    <s v="100"/>
    <n v="4.5"/>
    <s v="FALSE"/>
    <n v="0.77"/>
  </r>
  <r>
    <s v="FL250357"/>
    <x v="355"/>
    <x v="1"/>
    <s v="32"/>
    <x v="12"/>
    <x v="10"/>
    <s v="UI/UX Design"/>
    <s v="10"/>
    <s v="30"/>
    <n v="3.8"/>
    <s v="FALSE"/>
    <n v="0.61"/>
  </r>
  <r>
    <s v="FL250358"/>
    <x v="356"/>
    <x v="0"/>
    <s v="52"/>
    <x v="10"/>
    <x v="8"/>
    <s v="UI/UX Design"/>
    <s v="0"/>
    <s v="50"/>
    <n v="4.3"/>
    <s v="FALSE"/>
    <n v="0.9"/>
  </r>
  <r>
    <s v="FL250359"/>
    <x v="357"/>
    <x v="0"/>
    <s v="22"/>
    <x v="18"/>
    <x v="15"/>
    <s v="Data Analysis"/>
    <s v="1"/>
    <s v="50"/>
    <n v="0"/>
    <s v="TRUE"/>
    <n v="0.98"/>
  </r>
  <r>
    <s v="FL250360"/>
    <x v="358"/>
    <x v="1"/>
    <s v="20"/>
    <x v="10"/>
    <x v="8"/>
    <s v="Cybersecurity"/>
    <s v="2"/>
    <s v="30"/>
    <n v="2.6"/>
    <s v="TRUE"/>
    <n v="0.99"/>
  </r>
  <r>
    <s v="FL250361"/>
    <x v="359"/>
    <x v="1"/>
    <s v="56"/>
    <x v="3"/>
    <x v="3"/>
    <s v="Data Analysis"/>
    <s v="9"/>
    <s v="40"/>
    <n v="2.6"/>
    <s v="FALSE"/>
    <n v="0.61"/>
  </r>
  <r>
    <s v="FL250362"/>
    <x v="360"/>
    <x v="1"/>
    <s v="41"/>
    <x v="9"/>
    <x v="7"/>
    <s v="Data Analysis"/>
    <s v="22"/>
    <s v="50"/>
    <n v="1.6"/>
    <s v="TRUE"/>
    <n v="0.61"/>
  </r>
  <r>
    <s v="FL250363"/>
    <x v="361"/>
    <x v="1"/>
    <s v="25"/>
    <x v="8"/>
    <x v="6"/>
    <s v="Blockchain Development"/>
    <s v="5"/>
    <s v="30"/>
    <n v="2.2999999999999998"/>
    <s v="FALSE"/>
    <n v="0.91"/>
  </r>
  <r>
    <s v="FL250364"/>
    <x v="362"/>
    <x v="0"/>
    <s v="44"/>
    <x v="14"/>
    <x v="1"/>
    <s v="Cybersecurity"/>
    <s v="6"/>
    <s v="75"/>
    <n v="4.5999999999999996"/>
    <s v="TRUE"/>
    <n v="0.72"/>
  </r>
  <r>
    <s v="FL250365"/>
    <x v="363"/>
    <x v="0"/>
    <s v="46"/>
    <x v="1"/>
    <x v="1"/>
    <s v="Web Development"/>
    <s v="26"/>
    <s v="100"/>
    <n v="2.1"/>
    <s v="TRUE"/>
    <n v="0.75"/>
  </r>
  <r>
    <s v="FL250366"/>
    <x v="364"/>
    <x v="0"/>
    <s v="40"/>
    <x v="12"/>
    <x v="10"/>
    <s v="Blockchain Development"/>
    <s v="Unknown"/>
    <s v="40"/>
    <n v="1.5"/>
    <s v="TRUE"/>
    <n v="0.96"/>
  </r>
  <r>
    <s v="FL250367"/>
    <x v="365"/>
    <x v="1"/>
    <s v="Unknown"/>
    <x v="18"/>
    <x v="15"/>
    <s v="AI"/>
    <s v="9"/>
    <s v="40"/>
    <n v="1.7"/>
    <s v="TRUE"/>
    <n v="0.72"/>
  </r>
  <r>
    <s v="FL250368"/>
    <x v="366"/>
    <x v="1"/>
    <s v="31"/>
    <x v="9"/>
    <x v="7"/>
    <s v="Data Analysis"/>
    <s v="11"/>
    <s v="50"/>
    <n v="3.3"/>
    <s v="FALSE"/>
    <n v="0.75"/>
  </r>
  <r>
    <s v="FL250369"/>
    <x v="367"/>
    <x v="1"/>
    <s v="33"/>
    <x v="12"/>
    <x v="10"/>
    <s v="Machine Learning"/>
    <s v="Unknown"/>
    <s v="40"/>
    <n v="4.3"/>
    <s v="TRUE"/>
    <n v="0.63"/>
  </r>
  <r>
    <s v="FL250370"/>
    <x v="368"/>
    <x v="0"/>
    <s v="31"/>
    <x v="11"/>
    <x v="9"/>
    <s v="Machine Learning"/>
    <s v="3"/>
    <s v="20"/>
    <n v="2.6"/>
    <s v="FALSE"/>
    <n v="0.75"/>
  </r>
  <r>
    <s v="FL250371"/>
    <x v="369"/>
    <x v="0"/>
    <s v="49"/>
    <x v="0"/>
    <x v="0"/>
    <s v="Data Analysis"/>
    <s v="15"/>
    <s v="75"/>
    <n v="2.6"/>
    <s v="FALSE"/>
    <n v="0.83"/>
  </r>
  <r>
    <s v="FL250372"/>
    <x v="370"/>
    <x v="1"/>
    <s v="35"/>
    <x v="19"/>
    <x v="6"/>
    <s v="Graphic Design"/>
    <s v="12"/>
    <s v="20"/>
    <n v="4.0999999999999996"/>
    <s v="TRUE"/>
    <n v="0.94"/>
  </r>
  <r>
    <s v="FL250373"/>
    <x v="371"/>
    <x v="1"/>
    <s v="45"/>
    <x v="10"/>
    <x v="8"/>
    <s v="Data Analysis"/>
    <s v="19"/>
    <s v="40"/>
    <n v="2.2000000000000002"/>
    <s v="TRUE"/>
    <n v="0.78"/>
  </r>
  <r>
    <s v="FL250374"/>
    <x v="372"/>
    <x v="0"/>
    <s v="39"/>
    <x v="3"/>
    <x v="3"/>
    <s v="Data Analysis"/>
    <s v="13"/>
    <s v="30"/>
    <n v="1.1000000000000001"/>
    <s v="TRUE"/>
    <n v="0.75"/>
  </r>
  <r>
    <s v="FL250375"/>
    <x v="373"/>
    <x v="1"/>
    <s v="Unknown"/>
    <x v="8"/>
    <x v="6"/>
    <s v="Blockchain Development"/>
    <s v="Unknown"/>
    <s v="50"/>
    <n v="2.1"/>
    <s v="TRUE"/>
    <n v="0.82"/>
  </r>
  <r>
    <s v="FL250376"/>
    <x v="374"/>
    <x v="1"/>
    <s v="24"/>
    <x v="2"/>
    <x v="2"/>
    <s v="Cybersecurity"/>
    <s v="3"/>
    <s v="30"/>
    <n v="2.2999999999999998"/>
    <s v="TRUE"/>
    <n v="0.66"/>
  </r>
  <r>
    <s v="FL250377"/>
    <x v="375"/>
    <x v="1"/>
    <s v="50"/>
    <x v="1"/>
    <x v="1"/>
    <s v="Graphic Design"/>
    <s v="26"/>
    <s v="50"/>
    <n v="3.6"/>
    <s v="TRUE"/>
    <n v="0.82"/>
  </r>
  <r>
    <s v="FL250378"/>
    <x v="376"/>
    <x v="0"/>
    <s v="23"/>
    <x v="2"/>
    <x v="2"/>
    <s v="Machine Learning"/>
    <s v="4"/>
    <s v="20"/>
    <n v="4.7"/>
    <s v="TRUE"/>
    <n v="0.84"/>
  </r>
  <r>
    <s v="FL250379"/>
    <x v="377"/>
    <x v="1"/>
    <s v="27"/>
    <x v="14"/>
    <x v="1"/>
    <s v="Cybersecurity"/>
    <s v="8"/>
    <s v="20"/>
    <n v="4.8"/>
    <s v="FALSE"/>
    <n v="0.81"/>
  </r>
  <r>
    <s v="FL250380"/>
    <x v="378"/>
    <x v="1"/>
    <s v="58"/>
    <x v="17"/>
    <x v="14"/>
    <s v="AI"/>
    <s v="10"/>
    <s v="75"/>
    <n v="4.2"/>
    <s v="FALSE"/>
    <n v="0.71"/>
  </r>
  <r>
    <s v="FL250381"/>
    <x v="379"/>
    <x v="1"/>
    <s v="37"/>
    <x v="0"/>
    <x v="0"/>
    <s v="Machine Learning"/>
    <s v="5"/>
    <s v="50"/>
    <n v="4.8"/>
    <s v="TRUE"/>
    <n v="0.61"/>
  </r>
  <r>
    <s v="FL250382"/>
    <x v="380"/>
    <x v="1"/>
    <s v="39"/>
    <x v="20"/>
    <x v="6"/>
    <s v="Blockchain Development"/>
    <s v="18"/>
    <s v="75"/>
    <n v="4"/>
    <s v="TRUE"/>
    <n v="0.66"/>
  </r>
  <r>
    <s v="FL250383"/>
    <x v="381"/>
    <x v="0"/>
    <s v="46"/>
    <x v="16"/>
    <x v="13"/>
    <s v="Data Analysis"/>
    <s v="10"/>
    <s v="20"/>
    <n v="2.5"/>
    <s v="TRUE"/>
    <n v="0.97"/>
  </r>
  <r>
    <s v="FL250384"/>
    <x v="382"/>
    <x v="0"/>
    <s v="Unknown"/>
    <x v="7"/>
    <x v="1"/>
    <s v="UI/UX Design"/>
    <s v="0"/>
    <s v="20"/>
    <n v="4.8"/>
    <s v="FALSE"/>
    <n v="0.74"/>
  </r>
  <r>
    <s v="FL250385"/>
    <x v="383"/>
    <x v="0"/>
    <s v="39"/>
    <x v="19"/>
    <x v="6"/>
    <s v="Blockchain Development"/>
    <s v="21"/>
    <s v="30"/>
    <n v="4.7"/>
    <s v="TRUE"/>
    <n v="0.61"/>
  </r>
  <r>
    <s v="FL250386"/>
    <x v="384"/>
    <x v="1"/>
    <s v="59"/>
    <x v="16"/>
    <x v="13"/>
    <s v="Blockchain Development"/>
    <s v="25"/>
    <s v="20"/>
    <n v="4"/>
    <s v="FALSE"/>
    <n v="0.9"/>
  </r>
  <r>
    <s v="FL250387"/>
    <x v="385"/>
    <x v="1"/>
    <s v="21"/>
    <x v="3"/>
    <x v="3"/>
    <s v="DevOps"/>
    <s v="0"/>
    <s v="40"/>
    <n v="4.0999999999999996"/>
    <s v="TRUE"/>
    <n v="0.97"/>
  </r>
  <r>
    <s v="FL250388"/>
    <x v="386"/>
    <x v="0"/>
    <s v="23"/>
    <x v="14"/>
    <x v="1"/>
    <s v="DevOps"/>
    <s v="5"/>
    <s v="100"/>
    <n v="3.2"/>
    <s v="TRUE"/>
    <n v="0.75"/>
  </r>
  <r>
    <s v="FL250389"/>
    <x v="387"/>
    <x v="1"/>
    <s v="27"/>
    <x v="16"/>
    <x v="13"/>
    <s v="Web Development"/>
    <s v="1"/>
    <s v="20"/>
    <n v="4.3"/>
    <s v="FALSE"/>
    <n v="0.76"/>
  </r>
  <r>
    <s v="FL250390"/>
    <x v="388"/>
    <x v="1"/>
    <s v="27"/>
    <x v="18"/>
    <x v="15"/>
    <s v="Cybersecurity"/>
    <s v="4"/>
    <s v="40"/>
    <n v="4.4000000000000004"/>
    <s v="FALSE"/>
    <n v="0.92"/>
  </r>
  <r>
    <s v="FL250391"/>
    <x v="389"/>
    <x v="0"/>
    <s v="48"/>
    <x v="17"/>
    <x v="14"/>
    <s v="Data Analysis"/>
    <s v="21"/>
    <s v="40"/>
    <n v="2.2999999999999998"/>
    <s v="FALSE"/>
    <n v="0.75"/>
  </r>
  <r>
    <s v="FL250392"/>
    <x v="390"/>
    <x v="1"/>
    <s v="21"/>
    <x v="17"/>
    <x v="14"/>
    <s v="AI"/>
    <s v="1"/>
    <s v="20"/>
    <n v="2.4"/>
    <s v="TRUE"/>
    <n v="0.66"/>
  </r>
  <r>
    <s v="FL250393"/>
    <x v="391"/>
    <x v="1"/>
    <s v="37"/>
    <x v="0"/>
    <x v="0"/>
    <s v="DevOps"/>
    <s v="Unknown"/>
    <s v="50"/>
    <n v="4.5999999999999996"/>
    <s v="FALSE"/>
    <n v="0.83"/>
  </r>
  <r>
    <s v="FL250394"/>
    <x v="392"/>
    <x v="0"/>
    <s v="31"/>
    <x v="2"/>
    <x v="2"/>
    <s v="UI/UX Design"/>
    <s v="10"/>
    <s v="50"/>
    <n v="0"/>
    <s v="FALSE"/>
    <n v="0.75"/>
  </r>
  <r>
    <s v="FL250395"/>
    <x v="393"/>
    <x v="0"/>
    <s v="41"/>
    <x v="16"/>
    <x v="13"/>
    <s v="Blockchain Development"/>
    <s v="21"/>
    <s v="50"/>
    <n v="0"/>
    <s v="TRUE"/>
    <n v="0.75"/>
  </r>
  <r>
    <s v="FL250396"/>
    <x v="394"/>
    <x v="1"/>
    <s v="31"/>
    <x v="13"/>
    <x v="11"/>
    <s v="Cybersecurity"/>
    <s v="0"/>
    <s v="20"/>
    <n v="4.2"/>
    <s v="TRUE"/>
    <n v="0.82"/>
  </r>
  <r>
    <s v="FL250397"/>
    <x v="395"/>
    <x v="0"/>
    <s v="58"/>
    <x v="8"/>
    <x v="6"/>
    <s v="Data Analysis"/>
    <s v="0"/>
    <s v="50"/>
    <n v="2.2999999999999998"/>
    <s v="FALSE"/>
    <n v="0.77"/>
  </r>
  <r>
    <s v="FL250398"/>
    <x v="396"/>
    <x v="0"/>
    <s v="45"/>
    <x v="3"/>
    <x v="3"/>
    <s v="Data Analysis"/>
    <s v="17"/>
    <s v="50"/>
    <n v="4.7"/>
    <s v="TRUE"/>
    <n v="0.73"/>
  </r>
  <r>
    <s v="FL250399"/>
    <x v="397"/>
    <x v="1"/>
    <s v="51"/>
    <x v="12"/>
    <x v="10"/>
    <s v="Cybersecurity"/>
    <s v="5"/>
    <s v="50"/>
    <n v="3"/>
    <s v="TRUE"/>
    <n v="0.88"/>
  </r>
  <r>
    <s v="FL250400"/>
    <x v="398"/>
    <x v="1"/>
    <s v="54"/>
    <x v="5"/>
    <x v="1"/>
    <s v="UI/UX Design"/>
    <s v="3"/>
    <s v="30"/>
    <n v="2.4"/>
    <s v="FALSE"/>
    <n v="0.81"/>
  </r>
  <r>
    <s v="FL250401"/>
    <x v="399"/>
    <x v="1"/>
    <s v="22"/>
    <x v="13"/>
    <x v="11"/>
    <s v="Data Analysis"/>
    <s v="1"/>
    <s v="20"/>
    <n v="1.7"/>
    <s v="FALSE"/>
    <n v="0.78"/>
  </r>
  <r>
    <s v="FL250402"/>
    <x v="400"/>
    <x v="1"/>
    <s v="36"/>
    <x v="6"/>
    <x v="5"/>
    <s v="Cybersecurity"/>
    <s v="2"/>
    <s v="75"/>
    <n v="0"/>
    <s v="TRUE"/>
    <n v="0.92"/>
  </r>
  <r>
    <s v="FL250403"/>
    <x v="401"/>
    <x v="1"/>
    <s v="50"/>
    <x v="2"/>
    <x v="2"/>
    <s v="DevOps"/>
    <s v="32"/>
    <s v="30"/>
    <n v="2.6"/>
    <s v="FALSE"/>
    <n v="0.64"/>
  </r>
  <r>
    <s v="FL250404"/>
    <x v="402"/>
    <x v="0"/>
    <s v="41"/>
    <x v="1"/>
    <x v="1"/>
    <s v="Blockchain Development"/>
    <s v="14"/>
    <s v="30"/>
    <n v="0"/>
    <s v="TRUE"/>
    <n v="0.78"/>
  </r>
  <r>
    <s v="FL250405"/>
    <x v="403"/>
    <x v="1"/>
    <s v="Unknown"/>
    <x v="17"/>
    <x v="14"/>
    <s v="Web Development"/>
    <s v="10"/>
    <s v="20"/>
    <n v="1.8"/>
    <s v="TRUE"/>
    <n v="0.85"/>
  </r>
  <r>
    <s v="FL250406"/>
    <x v="404"/>
    <x v="0"/>
    <s v="51"/>
    <x v="3"/>
    <x v="3"/>
    <s v="Cybersecurity"/>
    <s v="27"/>
    <s v="50"/>
    <n v="0"/>
    <s v="FALSE"/>
    <n v="0.78"/>
  </r>
  <r>
    <s v="FL250407"/>
    <x v="405"/>
    <x v="1"/>
    <s v="21"/>
    <x v="15"/>
    <x v="12"/>
    <s v="AI"/>
    <s v="2"/>
    <s v="30"/>
    <n v="3.8"/>
    <s v="TRUE"/>
    <n v="0.98"/>
  </r>
  <r>
    <s v="FL250408"/>
    <x v="406"/>
    <x v="1"/>
    <s v="51"/>
    <x v="9"/>
    <x v="7"/>
    <s v="AI"/>
    <s v="33"/>
    <s v="40"/>
    <n v="0"/>
    <s v="TRUE"/>
    <n v="0.63"/>
  </r>
  <r>
    <s v="FL250409"/>
    <x v="407"/>
    <x v="0"/>
    <s v="37"/>
    <x v="4"/>
    <x v="4"/>
    <s v="Graphic Design"/>
    <s v="11"/>
    <s v="40"/>
    <n v="3.6"/>
    <s v="FALSE"/>
    <n v="0.73"/>
  </r>
  <r>
    <s v="FL250410"/>
    <x v="408"/>
    <x v="0"/>
    <s v="20"/>
    <x v="20"/>
    <x v="6"/>
    <s v="Graphic Design"/>
    <s v="2"/>
    <s v="30"/>
    <n v="0"/>
    <s v="FALSE"/>
    <n v="0.94"/>
  </r>
  <r>
    <s v="FL250411"/>
    <x v="409"/>
    <x v="0"/>
    <s v="50"/>
    <x v="1"/>
    <x v="1"/>
    <s v="Web Development"/>
    <s v="31"/>
    <s v="50"/>
    <n v="4.0999999999999996"/>
    <s v="TRUE"/>
    <n v="0.81"/>
  </r>
  <r>
    <s v="FL250412"/>
    <x v="410"/>
    <x v="0"/>
    <s v="58"/>
    <x v="6"/>
    <x v="5"/>
    <s v="Graphic Design"/>
    <s v="17"/>
    <s v="50"/>
    <n v="2.6"/>
    <s v="TRUE"/>
    <n v="0.61"/>
  </r>
  <r>
    <s v="FL250413"/>
    <x v="411"/>
    <x v="0"/>
    <s v="40"/>
    <x v="11"/>
    <x v="9"/>
    <s v="UI/UX Design"/>
    <s v="2"/>
    <s v="100"/>
    <n v="0"/>
    <s v="FALSE"/>
    <n v="0.75"/>
  </r>
  <r>
    <s v="FL250414"/>
    <x v="412"/>
    <x v="0"/>
    <s v="26"/>
    <x v="16"/>
    <x v="13"/>
    <s v="Web Development"/>
    <s v="2"/>
    <s v="20"/>
    <n v="1.3"/>
    <s v="FALSE"/>
    <n v="0.83"/>
  </r>
  <r>
    <s v="FL250415"/>
    <x v="413"/>
    <x v="0"/>
    <s v="44"/>
    <x v="12"/>
    <x v="10"/>
    <s v="Cybersecurity"/>
    <s v="22"/>
    <s v="30"/>
    <n v="4.0999999999999996"/>
    <s v="TRUE"/>
    <n v="0.75"/>
  </r>
  <r>
    <s v="FL250416"/>
    <x v="414"/>
    <x v="1"/>
    <s v="42"/>
    <x v="19"/>
    <x v="6"/>
    <s v="Machine Learning"/>
    <s v="8"/>
    <s v="50"/>
    <n v="2.4"/>
    <s v="FALSE"/>
    <n v="0.68"/>
  </r>
  <r>
    <s v="FL250417"/>
    <x v="125"/>
    <x v="1"/>
    <s v="38"/>
    <x v="19"/>
    <x v="6"/>
    <s v="Data Analysis"/>
    <s v="9"/>
    <s v="50"/>
    <n v="0"/>
    <s v="FALSE"/>
    <n v="0.74"/>
  </r>
  <r>
    <s v="FL250418"/>
    <x v="415"/>
    <x v="1"/>
    <s v="51"/>
    <x v="16"/>
    <x v="13"/>
    <s v="Web Development"/>
    <s v="32"/>
    <s v="100"/>
    <n v="4.4000000000000004"/>
    <s v="TRUE"/>
    <n v="0.91"/>
  </r>
  <r>
    <s v="FL250419"/>
    <x v="416"/>
    <x v="0"/>
    <s v="36"/>
    <x v="15"/>
    <x v="12"/>
    <s v="AI"/>
    <s v="8"/>
    <s v="100"/>
    <n v="2.2000000000000002"/>
    <s v="TRUE"/>
    <n v="0.97"/>
  </r>
  <r>
    <s v="FL250420"/>
    <x v="417"/>
    <x v="0"/>
    <s v="37"/>
    <x v="1"/>
    <x v="1"/>
    <s v="Mobile Apps"/>
    <s v="10"/>
    <s v="30"/>
    <n v="0"/>
    <s v="FALSE"/>
    <n v="0.96"/>
  </r>
  <r>
    <s v="FL250421"/>
    <x v="418"/>
    <x v="1"/>
    <s v="31"/>
    <x v="17"/>
    <x v="14"/>
    <s v="DevOps"/>
    <s v="0"/>
    <s v="50"/>
    <n v="1.1000000000000001"/>
    <s v="TRUE"/>
    <n v="0.73"/>
  </r>
  <r>
    <s v="FL250422"/>
    <x v="419"/>
    <x v="0"/>
    <s v="47"/>
    <x v="10"/>
    <x v="8"/>
    <s v="Cybersecurity"/>
    <s v="22"/>
    <s v="50"/>
    <n v="1.4"/>
    <s v="TRUE"/>
    <n v="0.72"/>
  </r>
  <r>
    <s v="FL250423"/>
    <x v="420"/>
    <x v="0"/>
    <s v="60"/>
    <x v="19"/>
    <x v="6"/>
    <s v="UI/UX Design"/>
    <s v="34"/>
    <s v="100"/>
    <n v="0"/>
    <s v="TRUE"/>
    <n v="0.74"/>
  </r>
  <r>
    <s v="FL250424"/>
    <x v="421"/>
    <x v="0"/>
    <s v="48"/>
    <x v="8"/>
    <x v="6"/>
    <s v="Mobile Apps"/>
    <s v="5"/>
    <s v="30"/>
    <n v="1.5"/>
    <s v="FALSE"/>
    <n v="0.75"/>
  </r>
  <r>
    <s v="FL250425"/>
    <x v="422"/>
    <x v="0"/>
    <s v="24"/>
    <x v="10"/>
    <x v="8"/>
    <s v="AI"/>
    <s v="3"/>
    <s v="20"/>
    <n v="0"/>
    <s v="TRUE"/>
    <n v="0.75"/>
  </r>
  <r>
    <s v="FL250426"/>
    <x v="423"/>
    <x v="0"/>
    <s v="35"/>
    <x v="3"/>
    <x v="3"/>
    <s v="Machine Learning"/>
    <s v="10"/>
    <s v="75"/>
    <n v="0"/>
    <s v="TRUE"/>
    <n v="0.74"/>
  </r>
  <r>
    <s v="FL250427"/>
    <x v="424"/>
    <x v="1"/>
    <s v="35"/>
    <x v="5"/>
    <x v="1"/>
    <s v="DevOps"/>
    <s v="Unknown"/>
    <s v="100"/>
    <n v="3.5"/>
    <s v="TRUE"/>
    <n v="0.71"/>
  </r>
  <r>
    <s v="FL250428"/>
    <x v="425"/>
    <x v="0"/>
    <s v="29"/>
    <x v="3"/>
    <x v="3"/>
    <s v="UI/UX Design"/>
    <s v="6"/>
    <s v="50"/>
    <n v="4.8"/>
    <s v="FALSE"/>
    <n v="0.83"/>
  </r>
  <r>
    <s v="FL250429"/>
    <x v="426"/>
    <x v="0"/>
    <s v="36"/>
    <x v="0"/>
    <x v="0"/>
    <s v="Machine Learning"/>
    <s v="1"/>
    <s v="75"/>
    <n v="2.6"/>
    <s v="TRUE"/>
    <n v="0.63"/>
  </r>
  <r>
    <s v="FL250430"/>
    <x v="427"/>
    <x v="0"/>
    <s v="44"/>
    <x v="14"/>
    <x v="1"/>
    <s v="AI"/>
    <s v="0"/>
    <s v="50"/>
    <n v="4.8"/>
    <s v="TRUE"/>
    <n v="0.84"/>
  </r>
  <r>
    <s v="FL250431"/>
    <x v="428"/>
    <x v="1"/>
    <s v="44"/>
    <x v="17"/>
    <x v="14"/>
    <s v="Web Development"/>
    <s v="Unknown"/>
    <s v="50"/>
    <n v="1.4"/>
    <s v="FALSE"/>
    <n v="0.93"/>
  </r>
  <r>
    <s v="FL250432"/>
    <x v="429"/>
    <x v="1"/>
    <s v="40"/>
    <x v="10"/>
    <x v="8"/>
    <s v="AI"/>
    <s v="13"/>
    <s v="100"/>
    <n v="1.1000000000000001"/>
    <s v="TRUE"/>
    <n v="0.75"/>
  </r>
  <r>
    <s v="FL250433"/>
    <x v="430"/>
    <x v="0"/>
    <s v="53"/>
    <x v="3"/>
    <x v="3"/>
    <s v="Machine Learning"/>
    <s v="13"/>
    <s v="50"/>
    <n v="3.3"/>
    <s v="TRUE"/>
    <n v="0.93"/>
  </r>
  <r>
    <s v="FL250434"/>
    <x v="431"/>
    <x v="0"/>
    <s v="35"/>
    <x v="2"/>
    <x v="2"/>
    <s v="Blockchain Development"/>
    <s v="0"/>
    <s v="30"/>
    <n v="4.5999999999999996"/>
    <s v="TRUE"/>
    <n v="0.97"/>
  </r>
  <r>
    <s v="FL250435"/>
    <x v="432"/>
    <x v="0"/>
    <s v="27"/>
    <x v="8"/>
    <x v="6"/>
    <s v="Machine Learning"/>
    <s v="7"/>
    <s v="75"/>
    <n v="2.8"/>
    <s v="TRUE"/>
    <n v="0.92"/>
  </r>
  <r>
    <s v="FL250436"/>
    <x v="433"/>
    <x v="1"/>
    <s v="34"/>
    <x v="1"/>
    <x v="1"/>
    <s v="DevOps"/>
    <s v="6"/>
    <s v="50"/>
    <n v="5"/>
    <s v="TRUE"/>
    <n v="0.92"/>
  </r>
  <r>
    <s v="FL250437"/>
    <x v="434"/>
    <x v="1"/>
    <s v="24"/>
    <x v="10"/>
    <x v="8"/>
    <s v="Cybersecurity"/>
    <s v="2"/>
    <s v="75"/>
    <n v="4.7"/>
    <s v="FALSE"/>
    <n v="0.68"/>
  </r>
  <r>
    <s v="FL250438"/>
    <x v="435"/>
    <x v="1"/>
    <s v="57"/>
    <x v="5"/>
    <x v="1"/>
    <s v="UI/UX Design"/>
    <s v="13"/>
    <s v="100"/>
    <n v="3.5"/>
    <s v="FALSE"/>
    <n v="0.95"/>
  </r>
  <r>
    <s v="FL250439"/>
    <x v="436"/>
    <x v="1"/>
    <s v="28"/>
    <x v="12"/>
    <x v="10"/>
    <s v="UI/UX Design"/>
    <s v="7"/>
    <s v="100"/>
    <n v="4.3"/>
    <s v="TRUE"/>
    <n v="0.76"/>
  </r>
  <r>
    <s v="FL250440"/>
    <x v="437"/>
    <x v="0"/>
    <s v="26"/>
    <x v="0"/>
    <x v="0"/>
    <s v="DevOps"/>
    <s v="7"/>
    <s v="100"/>
    <n v="3.3"/>
    <s v="TRUE"/>
    <n v="0.66"/>
  </r>
  <r>
    <s v="FL250441"/>
    <x v="438"/>
    <x v="1"/>
    <s v="34"/>
    <x v="8"/>
    <x v="6"/>
    <s v="Mobile Apps"/>
    <s v="15"/>
    <s v="75"/>
    <n v="2.6"/>
    <s v="FALSE"/>
    <n v="0.73"/>
  </r>
  <r>
    <s v="FL250442"/>
    <x v="439"/>
    <x v="1"/>
    <s v="43"/>
    <x v="9"/>
    <x v="7"/>
    <s v="AI"/>
    <s v="Unknown"/>
    <s v="20"/>
    <n v="2.8"/>
    <s v="TRUE"/>
    <n v="0.99"/>
  </r>
  <r>
    <s v="FL250443"/>
    <x v="440"/>
    <x v="1"/>
    <s v="31"/>
    <x v="18"/>
    <x v="15"/>
    <s v="Graphic Design"/>
    <s v="5"/>
    <s v="50"/>
    <n v="2.7"/>
    <s v="TRUE"/>
    <n v="0.94"/>
  </r>
  <r>
    <s v="FL250444"/>
    <x v="441"/>
    <x v="0"/>
    <s v="34"/>
    <x v="18"/>
    <x v="15"/>
    <s v="Blockchain Development"/>
    <s v="Unknown"/>
    <s v="50"/>
    <n v="0"/>
    <s v="TRUE"/>
    <n v="0.84"/>
  </r>
  <r>
    <s v="FL250445"/>
    <x v="442"/>
    <x v="0"/>
    <s v="32"/>
    <x v="13"/>
    <x v="11"/>
    <s v="Cybersecurity"/>
    <s v="10"/>
    <s v="20"/>
    <n v="2.6"/>
    <s v="TRUE"/>
    <n v="0.92"/>
  </r>
  <r>
    <s v="FL250446"/>
    <x v="443"/>
    <x v="1"/>
    <s v="24"/>
    <x v="16"/>
    <x v="13"/>
    <s v="DevOps"/>
    <s v="6"/>
    <s v="75"/>
    <n v="4.3"/>
    <s v="TRUE"/>
    <n v="0.75"/>
  </r>
  <r>
    <s v="FL250447"/>
    <x v="444"/>
    <x v="1"/>
    <s v="35"/>
    <x v="7"/>
    <x v="1"/>
    <s v="AI"/>
    <s v="8"/>
    <s v="50"/>
    <n v="2.6"/>
    <s v="FALSE"/>
    <n v="0.9"/>
  </r>
  <r>
    <s v="FL250448"/>
    <x v="445"/>
    <x v="0"/>
    <s v="22"/>
    <x v="1"/>
    <x v="1"/>
    <s v="Mobile Apps"/>
    <s v="4"/>
    <s v="20"/>
    <n v="2.6"/>
    <s v="FALSE"/>
    <n v="0.73"/>
  </r>
  <r>
    <s v="FL250449"/>
    <x v="446"/>
    <x v="0"/>
    <s v="55"/>
    <x v="16"/>
    <x v="13"/>
    <s v="AI"/>
    <s v="3"/>
    <s v="100"/>
    <n v="2.6"/>
    <s v="TRUE"/>
    <n v="0.73"/>
  </r>
  <r>
    <s v="FL250450"/>
    <x v="447"/>
    <x v="0"/>
    <s v="54"/>
    <x v="8"/>
    <x v="6"/>
    <s v="Machine Learning"/>
    <s v="Unknown"/>
    <s v="30"/>
    <n v="2.9"/>
    <s v="TRUE"/>
    <n v="0.78"/>
  </r>
  <r>
    <s v="FL250451"/>
    <x v="448"/>
    <x v="0"/>
    <s v="36"/>
    <x v="3"/>
    <x v="3"/>
    <s v="Cybersecurity"/>
    <s v="11"/>
    <s v="30"/>
    <n v="0"/>
    <s v="TRUE"/>
    <n v="0.63"/>
  </r>
  <r>
    <s v="FL250452"/>
    <x v="449"/>
    <x v="0"/>
    <s v="36"/>
    <x v="3"/>
    <x v="3"/>
    <s v="AI"/>
    <s v="17"/>
    <s v="50"/>
    <n v="1.3"/>
    <s v="TRUE"/>
    <n v="0.64"/>
  </r>
  <r>
    <s v="FL250453"/>
    <x v="450"/>
    <x v="0"/>
    <s v="25"/>
    <x v="8"/>
    <x v="6"/>
    <s v="Web Development"/>
    <s v="1"/>
    <s v="75"/>
    <n v="0"/>
    <s v="TRUE"/>
    <n v="0.75"/>
  </r>
  <r>
    <s v="FL250454"/>
    <x v="451"/>
    <x v="1"/>
    <s v="46"/>
    <x v="4"/>
    <x v="4"/>
    <s v="AI"/>
    <s v="16"/>
    <s v="20"/>
    <n v="4.8"/>
    <s v="TRUE"/>
    <n v="0.86"/>
  </r>
  <r>
    <s v="FL250455"/>
    <x v="452"/>
    <x v="1"/>
    <s v="41"/>
    <x v="8"/>
    <x v="6"/>
    <s v="Machine Learning"/>
    <s v="11"/>
    <s v="40"/>
    <n v="2.4"/>
    <s v="TRUE"/>
    <n v="0.75"/>
  </r>
  <r>
    <s v="FL250456"/>
    <x v="453"/>
    <x v="0"/>
    <s v="21"/>
    <x v="13"/>
    <x v="11"/>
    <s v="Mobile Apps"/>
    <s v="3"/>
    <s v="100"/>
    <n v="4.7"/>
    <s v="FALSE"/>
    <n v="0.96"/>
  </r>
  <r>
    <s v="FL250457"/>
    <x v="454"/>
    <x v="1"/>
    <s v="29"/>
    <x v="5"/>
    <x v="1"/>
    <s v="Graphic Design"/>
    <s v="Unknown"/>
    <s v="75"/>
    <n v="2"/>
    <s v="FALSE"/>
    <n v="0.75"/>
  </r>
  <r>
    <s v="FL250458"/>
    <x v="455"/>
    <x v="0"/>
    <s v="44"/>
    <x v="5"/>
    <x v="1"/>
    <s v="Mobile Apps"/>
    <s v="3"/>
    <s v="50"/>
    <n v="2.2000000000000002"/>
    <s v="FALSE"/>
    <n v="0.77"/>
  </r>
  <r>
    <s v="FL250459"/>
    <x v="456"/>
    <x v="1"/>
    <s v="40"/>
    <x v="14"/>
    <x v="1"/>
    <s v="Machine Learning"/>
    <s v="1"/>
    <s v="100"/>
    <n v="2.1"/>
    <s v="TRUE"/>
    <n v="0.75"/>
  </r>
  <r>
    <s v="FL250460"/>
    <x v="457"/>
    <x v="0"/>
    <s v="27"/>
    <x v="16"/>
    <x v="13"/>
    <s v="Data Analysis"/>
    <s v="1"/>
    <s v="30"/>
    <n v="1.7"/>
    <s v="TRUE"/>
    <n v="0.65"/>
  </r>
  <r>
    <s v="FL250461"/>
    <x v="458"/>
    <x v="1"/>
    <s v="53"/>
    <x v="15"/>
    <x v="12"/>
    <s v="Mobile Apps"/>
    <s v="35"/>
    <s v="50"/>
    <n v="5"/>
    <s v="TRUE"/>
    <n v="0.62"/>
  </r>
  <r>
    <s v="FL250462"/>
    <x v="459"/>
    <x v="1"/>
    <s v="20"/>
    <x v="6"/>
    <x v="5"/>
    <s v="Data Analysis"/>
    <s v="1"/>
    <s v="50"/>
    <n v="2.9"/>
    <s v="FALSE"/>
    <n v="0.81"/>
  </r>
  <r>
    <s v="FL250463"/>
    <x v="460"/>
    <x v="0"/>
    <s v="Unknown"/>
    <x v="9"/>
    <x v="7"/>
    <s v="DevOps"/>
    <s v="12"/>
    <s v="50"/>
    <n v="4.0999999999999996"/>
    <s v="TRUE"/>
    <n v="0.62"/>
  </r>
  <r>
    <s v="FL250464"/>
    <x v="461"/>
    <x v="1"/>
    <s v="26"/>
    <x v="19"/>
    <x v="6"/>
    <s v="Web Development"/>
    <s v="8"/>
    <s v="40"/>
    <n v="4.9000000000000004"/>
    <s v="FALSE"/>
    <n v="0.87"/>
  </r>
  <r>
    <s v="FL250465"/>
    <x v="462"/>
    <x v="0"/>
    <s v="49"/>
    <x v="11"/>
    <x v="9"/>
    <s v="Machine Learning"/>
    <s v="13"/>
    <s v="100"/>
    <n v="2.5"/>
    <s v="TRUE"/>
    <n v="0.75"/>
  </r>
  <r>
    <s v="FL250466"/>
    <x v="463"/>
    <x v="0"/>
    <s v="20"/>
    <x v="16"/>
    <x v="13"/>
    <s v="Data Analysis"/>
    <s v="0"/>
    <s v="30"/>
    <n v="0"/>
    <s v="TRUE"/>
    <n v="0.76"/>
  </r>
  <r>
    <s v="FL250467"/>
    <x v="464"/>
    <x v="0"/>
    <s v="39"/>
    <x v="18"/>
    <x v="15"/>
    <s v="Blockchain Development"/>
    <s v="11"/>
    <s v="100"/>
    <n v="2.8"/>
    <s v="TRUE"/>
    <n v="0.7"/>
  </r>
  <r>
    <s v="FL250468"/>
    <x v="465"/>
    <x v="0"/>
    <s v="41"/>
    <x v="18"/>
    <x v="15"/>
    <s v="Machine Learning"/>
    <s v="19"/>
    <s v="100"/>
    <n v="3.8"/>
    <s v="TRUE"/>
    <n v="0.71"/>
  </r>
  <r>
    <s v="FL250469"/>
    <x v="466"/>
    <x v="1"/>
    <s v="59"/>
    <x v="14"/>
    <x v="1"/>
    <s v="Mobile Apps"/>
    <s v="30"/>
    <s v="30"/>
    <n v="4.3"/>
    <s v="TRUE"/>
    <n v="0.83"/>
  </r>
  <r>
    <s v="FL250470"/>
    <x v="467"/>
    <x v="0"/>
    <s v="45"/>
    <x v="1"/>
    <x v="1"/>
    <s v="Blockchain Development"/>
    <s v="8"/>
    <s v="40"/>
    <n v="0"/>
    <s v="FALSE"/>
    <n v="0.78"/>
  </r>
  <r>
    <s v="FL250471"/>
    <x v="468"/>
    <x v="1"/>
    <s v="22"/>
    <x v="4"/>
    <x v="4"/>
    <s v="Cybersecurity"/>
    <s v="0"/>
    <s v="40"/>
    <n v="1.3"/>
    <s v="TRUE"/>
    <n v="0.78"/>
  </r>
  <r>
    <s v="FL250472"/>
    <x v="469"/>
    <x v="0"/>
    <s v="48"/>
    <x v="10"/>
    <x v="8"/>
    <s v="Mobile Apps"/>
    <s v="7"/>
    <s v="50"/>
    <n v="4.7"/>
    <s v="TRUE"/>
    <n v="0.6"/>
  </r>
  <r>
    <s v="FL250473"/>
    <x v="470"/>
    <x v="1"/>
    <s v="36"/>
    <x v="15"/>
    <x v="12"/>
    <s v="Blockchain Development"/>
    <s v="11"/>
    <s v="40"/>
    <n v="1.3"/>
    <s v="TRUE"/>
    <n v="0.75"/>
  </r>
  <r>
    <s v="FL250474"/>
    <x v="471"/>
    <x v="0"/>
    <s v="57"/>
    <x v="18"/>
    <x v="15"/>
    <s v="Blockchain Development"/>
    <s v="Unknown"/>
    <s v="75"/>
    <n v="4.8"/>
    <s v="TRUE"/>
    <n v="0.75"/>
  </r>
  <r>
    <s v="FL250475"/>
    <x v="472"/>
    <x v="1"/>
    <s v="42"/>
    <x v="5"/>
    <x v="1"/>
    <s v="UI/UX Design"/>
    <s v="14"/>
    <s v="30"/>
    <n v="1.3"/>
    <s v="FALSE"/>
    <n v="0.94"/>
  </r>
  <r>
    <s v="FL250476"/>
    <x v="473"/>
    <x v="1"/>
    <s v="31"/>
    <x v="4"/>
    <x v="4"/>
    <s v="Cybersecurity"/>
    <s v="11"/>
    <s v="50"/>
    <n v="4.3"/>
    <s v="FALSE"/>
    <n v="0.62"/>
  </r>
  <r>
    <s v="FL250477"/>
    <x v="474"/>
    <x v="1"/>
    <s v="52"/>
    <x v="20"/>
    <x v="6"/>
    <s v="Cybersecurity"/>
    <s v="31"/>
    <s v="30"/>
    <n v="2.6"/>
    <s v="TRUE"/>
    <n v="0.75"/>
  </r>
  <r>
    <s v="FL250478"/>
    <x v="475"/>
    <x v="1"/>
    <s v="56"/>
    <x v="3"/>
    <x v="3"/>
    <s v="DevOps"/>
    <s v="16"/>
    <s v="30"/>
    <n v="0"/>
    <s v="TRUE"/>
    <n v="0.75"/>
  </r>
  <r>
    <s v="FL250479"/>
    <x v="476"/>
    <x v="0"/>
    <s v="24"/>
    <x v="3"/>
    <x v="3"/>
    <s v="DevOps"/>
    <s v="6"/>
    <s v="30"/>
    <n v="0"/>
    <s v="TRUE"/>
    <n v="0.84"/>
  </r>
  <r>
    <s v="FL250480"/>
    <x v="477"/>
    <x v="1"/>
    <s v="48"/>
    <x v="14"/>
    <x v="1"/>
    <s v="DevOps"/>
    <s v="21"/>
    <s v="75"/>
    <n v="2.7"/>
    <s v="TRUE"/>
    <n v="0.75"/>
  </r>
  <r>
    <s v="FL250481"/>
    <x v="478"/>
    <x v="1"/>
    <s v="59"/>
    <x v="15"/>
    <x v="12"/>
    <s v="Cybersecurity"/>
    <s v="13"/>
    <s v="40"/>
    <n v="2.4"/>
    <s v="FALSE"/>
    <n v="0.65"/>
  </r>
  <r>
    <s v="FL250482"/>
    <x v="479"/>
    <x v="1"/>
    <s v="Unknown"/>
    <x v="7"/>
    <x v="1"/>
    <s v="Web Development"/>
    <s v="Unknown"/>
    <s v="40"/>
    <n v="1.9"/>
    <s v="TRUE"/>
    <n v="0.94"/>
  </r>
  <r>
    <s v="FL250483"/>
    <x v="480"/>
    <x v="0"/>
    <s v="Unknown"/>
    <x v="3"/>
    <x v="3"/>
    <s v="Mobile Apps"/>
    <s v="11"/>
    <s v="20"/>
    <n v="3.6"/>
    <s v="FALSE"/>
    <n v="0.69"/>
  </r>
  <r>
    <s v="FL250484"/>
    <x v="481"/>
    <x v="1"/>
    <s v="25"/>
    <x v="3"/>
    <x v="3"/>
    <s v="Mobile Apps"/>
    <s v="0"/>
    <s v="50"/>
    <n v="2.9"/>
    <s v="TRUE"/>
    <n v="0.65"/>
  </r>
  <r>
    <s v="FL250485"/>
    <x v="482"/>
    <x v="1"/>
    <s v="31"/>
    <x v="16"/>
    <x v="13"/>
    <s v="Mobile Apps"/>
    <s v="2"/>
    <s v="75"/>
    <n v="2.8"/>
    <s v="TRUE"/>
    <n v="0.6"/>
  </r>
  <r>
    <s v="FL250486"/>
    <x v="483"/>
    <x v="1"/>
    <s v="40"/>
    <x v="6"/>
    <x v="5"/>
    <s v="DevOps"/>
    <s v="12"/>
    <s v="75"/>
    <n v="2.6"/>
    <s v="TRUE"/>
    <n v="0.75"/>
  </r>
  <r>
    <s v="FL250487"/>
    <x v="294"/>
    <x v="0"/>
    <s v="48"/>
    <x v="13"/>
    <x v="11"/>
    <s v="Blockchain Development"/>
    <s v="13"/>
    <s v="100"/>
    <n v="2.7"/>
    <s v="TRUE"/>
    <n v="0.62"/>
  </r>
  <r>
    <s v="FL250488"/>
    <x v="484"/>
    <x v="0"/>
    <s v="24"/>
    <x v="17"/>
    <x v="14"/>
    <s v="Mobile Apps"/>
    <s v="6"/>
    <s v="30"/>
    <n v="1.1000000000000001"/>
    <s v="TRUE"/>
    <n v="0.75"/>
  </r>
  <r>
    <s v="FL250489"/>
    <x v="485"/>
    <x v="1"/>
    <s v="33"/>
    <x v="4"/>
    <x v="4"/>
    <s v="Web Development"/>
    <s v="10"/>
    <s v="30"/>
    <n v="0"/>
    <s v="TRUE"/>
    <n v="0.89"/>
  </r>
  <r>
    <s v="FL250490"/>
    <x v="486"/>
    <x v="0"/>
    <s v="43"/>
    <x v="11"/>
    <x v="9"/>
    <s v="UI/UX Design"/>
    <s v="2"/>
    <s v="40"/>
    <n v="0"/>
    <s v="TRUE"/>
    <n v="0.89"/>
  </r>
  <r>
    <s v="FL250491"/>
    <x v="487"/>
    <x v="1"/>
    <s v="43"/>
    <x v="20"/>
    <x v="6"/>
    <s v="Blockchain Development"/>
    <s v="4"/>
    <s v="50"/>
    <n v="0"/>
    <s v="TRUE"/>
    <n v="1"/>
  </r>
  <r>
    <s v="FL250492"/>
    <x v="488"/>
    <x v="0"/>
    <s v="33"/>
    <x v="1"/>
    <x v="1"/>
    <s v="Web Development"/>
    <s v="11"/>
    <s v="50"/>
    <n v="4.5999999999999996"/>
    <s v="TRUE"/>
    <n v="0.75"/>
  </r>
  <r>
    <s v="FL250493"/>
    <x v="489"/>
    <x v="0"/>
    <s v="49"/>
    <x v="13"/>
    <x v="11"/>
    <s v="UI/UX Design"/>
    <s v="14"/>
    <s v="40"/>
    <n v="1.5"/>
    <s v="TRUE"/>
    <n v="0.6"/>
  </r>
  <r>
    <s v="FL250494"/>
    <x v="490"/>
    <x v="1"/>
    <s v="55"/>
    <x v="14"/>
    <x v="1"/>
    <s v="UI/UX Design"/>
    <s v="10"/>
    <s v="40"/>
    <n v="2"/>
    <s v="FALSE"/>
    <n v="0.85"/>
  </r>
  <r>
    <s v="FL250495"/>
    <x v="491"/>
    <x v="0"/>
    <s v="33"/>
    <x v="12"/>
    <x v="10"/>
    <s v="Graphic Design"/>
    <s v="3"/>
    <s v="40"/>
    <n v="1.6"/>
    <s v="TRUE"/>
    <n v="0.83"/>
  </r>
  <r>
    <s v="FL250496"/>
    <x v="492"/>
    <x v="1"/>
    <s v="32"/>
    <x v="8"/>
    <x v="6"/>
    <s v="AI"/>
    <s v="3"/>
    <s v="30"/>
    <n v="1.5"/>
    <s v="FALSE"/>
    <n v="0.96"/>
  </r>
  <r>
    <s v="FL250497"/>
    <x v="493"/>
    <x v="1"/>
    <s v="58"/>
    <x v="3"/>
    <x v="3"/>
    <s v="Blockchain Development"/>
    <s v="33"/>
    <s v="50"/>
    <n v="4.0999999999999996"/>
    <s v="TRUE"/>
    <n v="0.83"/>
  </r>
  <r>
    <s v="FL250498"/>
    <x v="494"/>
    <x v="1"/>
    <s v="49"/>
    <x v="4"/>
    <x v="4"/>
    <s v="Data Analysis"/>
    <s v="24"/>
    <s v="100"/>
    <n v="4.7"/>
    <s v="FALSE"/>
    <n v="0.6"/>
  </r>
  <r>
    <s v="FL250499"/>
    <x v="495"/>
    <x v="0"/>
    <s v="22"/>
    <x v="13"/>
    <x v="11"/>
    <s v="UI/UX Design"/>
    <s v="3"/>
    <s v="100"/>
    <n v="3.6"/>
    <s v="TRUE"/>
    <n v="0.78"/>
  </r>
  <r>
    <s v="FL250500"/>
    <x v="496"/>
    <x v="0"/>
    <s v="40"/>
    <x v="16"/>
    <x v="13"/>
    <s v="Web Development"/>
    <s v="11"/>
    <s v="20"/>
    <n v="1.8"/>
    <s v="TRUE"/>
    <n v="0.9"/>
  </r>
  <r>
    <s v="FL250501"/>
    <x v="497"/>
    <x v="1"/>
    <s v="55"/>
    <x v="1"/>
    <x v="1"/>
    <s v="Data Analysis"/>
    <s v="7"/>
    <s v="100"/>
    <n v="2.1"/>
    <s v="FALSE"/>
    <n v="0.66"/>
  </r>
  <r>
    <s v="FL250502"/>
    <x v="498"/>
    <x v="1"/>
    <s v="32"/>
    <x v="19"/>
    <x v="6"/>
    <s v="DevOps"/>
    <s v="1"/>
    <s v="50"/>
    <n v="2.6"/>
    <s v="TRUE"/>
    <n v="0.7"/>
  </r>
  <r>
    <s v="FL250503"/>
    <x v="499"/>
    <x v="0"/>
    <s v="21"/>
    <x v="9"/>
    <x v="7"/>
    <s v="UI/UX Design"/>
    <s v="0"/>
    <s v="30"/>
    <n v="4.2"/>
    <s v="TRUE"/>
    <n v="0.79"/>
  </r>
  <r>
    <s v="FL250504"/>
    <x v="500"/>
    <x v="1"/>
    <s v="23"/>
    <x v="12"/>
    <x v="10"/>
    <s v="Blockchain Development"/>
    <s v="1"/>
    <s v="40"/>
    <n v="0"/>
    <s v="FALSE"/>
    <n v="0.64"/>
  </r>
  <r>
    <s v="FL250505"/>
    <x v="501"/>
    <x v="1"/>
    <s v="21"/>
    <x v="7"/>
    <x v="1"/>
    <s v="Mobile Apps"/>
    <s v="1"/>
    <s v="30"/>
    <n v="1"/>
    <s v="FALSE"/>
    <n v="0.81"/>
  </r>
  <r>
    <s v="FL250506"/>
    <x v="502"/>
    <x v="1"/>
    <s v="31"/>
    <x v="8"/>
    <x v="6"/>
    <s v="AI"/>
    <s v="7"/>
    <s v="75"/>
    <n v="4.4000000000000004"/>
    <s v="FALSE"/>
    <n v="0.83"/>
  </r>
  <r>
    <s v="FL250507"/>
    <x v="503"/>
    <x v="1"/>
    <s v="21"/>
    <x v="19"/>
    <x v="6"/>
    <s v="Blockchain Development"/>
    <s v="Unknown"/>
    <s v="40"/>
    <n v="4"/>
    <s v="FALSE"/>
    <n v="0.91"/>
  </r>
  <r>
    <s v="FL250508"/>
    <x v="504"/>
    <x v="1"/>
    <s v="33"/>
    <x v="7"/>
    <x v="1"/>
    <s v="Cybersecurity"/>
    <s v="6"/>
    <s v="50"/>
    <n v="3.1"/>
    <s v="FALSE"/>
    <n v="0.75"/>
  </r>
  <r>
    <s v="FL250509"/>
    <x v="505"/>
    <x v="1"/>
    <s v="57"/>
    <x v="11"/>
    <x v="9"/>
    <s v="Web Development"/>
    <s v="5"/>
    <s v="75"/>
    <n v="1.1000000000000001"/>
    <s v="TRUE"/>
    <n v="0.77"/>
  </r>
  <r>
    <s v="FL250510"/>
    <x v="506"/>
    <x v="1"/>
    <s v="52"/>
    <x v="5"/>
    <x v="1"/>
    <s v="DevOps"/>
    <s v="17"/>
    <s v="75"/>
    <n v="0"/>
    <s v="FALSE"/>
    <n v="0.94"/>
  </r>
  <r>
    <s v="FL250511"/>
    <x v="507"/>
    <x v="0"/>
    <s v="21"/>
    <x v="2"/>
    <x v="2"/>
    <s v="Web Development"/>
    <s v="0"/>
    <s v="20"/>
    <n v="3.8"/>
    <s v="TRUE"/>
    <n v="0.61"/>
  </r>
  <r>
    <s v="FL250512"/>
    <x v="508"/>
    <x v="0"/>
    <s v="36"/>
    <x v="8"/>
    <x v="6"/>
    <s v="UI/UX Design"/>
    <s v="8"/>
    <s v="100"/>
    <n v="1.7"/>
    <s v="FALSE"/>
    <n v="0.68"/>
  </r>
  <r>
    <s v="FL250513"/>
    <x v="509"/>
    <x v="1"/>
    <s v="33"/>
    <x v="20"/>
    <x v="6"/>
    <s v="Machine Learning"/>
    <s v="13"/>
    <s v="50"/>
    <n v="2.2000000000000002"/>
    <s v="FALSE"/>
    <n v="0.7"/>
  </r>
  <r>
    <s v="FL250514"/>
    <x v="510"/>
    <x v="0"/>
    <s v="54"/>
    <x v="7"/>
    <x v="1"/>
    <s v="Data Analysis"/>
    <s v="15"/>
    <s v="40"/>
    <n v="4.0999999999999996"/>
    <s v="TRUE"/>
    <n v="0.71"/>
  </r>
  <r>
    <s v="FL250515"/>
    <x v="511"/>
    <x v="0"/>
    <s v="33"/>
    <x v="5"/>
    <x v="1"/>
    <s v="Blockchain Development"/>
    <s v="2"/>
    <s v="100"/>
    <n v="3.8"/>
    <s v="TRUE"/>
    <n v="0.75"/>
  </r>
  <r>
    <s v="FL250516"/>
    <x v="512"/>
    <x v="0"/>
    <s v="36"/>
    <x v="9"/>
    <x v="7"/>
    <s v="Machine Learning"/>
    <s v="9"/>
    <s v="30"/>
    <n v="0"/>
    <s v="TRUE"/>
    <n v="0.78"/>
  </r>
  <r>
    <s v="FL250517"/>
    <x v="513"/>
    <x v="0"/>
    <s v="36"/>
    <x v="6"/>
    <x v="5"/>
    <s v="AI"/>
    <s v="3"/>
    <s v="50"/>
    <n v="0"/>
    <s v="FALSE"/>
    <n v="0.75"/>
  </r>
  <r>
    <s v="FL250518"/>
    <x v="514"/>
    <x v="0"/>
    <s v="43"/>
    <x v="18"/>
    <x v="15"/>
    <s v="AI"/>
    <s v="15"/>
    <s v="20"/>
    <n v="4.2"/>
    <s v="TRUE"/>
    <n v="0.91"/>
  </r>
  <r>
    <s v="FL250519"/>
    <x v="515"/>
    <x v="1"/>
    <s v="52"/>
    <x v="7"/>
    <x v="1"/>
    <s v="Data Analysis"/>
    <s v="21"/>
    <s v="75"/>
    <n v="2.2000000000000002"/>
    <s v="TRUE"/>
    <n v="0.66"/>
  </r>
  <r>
    <s v="FL250520"/>
    <x v="516"/>
    <x v="0"/>
    <s v="28"/>
    <x v="4"/>
    <x v="4"/>
    <s v="Cybersecurity"/>
    <s v="2"/>
    <s v="75"/>
    <n v="1.5"/>
    <s v="TRUE"/>
    <n v="0.68"/>
  </r>
  <r>
    <s v="FL250521"/>
    <x v="517"/>
    <x v="0"/>
    <s v="47"/>
    <x v="18"/>
    <x v="15"/>
    <s v="Cybersecurity"/>
    <s v="21"/>
    <s v="100"/>
    <n v="0"/>
    <s v="FALSE"/>
    <n v="0.75"/>
  </r>
  <r>
    <s v="FL250522"/>
    <x v="518"/>
    <x v="0"/>
    <s v="30"/>
    <x v="15"/>
    <x v="12"/>
    <s v="DevOps"/>
    <s v="0"/>
    <s v="100"/>
    <n v="4.0999999999999996"/>
    <s v="FALSE"/>
    <n v="0.62"/>
  </r>
  <r>
    <s v="FL250523"/>
    <x v="519"/>
    <x v="1"/>
    <s v="36"/>
    <x v="16"/>
    <x v="13"/>
    <s v="Blockchain Development"/>
    <s v="4"/>
    <s v="40"/>
    <n v="2.6"/>
    <s v="FALSE"/>
    <n v="0.9"/>
  </r>
  <r>
    <s v="FL250524"/>
    <x v="520"/>
    <x v="0"/>
    <s v="45"/>
    <x v="5"/>
    <x v="1"/>
    <s v="UI/UX Design"/>
    <s v="23"/>
    <s v="100"/>
    <n v="2.4"/>
    <s v="TRUE"/>
    <n v="0.96"/>
  </r>
  <r>
    <s v="FL250525"/>
    <x v="521"/>
    <x v="0"/>
    <s v="51"/>
    <x v="5"/>
    <x v="1"/>
    <s v="Blockchain Development"/>
    <s v="25"/>
    <s v="50"/>
    <n v="1.4"/>
    <s v="TRUE"/>
    <n v="0.6"/>
  </r>
  <r>
    <s v="FL250526"/>
    <x v="522"/>
    <x v="1"/>
    <s v="46"/>
    <x v="6"/>
    <x v="5"/>
    <s v="Mobile Apps"/>
    <s v="10"/>
    <s v="50"/>
    <n v="4.5999999999999996"/>
    <s v="TRUE"/>
    <n v="0.62"/>
  </r>
  <r>
    <s v="FL250527"/>
    <x v="523"/>
    <x v="0"/>
    <s v="38"/>
    <x v="0"/>
    <x v="0"/>
    <s v="Data Analysis"/>
    <s v="18"/>
    <s v="40"/>
    <n v="4.9000000000000004"/>
    <s v="TRUE"/>
    <n v="0.74"/>
  </r>
  <r>
    <s v="FL250528"/>
    <x v="524"/>
    <x v="1"/>
    <s v="26"/>
    <x v="20"/>
    <x v="6"/>
    <s v="Blockchain Development"/>
    <s v="1"/>
    <s v="20"/>
    <n v="0"/>
    <s v="TRUE"/>
    <n v="0.75"/>
  </r>
  <r>
    <s v="FL250529"/>
    <x v="525"/>
    <x v="0"/>
    <s v="40"/>
    <x v="7"/>
    <x v="1"/>
    <s v="DevOps"/>
    <s v="12"/>
    <s v="30"/>
    <n v="3.5"/>
    <s v="TRUE"/>
    <n v="0.98"/>
  </r>
  <r>
    <s v="FL250530"/>
    <x v="526"/>
    <x v="1"/>
    <s v="37"/>
    <x v="2"/>
    <x v="2"/>
    <s v="Machine Learning"/>
    <s v="Unknown"/>
    <s v="50"/>
    <n v="1.7"/>
    <s v="TRUE"/>
    <n v="0.63"/>
  </r>
  <r>
    <s v="FL250531"/>
    <x v="527"/>
    <x v="1"/>
    <s v="28"/>
    <x v="14"/>
    <x v="1"/>
    <s v="Blockchain Development"/>
    <s v="5"/>
    <s v="50"/>
    <n v="0"/>
    <s v="TRUE"/>
    <n v="0.96"/>
  </r>
  <r>
    <s v="FL250532"/>
    <x v="528"/>
    <x v="0"/>
    <s v="48"/>
    <x v="10"/>
    <x v="8"/>
    <s v="Mobile Apps"/>
    <s v="28"/>
    <s v="20"/>
    <n v="0"/>
    <s v="FALSE"/>
    <n v="0.88"/>
  </r>
  <r>
    <s v="FL250533"/>
    <x v="529"/>
    <x v="1"/>
    <s v="22"/>
    <x v="10"/>
    <x v="8"/>
    <s v="AI"/>
    <s v="0"/>
    <s v="50"/>
    <n v="4.5999999999999996"/>
    <s v="TRUE"/>
    <n v="0.75"/>
  </r>
  <r>
    <s v="FL250534"/>
    <x v="530"/>
    <x v="0"/>
    <s v="41"/>
    <x v="2"/>
    <x v="2"/>
    <s v="Web Development"/>
    <s v="14"/>
    <s v="40"/>
    <n v="1.1000000000000001"/>
    <s v="TRUE"/>
    <n v="0.73"/>
  </r>
  <r>
    <s v="FL250535"/>
    <x v="531"/>
    <x v="1"/>
    <s v="38"/>
    <x v="5"/>
    <x v="1"/>
    <s v="Graphic Design"/>
    <s v="15"/>
    <s v="50"/>
    <n v="4.2"/>
    <s v="FALSE"/>
    <n v="0.88"/>
  </r>
  <r>
    <s v="FL250536"/>
    <x v="532"/>
    <x v="0"/>
    <s v="31"/>
    <x v="17"/>
    <x v="14"/>
    <s v="UI/UX Design"/>
    <s v="9"/>
    <s v="50"/>
    <n v="0"/>
    <s v="TRUE"/>
    <n v="0.91"/>
  </r>
  <r>
    <s v="FL250537"/>
    <x v="533"/>
    <x v="0"/>
    <s v="30"/>
    <x v="18"/>
    <x v="15"/>
    <s v="Mobile Apps"/>
    <s v="9"/>
    <s v="30"/>
    <n v="3.9"/>
    <s v="FALSE"/>
    <n v="0.65"/>
  </r>
  <r>
    <s v="FL250538"/>
    <x v="534"/>
    <x v="1"/>
    <s v="51"/>
    <x v="19"/>
    <x v="6"/>
    <s v="UI/UX Design"/>
    <s v="22"/>
    <s v="20"/>
    <n v="3.4"/>
    <s v="TRUE"/>
    <n v="0.9"/>
  </r>
  <r>
    <s v="FL250539"/>
    <x v="535"/>
    <x v="0"/>
    <s v="21"/>
    <x v="2"/>
    <x v="2"/>
    <s v="DevOps"/>
    <s v="0"/>
    <s v="20"/>
    <n v="2.6"/>
    <s v="FALSE"/>
    <n v="0.72"/>
  </r>
  <r>
    <s v="FL250540"/>
    <x v="536"/>
    <x v="0"/>
    <s v="20"/>
    <x v="0"/>
    <x v="0"/>
    <s v="DevOps"/>
    <s v="1"/>
    <s v="40"/>
    <n v="2.2999999999999998"/>
    <s v="TRUE"/>
    <n v="0.72"/>
  </r>
  <r>
    <s v="FL250541"/>
    <x v="537"/>
    <x v="1"/>
    <s v="30"/>
    <x v="9"/>
    <x v="7"/>
    <s v="Blockchain Development"/>
    <s v="5"/>
    <s v="30"/>
    <n v="4.8"/>
    <s v="FALSE"/>
    <n v="0.75"/>
  </r>
  <r>
    <s v="FL250542"/>
    <x v="538"/>
    <x v="1"/>
    <s v="41"/>
    <x v="18"/>
    <x v="15"/>
    <s v="Data Analysis"/>
    <s v="0"/>
    <s v="40"/>
    <n v="4.5"/>
    <s v="FALSE"/>
    <n v="0.68"/>
  </r>
  <r>
    <s v="FL250543"/>
    <x v="539"/>
    <x v="1"/>
    <s v="22"/>
    <x v="20"/>
    <x v="6"/>
    <s v="Blockchain Development"/>
    <s v="0"/>
    <s v="30"/>
    <n v="0"/>
    <s v="FALSE"/>
    <n v="0.87"/>
  </r>
  <r>
    <s v="FL250544"/>
    <x v="540"/>
    <x v="1"/>
    <s v="45"/>
    <x v="19"/>
    <x v="6"/>
    <s v="Cybersecurity"/>
    <s v="19"/>
    <s v="75"/>
    <n v="0"/>
    <s v="FALSE"/>
    <n v="0.72"/>
  </r>
  <r>
    <s v="FL250545"/>
    <x v="541"/>
    <x v="0"/>
    <s v="22"/>
    <x v="1"/>
    <x v="1"/>
    <s v="Data Analysis"/>
    <s v="2"/>
    <s v="40"/>
    <n v="1.1000000000000001"/>
    <s v="FALSE"/>
    <n v="0.76"/>
  </r>
  <r>
    <s v="FL250546"/>
    <x v="542"/>
    <x v="0"/>
    <s v="20"/>
    <x v="6"/>
    <x v="5"/>
    <s v="Mobile Apps"/>
    <s v="0"/>
    <s v="100"/>
    <n v="0"/>
    <s v="FALSE"/>
    <n v="0.63"/>
  </r>
  <r>
    <s v="FL250547"/>
    <x v="543"/>
    <x v="0"/>
    <s v="20"/>
    <x v="14"/>
    <x v="1"/>
    <s v="Data Analysis"/>
    <s v="2"/>
    <s v="40"/>
    <n v="2.6"/>
    <s v="TRUE"/>
    <n v="0.91"/>
  </r>
  <r>
    <s v="FL250548"/>
    <x v="544"/>
    <x v="1"/>
    <s v="21"/>
    <x v="7"/>
    <x v="1"/>
    <s v="AI"/>
    <s v="0"/>
    <s v="100"/>
    <n v="2.6"/>
    <s v="FALSE"/>
    <n v="0.73"/>
  </r>
  <r>
    <s v="FL250549"/>
    <x v="545"/>
    <x v="1"/>
    <s v="22"/>
    <x v="3"/>
    <x v="3"/>
    <s v="Cybersecurity"/>
    <s v="1"/>
    <s v="40"/>
    <n v="0"/>
    <s v="FALSE"/>
    <n v="0.63"/>
  </r>
  <r>
    <s v="FL250550"/>
    <x v="546"/>
    <x v="0"/>
    <s v="28"/>
    <x v="7"/>
    <x v="1"/>
    <s v="DevOps"/>
    <s v="3"/>
    <s v="20"/>
    <n v="2.6"/>
    <s v="TRUE"/>
    <n v="0.79"/>
  </r>
  <r>
    <s v="FL250551"/>
    <x v="547"/>
    <x v="0"/>
    <s v="59"/>
    <x v="8"/>
    <x v="6"/>
    <s v="AI"/>
    <s v="Unknown"/>
    <s v="20"/>
    <n v="4.0999999999999996"/>
    <s v="FALSE"/>
    <n v="0.75"/>
  </r>
  <r>
    <s v="FL250552"/>
    <x v="548"/>
    <x v="0"/>
    <s v="28"/>
    <x v="15"/>
    <x v="12"/>
    <s v="Web Development"/>
    <s v="1"/>
    <s v="50"/>
    <n v="0"/>
    <s v="FALSE"/>
    <n v="0.7"/>
  </r>
  <r>
    <s v="FL250553"/>
    <x v="549"/>
    <x v="0"/>
    <s v="40"/>
    <x v="1"/>
    <x v="1"/>
    <s v="DevOps"/>
    <s v="0"/>
    <s v="100"/>
    <n v="1.2"/>
    <s v="TRUE"/>
    <n v="0.87"/>
  </r>
  <r>
    <s v="FL250554"/>
    <x v="550"/>
    <x v="1"/>
    <s v="57"/>
    <x v="0"/>
    <x v="0"/>
    <s v="Blockchain Development"/>
    <s v="7"/>
    <s v="30"/>
    <n v="1.6"/>
    <s v="FALSE"/>
    <n v="0.75"/>
  </r>
  <r>
    <s v="FL250555"/>
    <x v="551"/>
    <x v="1"/>
    <s v="47"/>
    <x v="6"/>
    <x v="5"/>
    <s v="DevOps"/>
    <s v="1"/>
    <s v="50"/>
    <n v="3.9"/>
    <s v="TRUE"/>
    <n v="0.88"/>
  </r>
  <r>
    <s v="FL250556"/>
    <x v="552"/>
    <x v="1"/>
    <s v="48"/>
    <x v="12"/>
    <x v="10"/>
    <s v="Cybersecurity"/>
    <s v="21"/>
    <s v="40"/>
    <n v="0"/>
    <s v="TRUE"/>
    <n v="0.75"/>
  </r>
  <r>
    <s v="FL250557"/>
    <x v="553"/>
    <x v="1"/>
    <s v="28"/>
    <x v="5"/>
    <x v="1"/>
    <s v="UI/UX Design"/>
    <s v="1"/>
    <s v="20"/>
    <n v="4.7"/>
    <s v="TRUE"/>
    <n v="0.93"/>
  </r>
  <r>
    <s v="FL250558"/>
    <x v="554"/>
    <x v="1"/>
    <s v="41"/>
    <x v="6"/>
    <x v="5"/>
    <s v="Graphic Design"/>
    <s v="15"/>
    <s v="50"/>
    <n v="3.8"/>
    <s v="TRUE"/>
    <n v="0.75"/>
  </r>
  <r>
    <s v="FL250559"/>
    <x v="555"/>
    <x v="0"/>
    <s v="57"/>
    <x v="17"/>
    <x v="14"/>
    <s v="Cybersecurity"/>
    <s v="33"/>
    <s v="100"/>
    <n v="3.5"/>
    <s v="FALSE"/>
    <n v="0.74"/>
  </r>
  <r>
    <s v="FL250560"/>
    <x v="556"/>
    <x v="1"/>
    <s v="60"/>
    <x v="8"/>
    <x v="6"/>
    <s v="Graphic Design"/>
    <s v="39"/>
    <s v="75"/>
    <n v="4"/>
    <s v="TRUE"/>
    <n v="0.7"/>
  </r>
  <r>
    <s v="FL250561"/>
    <x v="557"/>
    <x v="0"/>
    <s v="48"/>
    <x v="16"/>
    <x v="13"/>
    <s v="Graphic Design"/>
    <s v="21"/>
    <s v="30"/>
    <n v="1.6"/>
    <s v="TRUE"/>
    <n v="0.67"/>
  </r>
  <r>
    <s v="FL250562"/>
    <x v="558"/>
    <x v="0"/>
    <s v="24"/>
    <x v="15"/>
    <x v="12"/>
    <s v="Cybersecurity"/>
    <s v="5"/>
    <s v="40"/>
    <n v="3"/>
    <s v="FALSE"/>
    <n v="0.86"/>
  </r>
  <r>
    <s v="FL250563"/>
    <x v="559"/>
    <x v="0"/>
    <s v="33"/>
    <x v="19"/>
    <x v="6"/>
    <s v="DevOps"/>
    <s v="11"/>
    <s v="50"/>
    <n v="5"/>
    <s v="TRUE"/>
    <n v="0.69"/>
  </r>
  <r>
    <s v="FL250564"/>
    <x v="560"/>
    <x v="0"/>
    <s v="20"/>
    <x v="6"/>
    <x v="5"/>
    <s v="Graphic Design"/>
    <s v="0"/>
    <s v="30"/>
    <n v="4.8"/>
    <s v="TRUE"/>
    <n v="0.68"/>
  </r>
  <r>
    <s v="FL250565"/>
    <x v="561"/>
    <x v="1"/>
    <s v="59"/>
    <x v="7"/>
    <x v="1"/>
    <s v="DevOps"/>
    <s v="15"/>
    <s v="50"/>
    <n v="2.6"/>
    <s v="FALSE"/>
    <n v="0.75"/>
  </r>
  <r>
    <s v="FL250566"/>
    <x v="562"/>
    <x v="0"/>
    <s v="42"/>
    <x v="18"/>
    <x v="15"/>
    <s v="DevOps"/>
    <s v="22"/>
    <s v="50"/>
    <n v="2.9"/>
    <s v="FALSE"/>
    <n v="0.61"/>
  </r>
  <r>
    <s v="FL250567"/>
    <x v="563"/>
    <x v="0"/>
    <s v="22"/>
    <x v="6"/>
    <x v="5"/>
    <s v="UI/UX Design"/>
    <s v="3"/>
    <s v="50"/>
    <n v="3"/>
    <s v="TRUE"/>
    <n v="0.96"/>
  </r>
  <r>
    <s v="FL250568"/>
    <x v="564"/>
    <x v="1"/>
    <s v="41"/>
    <x v="14"/>
    <x v="1"/>
    <s v="Cybersecurity"/>
    <s v="11"/>
    <s v="50"/>
    <n v="3.5"/>
    <s v="TRUE"/>
    <n v="0.68"/>
  </r>
  <r>
    <s v="FL250569"/>
    <x v="565"/>
    <x v="0"/>
    <s v="25"/>
    <x v="8"/>
    <x v="6"/>
    <s v="Web Development"/>
    <s v="5"/>
    <s v="40"/>
    <n v="2.6"/>
    <s v="TRUE"/>
    <n v="0.75"/>
  </r>
  <r>
    <s v="FL250570"/>
    <x v="566"/>
    <x v="0"/>
    <s v="38"/>
    <x v="14"/>
    <x v="1"/>
    <s v="UI/UX Design"/>
    <s v="3"/>
    <s v="40"/>
    <n v="4.7"/>
    <s v="FALSE"/>
    <n v="0.69"/>
  </r>
  <r>
    <s v="FL250571"/>
    <x v="567"/>
    <x v="0"/>
    <s v="43"/>
    <x v="5"/>
    <x v="1"/>
    <s v="DevOps"/>
    <s v="1"/>
    <s v="50"/>
    <n v="2.9"/>
    <s v="FALSE"/>
    <n v="0.78"/>
  </r>
  <r>
    <s v="FL250572"/>
    <x v="568"/>
    <x v="0"/>
    <s v="54"/>
    <x v="19"/>
    <x v="6"/>
    <s v="AI"/>
    <s v="1"/>
    <s v="75"/>
    <n v="4.4000000000000004"/>
    <s v="TRUE"/>
    <n v="0.75"/>
  </r>
  <r>
    <s v="FL250573"/>
    <x v="569"/>
    <x v="0"/>
    <s v="31"/>
    <x v="4"/>
    <x v="4"/>
    <s v="Mobile Apps"/>
    <s v="2"/>
    <s v="40"/>
    <n v="2.2999999999999998"/>
    <s v="FALSE"/>
    <n v="0.98"/>
  </r>
  <r>
    <s v="FL250574"/>
    <x v="570"/>
    <x v="0"/>
    <s v="56"/>
    <x v="19"/>
    <x v="6"/>
    <s v="AI"/>
    <s v="3"/>
    <s v="30"/>
    <n v="3.7"/>
    <s v="TRUE"/>
    <n v="0.83"/>
  </r>
  <r>
    <s v="FL250575"/>
    <x v="571"/>
    <x v="1"/>
    <s v="46"/>
    <x v="19"/>
    <x v="6"/>
    <s v="Graphic Design"/>
    <s v="11"/>
    <s v="50"/>
    <n v="1.8"/>
    <s v="TRUE"/>
    <n v="0.91"/>
  </r>
  <r>
    <s v="FL250576"/>
    <x v="572"/>
    <x v="1"/>
    <s v="60"/>
    <x v="16"/>
    <x v="13"/>
    <s v="AI"/>
    <s v="Unknown"/>
    <s v="100"/>
    <n v="0"/>
    <s v="TRUE"/>
    <n v="0.96"/>
  </r>
  <r>
    <s v="FL250577"/>
    <x v="573"/>
    <x v="0"/>
    <s v="28"/>
    <x v="12"/>
    <x v="10"/>
    <s v="Graphic Design"/>
    <s v="2"/>
    <s v="50"/>
    <n v="2.6"/>
    <s v="TRUE"/>
    <n v="0.85"/>
  </r>
  <r>
    <s v="FL250578"/>
    <x v="574"/>
    <x v="0"/>
    <s v="43"/>
    <x v="4"/>
    <x v="4"/>
    <s v="Web Development"/>
    <s v="20"/>
    <s v="30"/>
    <n v="2.7"/>
    <s v="TRUE"/>
    <n v="0.72"/>
  </r>
  <r>
    <s v="FL250579"/>
    <x v="575"/>
    <x v="1"/>
    <s v="41"/>
    <x v="15"/>
    <x v="12"/>
    <s v="Web Development"/>
    <s v="11"/>
    <s v="20"/>
    <n v="4.7"/>
    <s v="TRUE"/>
    <n v="0.69"/>
  </r>
  <r>
    <s v="FL250580"/>
    <x v="576"/>
    <x v="1"/>
    <s v="41"/>
    <x v="7"/>
    <x v="1"/>
    <s v="DevOps"/>
    <s v="0"/>
    <s v="20"/>
    <n v="3.1"/>
    <s v="FALSE"/>
    <n v="0.9"/>
  </r>
  <r>
    <s v="FL250581"/>
    <x v="577"/>
    <x v="0"/>
    <s v="40"/>
    <x v="7"/>
    <x v="1"/>
    <s v="Mobile Apps"/>
    <s v="20"/>
    <s v="20"/>
    <n v="2.2999999999999998"/>
    <s v="FALSE"/>
    <n v="0.92"/>
  </r>
  <r>
    <s v="FL250582"/>
    <x v="578"/>
    <x v="1"/>
    <s v="45"/>
    <x v="2"/>
    <x v="2"/>
    <s v="DevOps"/>
    <s v="3"/>
    <s v="20"/>
    <n v="1.3"/>
    <s v="TRUE"/>
    <n v="0.91"/>
  </r>
  <r>
    <s v="FL250583"/>
    <x v="579"/>
    <x v="1"/>
    <s v="47"/>
    <x v="16"/>
    <x v="13"/>
    <s v="DevOps"/>
    <s v="28"/>
    <s v="50"/>
    <n v="2.9"/>
    <s v="TRUE"/>
    <n v="0.75"/>
  </r>
  <r>
    <s v="FL250584"/>
    <x v="580"/>
    <x v="1"/>
    <s v="34"/>
    <x v="10"/>
    <x v="8"/>
    <s v="Data Analysis"/>
    <s v="0"/>
    <s v="40"/>
    <n v="3.3"/>
    <s v="FALSE"/>
    <n v="0.98"/>
  </r>
  <r>
    <s v="FL250585"/>
    <x v="581"/>
    <x v="1"/>
    <s v="47"/>
    <x v="5"/>
    <x v="1"/>
    <s v="UI/UX Design"/>
    <s v="4"/>
    <s v="20"/>
    <n v="4.2"/>
    <s v="TRUE"/>
    <n v="0.82"/>
  </r>
  <r>
    <s v="FL250586"/>
    <x v="582"/>
    <x v="1"/>
    <s v="32"/>
    <x v="19"/>
    <x v="6"/>
    <s v="UI/UX Design"/>
    <s v="9"/>
    <s v="40"/>
    <n v="1.3"/>
    <s v="TRUE"/>
    <n v="0.83"/>
  </r>
  <r>
    <s v="FL250587"/>
    <x v="583"/>
    <x v="1"/>
    <s v="28"/>
    <x v="7"/>
    <x v="1"/>
    <s v="Mobile Apps"/>
    <s v="2"/>
    <s v="100"/>
    <n v="4.4000000000000004"/>
    <s v="TRUE"/>
    <n v="0.75"/>
  </r>
  <r>
    <s v="FL250588"/>
    <x v="584"/>
    <x v="1"/>
    <s v="32"/>
    <x v="1"/>
    <x v="1"/>
    <s v="DevOps"/>
    <s v="1"/>
    <s v="100"/>
    <n v="3.4"/>
    <s v="TRUE"/>
    <n v="0.75"/>
  </r>
  <r>
    <s v="FL250589"/>
    <x v="585"/>
    <x v="0"/>
    <s v="49"/>
    <x v="3"/>
    <x v="3"/>
    <s v="AI"/>
    <s v="2"/>
    <s v="100"/>
    <n v="3.4"/>
    <s v="TRUE"/>
    <n v="0.85"/>
  </r>
  <r>
    <s v="FL250590"/>
    <x v="586"/>
    <x v="0"/>
    <s v="36"/>
    <x v="8"/>
    <x v="6"/>
    <s v="Mobile Apps"/>
    <s v="16"/>
    <s v="20"/>
    <n v="3.2"/>
    <s v="TRUE"/>
    <n v="0.75"/>
  </r>
  <r>
    <s v="FL250591"/>
    <x v="587"/>
    <x v="1"/>
    <s v="59"/>
    <x v="19"/>
    <x v="6"/>
    <s v="Blockchain Development"/>
    <s v="22"/>
    <s v="20"/>
    <n v="3.6"/>
    <s v="FALSE"/>
    <n v="0.63"/>
  </r>
  <r>
    <s v="FL250592"/>
    <x v="588"/>
    <x v="0"/>
    <s v="52"/>
    <x v="14"/>
    <x v="1"/>
    <s v="Cybersecurity"/>
    <s v="22"/>
    <s v="20"/>
    <n v="0"/>
    <s v="FALSE"/>
    <n v="0.75"/>
  </r>
  <r>
    <s v="FL250593"/>
    <x v="589"/>
    <x v="0"/>
    <s v="24"/>
    <x v="18"/>
    <x v="15"/>
    <s v="Blockchain Development"/>
    <s v="5"/>
    <s v="40"/>
    <n v="1.8"/>
    <s v="TRUE"/>
    <n v="0.86"/>
  </r>
  <r>
    <s v="FL250594"/>
    <x v="590"/>
    <x v="0"/>
    <s v="26"/>
    <x v="1"/>
    <x v="1"/>
    <s v="Graphic Design"/>
    <s v="2"/>
    <s v="75"/>
    <n v="2.5"/>
    <s v="TRUE"/>
    <n v="0.6"/>
  </r>
  <r>
    <s v="FL250595"/>
    <x v="591"/>
    <x v="1"/>
    <s v="55"/>
    <x v="14"/>
    <x v="1"/>
    <s v="Cybersecurity"/>
    <s v="24"/>
    <s v="40"/>
    <n v="2"/>
    <s v="TRUE"/>
    <n v="0.88"/>
  </r>
  <r>
    <s v="FL250596"/>
    <x v="592"/>
    <x v="0"/>
    <s v="56"/>
    <x v="0"/>
    <x v="0"/>
    <s v="Mobile Apps"/>
    <s v="37"/>
    <s v="40"/>
    <n v="0"/>
    <s v="FALSE"/>
    <n v="0.7"/>
  </r>
  <r>
    <s v="FL250597"/>
    <x v="593"/>
    <x v="1"/>
    <s v="36"/>
    <x v="15"/>
    <x v="12"/>
    <s v="Graphic Design"/>
    <s v="3"/>
    <s v="50"/>
    <n v="1.3"/>
    <s v="TRUE"/>
    <n v="0.77"/>
  </r>
  <r>
    <s v="FL250598"/>
    <x v="594"/>
    <x v="1"/>
    <s v="48"/>
    <x v="8"/>
    <x v="6"/>
    <s v="Web Development"/>
    <s v="18"/>
    <s v="75"/>
    <n v="0"/>
    <s v="FALSE"/>
    <n v="0.8"/>
  </r>
  <r>
    <s v="FL250599"/>
    <x v="595"/>
    <x v="1"/>
    <s v="55"/>
    <x v="16"/>
    <x v="13"/>
    <s v="Machine Learning"/>
    <s v="6"/>
    <s v="40"/>
    <n v="3.6"/>
    <s v="TRUE"/>
    <n v="0.75"/>
  </r>
  <r>
    <s v="FL250600"/>
    <x v="596"/>
    <x v="0"/>
    <s v="56"/>
    <x v="20"/>
    <x v="6"/>
    <s v="DevOps"/>
    <s v="17"/>
    <s v="50"/>
    <n v="1.3"/>
    <s v="TRUE"/>
    <n v="0.87"/>
  </r>
  <r>
    <s v="FL250601"/>
    <x v="597"/>
    <x v="0"/>
    <s v="28"/>
    <x v="14"/>
    <x v="1"/>
    <s v="Blockchain Development"/>
    <s v="1"/>
    <s v="75"/>
    <n v="2.7"/>
    <s v="TRUE"/>
    <n v="0.93"/>
  </r>
  <r>
    <s v="FL250602"/>
    <x v="598"/>
    <x v="1"/>
    <s v="60"/>
    <x v="5"/>
    <x v="1"/>
    <s v="AI"/>
    <s v="39"/>
    <s v="100"/>
    <n v="1.5"/>
    <s v="TRUE"/>
    <n v="0.88"/>
  </r>
  <r>
    <s v="FL250603"/>
    <x v="599"/>
    <x v="1"/>
    <s v="34"/>
    <x v="12"/>
    <x v="10"/>
    <s v="Blockchain Development"/>
    <s v="15"/>
    <s v="20"/>
    <n v="0"/>
    <s v="FALSE"/>
    <n v="1"/>
  </r>
  <r>
    <s v="FL250604"/>
    <x v="600"/>
    <x v="0"/>
    <s v="38"/>
    <x v="4"/>
    <x v="4"/>
    <s v="AI"/>
    <s v="13"/>
    <s v="40"/>
    <n v="0"/>
    <s v="TRUE"/>
    <n v="0.61"/>
  </r>
  <r>
    <s v="FL250605"/>
    <x v="601"/>
    <x v="0"/>
    <s v="51"/>
    <x v="12"/>
    <x v="10"/>
    <s v="Web Development"/>
    <s v="17"/>
    <s v="100"/>
    <n v="3"/>
    <s v="TRUE"/>
    <n v="0.79"/>
  </r>
  <r>
    <s v="FL250606"/>
    <x v="602"/>
    <x v="0"/>
    <s v="21"/>
    <x v="9"/>
    <x v="7"/>
    <s v="Mobile Apps"/>
    <s v="1"/>
    <s v="30"/>
    <n v="1.2"/>
    <s v="TRUE"/>
    <n v="0.73"/>
  </r>
  <r>
    <s v="FL250607"/>
    <x v="603"/>
    <x v="1"/>
    <s v="35"/>
    <x v="0"/>
    <x v="0"/>
    <s v="UI/UX Design"/>
    <s v="16"/>
    <s v="50"/>
    <n v="1.3"/>
    <s v="TRUE"/>
    <n v="0.64"/>
  </r>
  <r>
    <s v="FL250608"/>
    <x v="604"/>
    <x v="1"/>
    <s v="27"/>
    <x v="11"/>
    <x v="9"/>
    <s v="Web Development"/>
    <s v="9"/>
    <s v="100"/>
    <n v="2.6"/>
    <s v="TRUE"/>
    <n v="0.75"/>
  </r>
  <r>
    <s v="FL250609"/>
    <x v="605"/>
    <x v="0"/>
    <s v="42"/>
    <x v="6"/>
    <x v="5"/>
    <s v="Mobile Apps"/>
    <s v="20"/>
    <s v="50"/>
    <n v="3.8"/>
    <s v="FALSE"/>
    <n v="0.93"/>
  </r>
  <r>
    <s v="FL250610"/>
    <x v="606"/>
    <x v="0"/>
    <s v="52"/>
    <x v="14"/>
    <x v="1"/>
    <s v="Blockchain Development"/>
    <s v="29"/>
    <s v="30"/>
    <n v="3.8"/>
    <s v="FALSE"/>
    <n v="0.68"/>
  </r>
  <r>
    <s v="FL250611"/>
    <x v="607"/>
    <x v="1"/>
    <s v="53"/>
    <x v="12"/>
    <x v="10"/>
    <s v="Web Development"/>
    <s v="21"/>
    <s v="40"/>
    <n v="4.7"/>
    <s v="TRUE"/>
    <n v="0.62"/>
  </r>
  <r>
    <s v="FL250612"/>
    <x v="608"/>
    <x v="0"/>
    <s v="54"/>
    <x v="0"/>
    <x v="0"/>
    <s v="Mobile Apps"/>
    <s v="28"/>
    <s v="40"/>
    <n v="1.1000000000000001"/>
    <s v="FALSE"/>
    <n v="0.75"/>
  </r>
  <r>
    <s v="FL250613"/>
    <x v="609"/>
    <x v="1"/>
    <s v="51"/>
    <x v="9"/>
    <x v="7"/>
    <s v="Graphic Design"/>
    <s v="5"/>
    <s v="50"/>
    <n v="4.2"/>
    <s v="TRUE"/>
    <n v="0.82"/>
  </r>
  <r>
    <s v="FL250614"/>
    <x v="610"/>
    <x v="0"/>
    <s v="30"/>
    <x v="12"/>
    <x v="10"/>
    <s v="Web Development"/>
    <s v="0"/>
    <s v="50"/>
    <n v="0"/>
    <s v="FALSE"/>
    <n v="0.75"/>
  </r>
  <r>
    <s v="FL250615"/>
    <x v="611"/>
    <x v="0"/>
    <s v="45"/>
    <x v="3"/>
    <x v="3"/>
    <s v="Machine Learning"/>
    <s v="27"/>
    <s v="75"/>
    <n v="0"/>
    <s v="TRUE"/>
    <n v="0.85"/>
  </r>
  <r>
    <s v="FL250616"/>
    <x v="612"/>
    <x v="1"/>
    <s v="57"/>
    <x v="4"/>
    <x v="4"/>
    <s v="Graphic Design"/>
    <s v="26"/>
    <s v="100"/>
    <n v="2.4"/>
    <s v="TRUE"/>
    <n v="0.78"/>
  </r>
  <r>
    <s v="FL250617"/>
    <x v="613"/>
    <x v="1"/>
    <s v="38"/>
    <x v="6"/>
    <x v="5"/>
    <s v="Blockchain Development"/>
    <s v="19"/>
    <s v="40"/>
    <n v="0"/>
    <s v="TRUE"/>
    <n v="0.86"/>
  </r>
  <r>
    <s v="FL250618"/>
    <x v="614"/>
    <x v="0"/>
    <s v="42"/>
    <x v="13"/>
    <x v="11"/>
    <s v="DevOps"/>
    <s v="24"/>
    <s v="40"/>
    <n v="2.6"/>
    <s v="TRUE"/>
    <n v="0.88"/>
  </r>
  <r>
    <s v="FL250619"/>
    <x v="615"/>
    <x v="0"/>
    <s v="30"/>
    <x v="17"/>
    <x v="14"/>
    <s v="DevOps"/>
    <s v="7"/>
    <s v="30"/>
    <n v="3.3"/>
    <s v="TRUE"/>
    <n v="0.68"/>
  </r>
  <r>
    <s v="FL250620"/>
    <x v="616"/>
    <x v="0"/>
    <s v="43"/>
    <x v="1"/>
    <x v="1"/>
    <s v="Web Development"/>
    <s v="13"/>
    <s v="100"/>
    <n v="1.4"/>
    <s v="TRUE"/>
    <n v="0.97"/>
  </r>
  <r>
    <s v="FL250621"/>
    <x v="617"/>
    <x v="1"/>
    <s v="22"/>
    <x v="16"/>
    <x v="13"/>
    <s v="UI/UX Design"/>
    <s v="2"/>
    <s v="75"/>
    <n v="1.7"/>
    <s v="FALSE"/>
    <n v="0.91"/>
  </r>
  <r>
    <s v="FL250622"/>
    <x v="618"/>
    <x v="1"/>
    <s v="57"/>
    <x v="19"/>
    <x v="6"/>
    <s v="Machine Learning"/>
    <s v="37"/>
    <s v="30"/>
    <n v="4.8"/>
    <s v="TRUE"/>
    <n v="0.75"/>
  </r>
  <r>
    <s v="FL250623"/>
    <x v="619"/>
    <x v="1"/>
    <s v="44"/>
    <x v="7"/>
    <x v="1"/>
    <s v="Graphic Design"/>
    <s v="1"/>
    <s v="50"/>
    <n v="4.8"/>
    <s v="FALSE"/>
    <n v="0.97"/>
  </r>
  <r>
    <s v="FL250624"/>
    <x v="620"/>
    <x v="0"/>
    <s v="46"/>
    <x v="18"/>
    <x v="15"/>
    <s v="DevOps"/>
    <s v="5"/>
    <s v="30"/>
    <n v="2"/>
    <s v="TRUE"/>
    <n v="0.64"/>
  </r>
  <r>
    <s v="FL250625"/>
    <x v="621"/>
    <x v="1"/>
    <s v="Unknown"/>
    <x v="20"/>
    <x v="6"/>
    <s v="Blockchain Development"/>
    <s v="1"/>
    <s v="50"/>
    <n v="2.8"/>
    <s v="FALSE"/>
    <n v="0.87"/>
  </r>
  <r>
    <s v="FL250626"/>
    <x v="622"/>
    <x v="0"/>
    <s v="34"/>
    <x v="1"/>
    <x v="1"/>
    <s v="Data Analysis"/>
    <s v="2"/>
    <s v="100"/>
    <n v="0"/>
    <s v="FALSE"/>
    <n v="0.86"/>
  </r>
  <r>
    <s v="FL250627"/>
    <x v="623"/>
    <x v="0"/>
    <s v="46"/>
    <x v="0"/>
    <x v="0"/>
    <s v="Mobile Apps"/>
    <s v="Unknown"/>
    <s v="100"/>
    <n v="4.4000000000000004"/>
    <s v="TRUE"/>
    <n v="0.97"/>
  </r>
  <r>
    <s v="FL250628"/>
    <x v="624"/>
    <x v="0"/>
    <s v="22"/>
    <x v="15"/>
    <x v="12"/>
    <s v="Blockchain Development"/>
    <s v="0"/>
    <s v="30"/>
    <n v="4.9000000000000004"/>
    <s v="TRUE"/>
    <n v="0.73"/>
  </r>
  <r>
    <s v="FL250629"/>
    <x v="625"/>
    <x v="0"/>
    <s v="23"/>
    <x v="17"/>
    <x v="14"/>
    <s v="AI"/>
    <s v="0"/>
    <s v="75"/>
    <n v="2.2999999999999998"/>
    <s v="TRUE"/>
    <n v="0.6"/>
  </r>
  <r>
    <s v="FL250630"/>
    <x v="626"/>
    <x v="0"/>
    <s v="60"/>
    <x v="6"/>
    <x v="5"/>
    <s v="Web Development"/>
    <s v="41"/>
    <s v="40"/>
    <n v="4.9000000000000004"/>
    <s v="TRUE"/>
    <n v="0.66"/>
  </r>
  <r>
    <s v="FL250631"/>
    <x v="627"/>
    <x v="1"/>
    <s v="20"/>
    <x v="14"/>
    <x v="1"/>
    <s v="DevOps"/>
    <s v="Unknown"/>
    <s v="75"/>
    <n v="4.3"/>
    <s v="FALSE"/>
    <n v="0.9"/>
  </r>
  <r>
    <s v="FL250632"/>
    <x v="628"/>
    <x v="0"/>
    <s v="41"/>
    <x v="12"/>
    <x v="10"/>
    <s v="UI/UX Design"/>
    <s v="23"/>
    <s v="75"/>
    <n v="1.4"/>
    <s v="FALSE"/>
    <n v="0.75"/>
  </r>
  <r>
    <s v="FL250633"/>
    <x v="629"/>
    <x v="1"/>
    <s v="24"/>
    <x v="15"/>
    <x v="12"/>
    <s v="Mobile Apps"/>
    <s v="0"/>
    <s v="100"/>
    <n v="2.6"/>
    <s v="FALSE"/>
    <n v="0.75"/>
  </r>
  <r>
    <s v="FL250634"/>
    <x v="630"/>
    <x v="1"/>
    <s v="44"/>
    <x v="3"/>
    <x v="3"/>
    <s v="Machine Learning"/>
    <s v="4"/>
    <s v="50"/>
    <n v="1.3"/>
    <s v="TRUE"/>
    <n v="0.77"/>
  </r>
  <r>
    <s v="FL250635"/>
    <x v="631"/>
    <x v="1"/>
    <s v="52"/>
    <x v="18"/>
    <x v="15"/>
    <s v="UI/UX Design"/>
    <s v="4"/>
    <s v="75"/>
    <n v="2.2999999999999998"/>
    <s v="TRUE"/>
    <n v="0.79"/>
  </r>
  <r>
    <s v="FL250636"/>
    <x v="632"/>
    <x v="1"/>
    <s v="35"/>
    <x v="20"/>
    <x v="6"/>
    <s v="Machine Learning"/>
    <s v="13"/>
    <s v="40"/>
    <n v="3.6"/>
    <s v="FALSE"/>
    <n v="0.83"/>
  </r>
  <r>
    <s v="FL250637"/>
    <x v="633"/>
    <x v="0"/>
    <s v="24"/>
    <x v="3"/>
    <x v="3"/>
    <s v="DevOps"/>
    <s v="2"/>
    <s v="50"/>
    <n v="2.6"/>
    <s v="FALSE"/>
    <n v="0.64"/>
  </r>
  <r>
    <s v="FL250638"/>
    <x v="634"/>
    <x v="0"/>
    <s v="46"/>
    <x v="1"/>
    <x v="1"/>
    <s v="Cybersecurity"/>
    <s v="25"/>
    <s v="100"/>
    <n v="1.3"/>
    <s v="FALSE"/>
    <n v="0.8"/>
  </r>
  <r>
    <s v="FL250639"/>
    <x v="635"/>
    <x v="1"/>
    <s v="57"/>
    <x v="19"/>
    <x v="6"/>
    <s v="Mobile Apps"/>
    <s v="18"/>
    <s v="30"/>
    <n v="1.1000000000000001"/>
    <s v="TRUE"/>
    <n v="0.9"/>
  </r>
  <r>
    <s v="FL250640"/>
    <x v="636"/>
    <x v="0"/>
    <s v="49"/>
    <x v="19"/>
    <x v="6"/>
    <s v="Web Development"/>
    <s v="24"/>
    <s v="50"/>
    <n v="0"/>
    <s v="FALSE"/>
    <n v="0.94"/>
  </r>
  <r>
    <s v="FL250641"/>
    <x v="637"/>
    <x v="1"/>
    <s v="41"/>
    <x v="9"/>
    <x v="7"/>
    <s v="AI"/>
    <s v="7"/>
    <s v="40"/>
    <n v="1.8"/>
    <s v="TRUE"/>
    <n v="0.7"/>
  </r>
  <r>
    <s v="FL250642"/>
    <x v="638"/>
    <x v="1"/>
    <s v="22"/>
    <x v="19"/>
    <x v="6"/>
    <s v="Machine Learning"/>
    <s v="1"/>
    <s v="20"/>
    <n v="2.6"/>
    <s v="TRUE"/>
    <n v="0.75"/>
  </r>
  <r>
    <s v="FL250643"/>
    <x v="639"/>
    <x v="1"/>
    <s v="50"/>
    <x v="1"/>
    <x v="1"/>
    <s v="Blockchain Development"/>
    <s v="17"/>
    <s v="75"/>
    <n v="3.3"/>
    <s v="TRUE"/>
    <n v="0.69"/>
  </r>
  <r>
    <s v="FL250644"/>
    <x v="640"/>
    <x v="1"/>
    <s v="57"/>
    <x v="2"/>
    <x v="2"/>
    <s v="Graphic Design"/>
    <s v="4"/>
    <s v="30"/>
    <n v="4.2"/>
    <s v="FALSE"/>
    <n v="0.75"/>
  </r>
  <r>
    <s v="FL250645"/>
    <x v="641"/>
    <x v="0"/>
    <s v="47"/>
    <x v="19"/>
    <x v="6"/>
    <s v="AI"/>
    <s v="29"/>
    <s v="50"/>
    <n v="2.6"/>
    <s v="TRUE"/>
    <n v="0.79"/>
  </r>
  <r>
    <s v="FL250646"/>
    <x v="642"/>
    <x v="1"/>
    <s v="24"/>
    <x v="17"/>
    <x v="14"/>
    <s v="Data Analysis"/>
    <s v="2"/>
    <s v="100"/>
    <n v="3.8"/>
    <s v="TRUE"/>
    <n v="0.71"/>
  </r>
  <r>
    <s v="FL250647"/>
    <x v="643"/>
    <x v="1"/>
    <s v="Unknown"/>
    <x v="10"/>
    <x v="8"/>
    <s v="Cybersecurity"/>
    <s v="9"/>
    <s v="100"/>
    <n v="4.8"/>
    <s v="TRUE"/>
    <n v="0.72"/>
  </r>
  <r>
    <s v="FL250648"/>
    <x v="644"/>
    <x v="0"/>
    <s v="50"/>
    <x v="2"/>
    <x v="2"/>
    <s v="DevOps"/>
    <s v="10"/>
    <s v="100"/>
    <n v="4.3"/>
    <s v="FALSE"/>
    <n v="0.93"/>
  </r>
  <r>
    <s v="FL250649"/>
    <x v="645"/>
    <x v="1"/>
    <s v="46"/>
    <x v="11"/>
    <x v="9"/>
    <s v="Machine Learning"/>
    <s v="20"/>
    <s v="50"/>
    <n v="4.8"/>
    <s v="TRUE"/>
    <n v="0.82"/>
  </r>
  <r>
    <s v="FL250650"/>
    <x v="646"/>
    <x v="1"/>
    <s v="51"/>
    <x v="1"/>
    <x v="1"/>
    <s v="Cybersecurity"/>
    <s v="9"/>
    <s v="40"/>
    <n v="2.6"/>
    <s v="FALSE"/>
    <n v="0.6"/>
  </r>
  <r>
    <s v="FL250651"/>
    <x v="647"/>
    <x v="1"/>
    <s v="51"/>
    <x v="7"/>
    <x v="1"/>
    <s v="AI"/>
    <s v="12"/>
    <s v="20"/>
    <n v="4"/>
    <s v="FALSE"/>
    <n v="0.93"/>
  </r>
  <r>
    <s v="FL250652"/>
    <x v="648"/>
    <x v="1"/>
    <s v="27"/>
    <x v="7"/>
    <x v="1"/>
    <s v="AI"/>
    <s v="3"/>
    <s v="50"/>
    <n v="2.6"/>
    <s v="TRUE"/>
    <n v="0.75"/>
  </r>
  <r>
    <s v="FL250653"/>
    <x v="649"/>
    <x v="1"/>
    <s v="42"/>
    <x v="20"/>
    <x v="6"/>
    <s v="Web Development"/>
    <s v="13"/>
    <s v="30"/>
    <n v="0"/>
    <s v="TRUE"/>
    <n v="0.74"/>
  </r>
  <r>
    <s v="FL250654"/>
    <x v="650"/>
    <x v="1"/>
    <s v="25"/>
    <x v="2"/>
    <x v="2"/>
    <s v="UI/UX Design"/>
    <s v="4"/>
    <s v="40"/>
    <n v="2.2999999999999998"/>
    <s v="TRUE"/>
    <n v="0.73"/>
  </r>
  <r>
    <s v="FL250655"/>
    <x v="651"/>
    <x v="0"/>
    <s v="32"/>
    <x v="2"/>
    <x v="2"/>
    <s v="Data Analysis"/>
    <s v="9"/>
    <s v="75"/>
    <n v="2.6"/>
    <s v="FALSE"/>
    <n v="0.96"/>
  </r>
  <r>
    <s v="FL250656"/>
    <x v="652"/>
    <x v="0"/>
    <s v="59"/>
    <x v="14"/>
    <x v="1"/>
    <s v="Graphic Design"/>
    <s v="14"/>
    <s v="30"/>
    <n v="3.8"/>
    <s v="TRUE"/>
    <n v="0.66"/>
  </r>
  <r>
    <s v="FL250657"/>
    <x v="653"/>
    <x v="0"/>
    <s v="59"/>
    <x v="15"/>
    <x v="12"/>
    <s v="Cybersecurity"/>
    <s v="37"/>
    <s v="30"/>
    <n v="4"/>
    <s v="TRUE"/>
    <n v="0.62"/>
  </r>
  <r>
    <s v="FL250658"/>
    <x v="654"/>
    <x v="1"/>
    <s v="29"/>
    <x v="2"/>
    <x v="2"/>
    <s v="Graphic Design"/>
    <s v="2"/>
    <s v="75"/>
    <n v="2.2000000000000002"/>
    <s v="TRUE"/>
    <n v="0.85"/>
  </r>
  <r>
    <s v="FL250659"/>
    <x v="655"/>
    <x v="1"/>
    <s v="58"/>
    <x v="18"/>
    <x v="15"/>
    <s v="AI"/>
    <s v="11"/>
    <s v="100"/>
    <n v="4.3"/>
    <s v="FALSE"/>
    <n v="0.66"/>
  </r>
  <r>
    <s v="FL250660"/>
    <x v="656"/>
    <x v="0"/>
    <s v="56"/>
    <x v="14"/>
    <x v="1"/>
    <s v="Cybersecurity"/>
    <s v="19"/>
    <s v="20"/>
    <n v="0"/>
    <s v="FALSE"/>
    <n v="0.87"/>
  </r>
  <r>
    <s v="FL250661"/>
    <x v="657"/>
    <x v="0"/>
    <s v="36"/>
    <x v="5"/>
    <x v="1"/>
    <s v="Machine Learning"/>
    <s v="9"/>
    <s v="20"/>
    <n v="0"/>
    <s v="TRUE"/>
    <n v="0.68"/>
  </r>
  <r>
    <s v="FL250662"/>
    <x v="658"/>
    <x v="0"/>
    <s v="52"/>
    <x v="14"/>
    <x v="1"/>
    <s v="UI/UX Design"/>
    <s v="16"/>
    <s v="100"/>
    <n v="4"/>
    <s v="TRUE"/>
    <n v="0.75"/>
  </r>
  <r>
    <s v="FL250663"/>
    <x v="659"/>
    <x v="0"/>
    <s v="42"/>
    <x v="3"/>
    <x v="3"/>
    <s v="Mobile Apps"/>
    <s v="8"/>
    <s v="50"/>
    <n v="2.6"/>
    <s v="TRUE"/>
    <n v="0.75"/>
  </r>
  <r>
    <s v="FL250664"/>
    <x v="660"/>
    <x v="0"/>
    <s v="59"/>
    <x v="10"/>
    <x v="8"/>
    <s v="Mobile Apps"/>
    <s v="34"/>
    <s v="100"/>
    <n v="2"/>
    <s v="TRUE"/>
    <n v="0.79"/>
  </r>
  <r>
    <s v="FL250665"/>
    <x v="661"/>
    <x v="1"/>
    <s v="33"/>
    <x v="3"/>
    <x v="3"/>
    <s v="Mobile Apps"/>
    <s v="5"/>
    <s v="50"/>
    <n v="4.7"/>
    <s v="TRUE"/>
    <n v="0.88"/>
  </r>
  <r>
    <s v="FL250666"/>
    <x v="662"/>
    <x v="0"/>
    <s v="55"/>
    <x v="14"/>
    <x v="1"/>
    <s v="Web Development"/>
    <s v="14"/>
    <s v="50"/>
    <n v="3.6"/>
    <s v="TRUE"/>
    <n v="0.81"/>
  </r>
  <r>
    <s v="FL250667"/>
    <x v="663"/>
    <x v="1"/>
    <s v="47"/>
    <x v="12"/>
    <x v="10"/>
    <s v="UI/UX Design"/>
    <s v="17"/>
    <s v="50"/>
    <n v="1.2"/>
    <s v="FALSE"/>
    <n v="0.75"/>
  </r>
  <r>
    <s v="FL250668"/>
    <x v="664"/>
    <x v="0"/>
    <s v="29"/>
    <x v="19"/>
    <x v="6"/>
    <s v="AI"/>
    <s v="10"/>
    <s v="50"/>
    <n v="4.4000000000000004"/>
    <s v="TRUE"/>
    <n v="0.67"/>
  </r>
  <r>
    <s v="FL250669"/>
    <x v="665"/>
    <x v="0"/>
    <s v="30"/>
    <x v="7"/>
    <x v="1"/>
    <s v="DevOps"/>
    <s v="8"/>
    <s v="100"/>
    <n v="1.4"/>
    <s v="TRUE"/>
    <n v="0.62"/>
  </r>
  <r>
    <s v="FL250670"/>
    <x v="666"/>
    <x v="0"/>
    <s v="25"/>
    <x v="14"/>
    <x v="1"/>
    <s v="DevOps"/>
    <s v="1"/>
    <s v="30"/>
    <n v="3.2"/>
    <s v="FALSE"/>
    <n v="0.87"/>
  </r>
  <r>
    <s v="FL250671"/>
    <x v="667"/>
    <x v="0"/>
    <s v="28"/>
    <x v="16"/>
    <x v="13"/>
    <s v="Cybersecurity"/>
    <s v="10"/>
    <s v="50"/>
    <n v="3.8"/>
    <s v="TRUE"/>
    <n v="0.98"/>
  </r>
  <r>
    <s v="FL250672"/>
    <x v="668"/>
    <x v="1"/>
    <s v="29"/>
    <x v="12"/>
    <x v="10"/>
    <s v="Blockchain Development"/>
    <s v="0"/>
    <s v="75"/>
    <n v="1.5"/>
    <s v="TRUE"/>
    <n v="0.64"/>
  </r>
  <r>
    <s v="FL250673"/>
    <x v="669"/>
    <x v="1"/>
    <s v="30"/>
    <x v="20"/>
    <x v="6"/>
    <s v="Graphic Design"/>
    <s v="4"/>
    <s v="50"/>
    <n v="2.8"/>
    <s v="TRUE"/>
    <n v="0.71"/>
  </r>
  <r>
    <s v="FL250674"/>
    <x v="670"/>
    <x v="1"/>
    <s v="47"/>
    <x v="16"/>
    <x v="13"/>
    <s v="AI"/>
    <s v="2"/>
    <s v="50"/>
    <n v="2.7"/>
    <s v="FALSE"/>
    <n v="0.96"/>
  </r>
  <r>
    <s v="FL250675"/>
    <x v="671"/>
    <x v="1"/>
    <s v="34"/>
    <x v="1"/>
    <x v="1"/>
    <s v="Blockchain Development"/>
    <s v="10"/>
    <s v="30"/>
    <n v="3.9"/>
    <s v="TRUE"/>
    <n v="0.75"/>
  </r>
  <r>
    <s v="FL250676"/>
    <x v="672"/>
    <x v="1"/>
    <s v="45"/>
    <x v="5"/>
    <x v="1"/>
    <s v="Graphic Design"/>
    <s v="16"/>
    <s v="100"/>
    <n v="4.5999999999999996"/>
    <s v="FALSE"/>
    <n v="0.78"/>
  </r>
  <r>
    <s v="FL250677"/>
    <x v="673"/>
    <x v="0"/>
    <s v="56"/>
    <x v="20"/>
    <x v="6"/>
    <s v="Cybersecurity"/>
    <s v="27"/>
    <s v="20"/>
    <n v="2.2000000000000002"/>
    <s v="TRUE"/>
    <n v="0.7"/>
  </r>
  <r>
    <s v="FL250678"/>
    <x v="674"/>
    <x v="0"/>
    <s v="49"/>
    <x v="18"/>
    <x v="15"/>
    <s v="DevOps"/>
    <s v="20"/>
    <s v="50"/>
    <n v="2.5"/>
    <s v="FALSE"/>
    <n v="0.82"/>
  </r>
  <r>
    <s v="FL250679"/>
    <x v="675"/>
    <x v="1"/>
    <s v="48"/>
    <x v="15"/>
    <x v="12"/>
    <s v="AI"/>
    <s v="10"/>
    <s v="50"/>
    <n v="3.1"/>
    <s v="TRUE"/>
    <n v="0.75"/>
  </r>
  <r>
    <s v="FL250680"/>
    <x v="676"/>
    <x v="0"/>
    <s v="29"/>
    <x v="12"/>
    <x v="10"/>
    <s v="Graphic Design"/>
    <s v="0"/>
    <s v="20"/>
    <n v="2.6"/>
    <s v="TRUE"/>
    <n v="0.99"/>
  </r>
  <r>
    <s v="FL250681"/>
    <x v="677"/>
    <x v="0"/>
    <s v="49"/>
    <x v="3"/>
    <x v="3"/>
    <s v="Web Development"/>
    <s v="11"/>
    <s v="75"/>
    <n v="3.8"/>
    <s v="TRUE"/>
    <n v="0.93"/>
  </r>
  <r>
    <s v="FL250682"/>
    <x v="678"/>
    <x v="0"/>
    <s v="22"/>
    <x v="18"/>
    <x v="15"/>
    <s v="Blockchain Development"/>
    <s v="1"/>
    <s v="100"/>
    <n v="4.8"/>
    <s v="TRUE"/>
    <n v="0.75"/>
  </r>
  <r>
    <s v="FL250683"/>
    <x v="679"/>
    <x v="1"/>
    <s v="52"/>
    <x v="19"/>
    <x v="6"/>
    <s v="Graphic Design"/>
    <s v="30"/>
    <s v="100"/>
    <n v="2.5"/>
    <s v="TRUE"/>
    <n v="0.61"/>
  </r>
  <r>
    <s v="FL250684"/>
    <x v="680"/>
    <x v="1"/>
    <s v="60"/>
    <x v="14"/>
    <x v="1"/>
    <s v="Blockchain Development"/>
    <s v="7"/>
    <s v="30"/>
    <n v="0"/>
    <s v="FALSE"/>
    <n v="0.97"/>
  </r>
  <r>
    <s v="FL250685"/>
    <x v="681"/>
    <x v="0"/>
    <s v="33"/>
    <x v="9"/>
    <x v="7"/>
    <s v="UI/UX Design"/>
    <s v="0"/>
    <s v="100"/>
    <n v="1.7"/>
    <s v="TRUE"/>
    <n v="0.95"/>
  </r>
  <r>
    <s v="FL250686"/>
    <x v="682"/>
    <x v="1"/>
    <s v="52"/>
    <x v="12"/>
    <x v="10"/>
    <s v="Graphic Design"/>
    <s v="21"/>
    <s v="40"/>
    <n v="4"/>
    <s v="TRUE"/>
    <n v="0.69"/>
  </r>
  <r>
    <s v="FL250687"/>
    <x v="683"/>
    <x v="0"/>
    <s v="25"/>
    <x v="2"/>
    <x v="2"/>
    <s v="DevOps"/>
    <s v="7"/>
    <s v="100"/>
    <n v="1.9"/>
    <s v="TRUE"/>
    <n v="0.63"/>
  </r>
  <r>
    <s v="FL250688"/>
    <x v="684"/>
    <x v="1"/>
    <s v="33"/>
    <x v="9"/>
    <x v="7"/>
    <s v="Cybersecurity"/>
    <s v="Unknown"/>
    <s v="30"/>
    <n v="4.4000000000000004"/>
    <s v="TRUE"/>
    <n v="0.65"/>
  </r>
  <r>
    <s v="FL250689"/>
    <x v="685"/>
    <x v="0"/>
    <s v="33"/>
    <x v="18"/>
    <x v="15"/>
    <s v="Mobile Apps"/>
    <s v="Unknown"/>
    <s v="50"/>
    <n v="4.2"/>
    <s v="TRUE"/>
    <n v="0.9"/>
  </r>
  <r>
    <s v="FL250690"/>
    <x v="5"/>
    <x v="0"/>
    <s v="52"/>
    <x v="14"/>
    <x v="1"/>
    <s v="UI/UX Design"/>
    <s v="25"/>
    <s v="100"/>
    <n v="4.8"/>
    <s v="FALSE"/>
    <n v="0.75"/>
  </r>
  <r>
    <s v="FL250691"/>
    <x v="686"/>
    <x v="0"/>
    <s v="20"/>
    <x v="4"/>
    <x v="4"/>
    <s v="Web Development"/>
    <s v="1"/>
    <s v="30"/>
    <n v="2"/>
    <s v="FALSE"/>
    <n v="0.89"/>
  </r>
  <r>
    <s v="FL250692"/>
    <x v="687"/>
    <x v="0"/>
    <s v="43"/>
    <x v="13"/>
    <x v="11"/>
    <s v="Data Analysis"/>
    <s v="7"/>
    <s v="50"/>
    <n v="2.6"/>
    <s v="TRUE"/>
    <n v="0.8"/>
  </r>
  <r>
    <s v="FL250693"/>
    <x v="666"/>
    <x v="0"/>
    <s v="31"/>
    <x v="15"/>
    <x v="12"/>
    <s v="Mobile Apps"/>
    <s v="Unknown"/>
    <s v="50"/>
    <n v="1.4"/>
    <s v="FALSE"/>
    <n v="0.8"/>
  </r>
  <r>
    <s v="FL250694"/>
    <x v="688"/>
    <x v="0"/>
    <s v="29"/>
    <x v="2"/>
    <x v="2"/>
    <s v="Data Analysis"/>
    <s v="6"/>
    <s v="100"/>
    <n v="1.8"/>
    <s v="FALSE"/>
    <n v="0.75"/>
  </r>
  <r>
    <s v="FL250695"/>
    <x v="376"/>
    <x v="0"/>
    <s v="53"/>
    <x v="17"/>
    <x v="14"/>
    <s v="Graphic Design"/>
    <s v="35"/>
    <s v="50"/>
    <n v="0"/>
    <s v="TRUE"/>
    <n v="0.67"/>
  </r>
  <r>
    <s v="FL250696"/>
    <x v="689"/>
    <x v="1"/>
    <s v="38"/>
    <x v="10"/>
    <x v="8"/>
    <s v="Mobile Apps"/>
    <s v="1"/>
    <s v="40"/>
    <n v="0"/>
    <s v="FALSE"/>
    <n v="0.96"/>
  </r>
  <r>
    <s v="FL250697"/>
    <x v="690"/>
    <x v="1"/>
    <s v="29"/>
    <x v="20"/>
    <x v="6"/>
    <s v="Graphic Design"/>
    <s v="Unknown"/>
    <s v="20"/>
    <n v="0"/>
    <s v="FALSE"/>
    <n v="0.9"/>
  </r>
  <r>
    <s v="FL250698"/>
    <x v="691"/>
    <x v="1"/>
    <s v="42"/>
    <x v="12"/>
    <x v="10"/>
    <s v="UI/UX Design"/>
    <s v="0"/>
    <s v="50"/>
    <n v="3.9"/>
    <s v="TRUE"/>
    <n v="0.62"/>
  </r>
  <r>
    <s v="FL250699"/>
    <x v="692"/>
    <x v="0"/>
    <s v="54"/>
    <x v="5"/>
    <x v="1"/>
    <s v="Machine Learning"/>
    <s v="9"/>
    <s v="100"/>
    <n v="2.6"/>
    <s v="FALSE"/>
    <n v="0.72"/>
  </r>
  <r>
    <s v="FL250700"/>
    <x v="693"/>
    <x v="1"/>
    <s v="56"/>
    <x v="18"/>
    <x v="15"/>
    <s v="UI/UX Design"/>
    <s v="18"/>
    <s v="50"/>
    <n v="4.4000000000000004"/>
    <s v="TRUE"/>
    <n v="0.83"/>
  </r>
  <r>
    <s v="FL250701"/>
    <x v="694"/>
    <x v="0"/>
    <s v="47"/>
    <x v="6"/>
    <x v="5"/>
    <s v="Graphic Design"/>
    <s v="22"/>
    <s v="100"/>
    <n v="4.4000000000000004"/>
    <s v="FALSE"/>
    <n v="0.7"/>
  </r>
  <r>
    <s v="FL250702"/>
    <x v="695"/>
    <x v="1"/>
    <s v="45"/>
    <x v="13"/>
    <x v="11"/>
    <s v="Blockchain Development"/>
    <s v="25"/>
    <s v="50"/>
    <n v="0"/>
    <s v="FALSE"/>
    <n v="0.99"/>
  </r>
  <r>
    <s v="FL250703"/>
    <x v="696"/>
    <x v="1"/>
    <s v="45"/>
    <x v="18"/>
    <x v="15"/>
    <s v="Data Analysis"/>
    <s v="6"/>
    <s v="50"/>
    <n v="1.4"/>
    <s v="TRUE"/>
    <n v="0.97"/>
  </r>
  <r>
    <s v="FL250704"/>
    <x v="697"/>
    <x v="1"/>
    <s v="35"/>
    <x v="14"/>
    <x v="1"/>
    <s v="Machine Learning"/>
    <s v="10"/>
    <s v="20"/>
    <n v="3.2"/>
    <s v="TRUE"/>
    <n v="0.77"/>
  </r>
  <r>
    <s v="FL250705"/>
    <x v="698"/>
    <x v="1"/>
    <s v="51"/>
    <x v="14"/>
    <x v="1"/>
    <s v="DevOps"/>
    <s v="4"/>
    <s v="50"/>
    <n v="2"/>
    <s v="FALSE"/>
    <n v="0.92"/>
  </r>
  <r>
    <s v="FL250706"/>
    <x v="699"/>
    <x v="0"/>
    <s v="34"/>
    <x v="20"/>
    <x v="6"/>
    <s v="Mobile Apps"/>
    <s v="11"/>
    <s v="50"/>
    <n v="3.3"/>
    <s v="TRUE"/>
    <n v="0.76"/>
  </r>
  <r>
    <s v="FL250707"/>
    <x v="700"/>
    <x v="0"/>
    <s v="51"/>
    <x v="4"/>
    <x v="4"/>
    <s v="Graphic Design"/>
    <s v="1"/>
    <s v="50"/>
    <n v="0"/>
    <s v="TRUE"/>
    <n v="0.97"/>
  </r>
  <r>
    <s v="FL250708"/>
    <x v="701"/>
    <x v="1"/>
    <s v="58"/>
    <x v="16"/>
    <x v="13"/>
    <s v="Graphic Design"/>
    <s v="35"/>
    <s v="100"/>
    <n v="2.2999999999999998"/>
    <s v="TRUE"/>
    <n v="0.75"/>
  </r>
  <r>
    <s v="FL250709"/>
    <x v="702"/>
    <x v="0"/>
    <s v="36"/>
    <x v="3"/>
    <x v="3"/>
    <s v="Web Development"/>
    <s v="17"/>
    <s v="20"/>
    <n v="0"/>
    <s v="TRUE"/>
    <n v="0.99"/>
  </r>
  <r>
    <s v="FL250710"/>
    <x v="703"/>
    <x v="1"/>
    <s v="Unknown"/>
    <x v="13"/>
    <x v="11"/>
    <s v="AI"/>
    <s v="12"/>
    <s v="30"/>
    <n v="2.6"/>
    <s v="TRUE"/>
    <n v="0.75"/>
  </r>
  <r>
    <s v="FL250711"/>
    <x v="704"/>
    <x v="1"/>
    <s v="56"/>
    <x v="17"/>
    <x v="14"/>
    <s v="Machine Learning"/>
    <s v="30"/>
    <s v="40"/>
    <n v="3.3"/>
    <s v="TRUE"/>
    <n v="0.82"/>
  </r>
  <r>
    <s v="FL250712"/>
    <x v="705"/>
    <x v="0"/>
    <s v="58"/>
    <x v="14"/>
    <x v="1"/>
    <s v="Cybersecurity"/>
    <s v="20"/>
    <s v="75"/>
    <n v="3.6"/>
    <s v="TRUE"/>
    <n v="0.78"/>
  </r>
  <r>
    <s v="FL250713"/>
    <x v="706"/>
    <x v="0"/>
    <s v="58"/>
    <x v="5"/>
    <x v="1"/>
    <s v="Cybersecurity"/>
    <s v="22"/>
    <s v="100"/>
    <n v="3.7"/>
    <s v="FALSE"/>
    <n v="0.75"/>
  </r>
  <r>
    <s v="FL250714"/>
    <x v="707"/>
    <x v="0"/>
    <s v="54"/>
    <x v="7"/>
    <x v="1"/>
    <s v="AI"/>
    <s v="32"/>
    <s v="20"/>
    <n v="3.4"/>
    <s v="FALSE"/>
    <n v="0.75"/>
  </r>
  <r>
    <s v="FL250715"/>
    <x v="708"/>
    <x v="1"/>
    <s v="53"/>
    <x v="1"/>
    <x v="1"/>
    <s v="UI/UX Design"/>
    <s v="9"/>
    <s v="50"/>
    <n v="4"/>
    <s v="TRUE"/>
    <n v="0.72"/>
  </r>
  <r>
    <s v="FL250716"/>
    <x v="709"/>
    <x v="0"/>
    <s v="43"/>
    <x v="1"/>
    <x v="1"/>
    <s v="Web Development"/>
    <s v="22"/>
    <s v="40"/>
    <n v="4.5"/>
    <s v="TRUE"/>
    <n v="0.75"/>
  </r>
  <r>
    <s v="FL250717"/>
    <x v="710"/>
    <x v="1"/>
    <s v="44"/>
    <x v="12"/>
    <x v="10"/>
    <s v="Machine Learning"/>
    <s v="1"/>
    <s v="75"/>
    <n v="4.3"/>
    <s v="TRUE"/>
    <n v="0.75"/>
  </r>
  <r>
    <s v="FL250718"/>
    <x v="711"/>
    <x v="1"/>
    <s v="34"/>
    <x v="14"/>
    <x v="1"/>
    <s v="Cybersecurity"/>
    <s v="4"/>
    <s v="75"/>
    <n v="4"/>
    <s v="TRUE"/>
    <n v="0.75"/>
  </r>
  <r>
    <s v="FL250719"/>
    <x v="712"/>
    <x v="0"/>
    <s v="27"/>
    <x v="11"/>
    <x v="9"/>
    <s v="Mobile Apps"/>
    <s v="8"/>
    <s v="50"/>
    <n v="1.6"/>
    <s v="TRUE"/>
    <n v="0.75"/>
  </r>
  <r>
    <s v="FL250720"/>
    <x v="713"/>
    <x v="1"/>
    <s v="50"/>
    <x v="9"/>
    <x v="7"/>
    <s v="Data Analysis"/>
    <s v="3"/>
    <s v="100"/>
    <n v="0"/>
    <s v="TRUE"/>
    <n v="0.75"/>
  </r>
  <r>
    <s v="FL250721"/>
    <x v="714"/>
    <x v="0"/>
    <s v="52"/>
    <x v="12"/>
    <x v="10"/>
    <s v="UI/UX Design"/>
    <s v="30"/>
    <s v="75"/>
    <n v="2.6"/>
    <s v="FALSE"/>
    <n v="0.94"/>
  </r>
  <r>
    <s v="FL250722"/>
    <x v="715"/>
    <x v="1"/>
    <s v="57"/>
    <x v="20"/>
    <x v="6"/>
    <s v="Blockchain Development"/>
    <s v="11"/>
    <s v="20"/>
    <n v="4.9000000000000004"/>
    <s v="TRUE"/>
    <n v="0.75"/>
  </r>
  <r>
    <s v="FL250723"/>
    <x v="716"/>
    <x v="0"/>
    <s v="53"/>
    <x v="19"/>
    <x v="6"/>
    <s v="DevOps"/>
    <s v="8"/>
    <s v="20"/>
    <n v="2.8"/>
    <s v="TRUE"/>
    <n v="0.75"/>
  </r>
  <r>
    <s v="FL250724"/>
    <x v="717"/>
    <x v="1"/>
    <s v="51"/>
    <x v="6"/>
    <x v="5"/>
    <s v="UI/UX Design"/>
    <s v="11"/>
    <s v="30"/>
    <n v="3.6"/>
    <s v="TRUE"/>
    <n v="0.77"/>
  </r>
  <r>
    <s v="FL250725"/>
    <x v="718"/>
    <x v="0"/>
    <s v="37"/>
    <x v="14"/>
    <x v="1"/>
    <s v="Cybersecurity"/>
    <s v="9"/>
    <s v="50"/>
    <n v="2.6"/>
    <s v="TRUE"/>
    <n v="0.84"/>
  </r>
  <r>
    <s v="FL250726"/>
    <x v="719"/>
    <x v="1"/>
    <s v="40"/>
    <x v="20"/>
    <x v="6"/>
    <s v="Web Development"/>
    <s v="7"/>
    <s v="40"/>
    <n v="4.5"/>
    <s v="TRUE"/>
    <n v="0.79"/>
  </r>
  <r>
    <s v="FL250727"/>
    <x v="720"/>
    <x v="1"/>
    <s v="60"/>
    <x v="9"/>
    <x v="7"/>
    <s v="Data Analysis"/>
    <s v="24"/>
    <s v="40"/>
    <n v="3.1"/>
    <s v="FALSE"/>
    <n v="0.69"/>
  </r>
  <r>
    <s v="FL250728"/>
    <x v="721"/>
    <x v="1"/>
    <s v="60"/>
    <x v="15"/>
    <x v="12"/>
    <s v="UI/UX Design"/>
    <s v="0"/>
    <s v="40"/>
    <n v="4.9000000000000004"/>
    <s v="TRUE"/>
    <n v="0.68"/>
  </r>
  <r>
    <s v="FL250729"/>
    <x v="722"/>
    <x v="0"/>
    <s v="53"/>
    <x v="12"/>
    <x v="10"/>
    <s v="UI/UX Design"/>
    <s v="21"/>
    <s v="30"/>
    <n v="4.2"/>
    <s v="TRUE"/>
    <n v="0.73"/>
  </r>
  <r>
    <s v="FL250730"/>
    <x v="723"/>
    <x v="0"/>
    <s v="20"/>
    <x v="19"/>
    <x v="6"/>
    <s v="Blockchain Development"/>
    <s v="0"/>
    <s v="75"/>
    <n v="3.2"/>
    <s v="TRUE"/>
    <n v="0.74"/>
  </r>
  <r>
    <s v="FL250731"/>
    <x v="724"/>
    <x v="1"/>
    <s v="42"/>
    <x v="13"/>
    <x v="11"/>
    <s v="Web Development"/>
    <s v="7"/>
    <s v="20"/>
    <n v="2.6"/>
    <s v="TRUE"/>
    <n v="1"/>
  </r>
  <r>
    <s v="FL250732"/>
    <x v="725"/>
    <x v="1"/>
    <s v="21"/>
    <x v="7"/>
    <x v="1"/>
    <s v="Mobile Apps"/>
    <s v="3"/>
    <s v="40"/>
    <n v="0"/>
    <s v="FALSE"/>
    <n v="0.87"/>
  </r>
  <r>
    <s v="FL250733"/>
    <x v="726"/>
    <x v="1"/>
    <s v="39"/>
    <x v="2"/>
    <x v="2"/>
    <s v="Web Development"/>
    <s v="21"/>
    <s v="100"/>
    <n v="2.2000000000000002"/>
    <s v="FALSE"/>
    <n v="0.79"/>
  </r>
  <r>
    <s v="FL250734"/>
    <x v="727"/>
    <x v="1"/>
    <s v="32"/>
    <x v="10"/>
    <x v="8"/>
    <s v="Blockchain Development"/>
    <s v="Unknown"/>
    <s v="30"/>
    <n v="1.5"/>
    <s v="FALSE"/>
    <n v="0.68"/>
  </r>
  <r>
    <s v="FL250735"/>
    <x v="728"/>
    <x v="1"/>
    <s v="35"/>
    <x v="2"/>
    <x v="2"/>
    <s v="Data Analysis"/>
    <s v="Unknown"/>
    <s v="100"/>
    <n v="2.6"/>
    <s v="FALSE"/>
    <n v="0.84"/>
  </r>
  <r>
    <s v="FL250736"/>
    <x v="729"/>
    <x v="0"/>
    <s v="35"/>
    <x v="15"/>
    <x v="12"/>
    <s v="UI/UX Design"/>
    <s v="17"/>
    <s v="50"/>
    <n v="3.1"/>
    <s v="FALSE"/>
    <n v="0.71"/>
  </r>
  <r>
    <s v="FL250737"/>
    <x v="730"/>
    <x v="0"/>
    <s v="23"/>
    <x v="8"/>
    <x v="6"/>
    <s v="UI/UX Design"/>
    <s v="0"/>
    <s v="75"/>
    <n v="0"/>
    <s v="FALSE"/>
    <n v="0.92"/>
  </r>
  <r>
    <s v="FL250738"/>
    <x v="731"/>
    <x v="1"/>
    <s v="26"/>
    <x v="3"/>
    <x v="3"/>
    <s v="AI"/>
    <s v="6"/>
    <s v="100"/>
    <n v="2.6"/>
    <s v="FALSE"/>
    <n v="0.69"/>
  </r>
  <r>
    <s v="FL250739"/>
    <x v="732"/>
    <x v="0"/>
    <s v="34"/>
    <x v="14"/>
    <x v="1"/>
    <s v="Machine Learning"/>
    <s v="3"/>
    <s v="50"/>
    <n v="0"/>
    <s v="TRUE"/>
    <n v="0.71"/>
  </r>
  <r>
    <s v="FL250740"/>
    <x v="733"/>
    <x v="0"/>
    <s v="34"/>
    <x v="2"/>
    <x v="2"/>
    <s v="Blockchain Development"/>
    <s v="3"/>
    <s v="50"/>
    <n v="2.6"/>
    <s v="TRUE"/>
    <n v="0.77"/>
  </r>
  <r>
    <s v="FL250741"/>
    <x v="734"/>
    <x v="1"/>
    <s v="57"/>
    <x v="0"/>
    <x v="0"/>
    <s v="Web Development"/>
    <s v="31"/>
    <s v="50"/>
    <n v="3"/>
    <s v="TRUE"/>
    <n v="0.87"/>
  </r>
  <r>
    <s v="FL250742"/>
    <x v="735"/>
    <x v="1"/>
    <s v="46"/>
    <x v="14"/>
    <x v="1"/>
    <s v="Web Development"/>
    <s v="5"/>
    <s v="30"/>
    <n v="2.6"/>
    <s v="FALSE"/>
    <n v="0.76"/>
  </r>
  <r>
    <s v="FL250743"/>
    <x v="736"/>
    <x v="1"/>
    <s v="55"/>
    <x v="10"/>
    <x v="8"/>
    <s v="AI"/>
    <s v="37"/>
    <s v="75"/>
    <n v="4.0999999999999996"/>
    <s v="FALSE"/>
    <n v="0.75"/>
  </r>
  <r>
    <s v="FL250744"/>
    <x v="737"/>
    <x v="0"/>
    <s v="32"/>
    <x v="1"/>
    <x v="1"/>
    <s v="DevOps"/>
    <s v="10"/>
    <s v="50"/>
    <n v="1.5"/>
    <s v="TRUE"/>
    <n v="0.65"/>
  </r>
  <r>
    <s v="FL250745"/>
    <x v="738"/>
    <x v="1"/>
    <s v="53"/>
    <x v="4"/>
    <x v="4"/>
    <s v="AI"/>
    <s v="28"/>
    <s v="50"/>
    <n v="2.9"/>
    <s v="TRUE"/>
    <n v="0.82"/>
  </r>
  <r>
    <s v="FL250746"/>
    <x v="739"/>
    <x v="1"/>
    <s v="59"/>
    <x v="19"/>
    <x v="6"/>
    <s v="AI"/>
    <s v="0"/>
    <s v="100"/>
    <n v="0"/>
    <s v="TRUE"/>
    <n v="0.87"/>
  </r>
  <r>
    <s v="FL250747"/>
    <x v="740"/>
    <x v="0"/>
    <s v="44"/>
    <x v="3"/>
    <x v="3"/>
    <s v="Machine Learning"/>
    <s v="19"/>
    <s v="40"/>
    <n v="4.9000000000000004"/>
    <s v="FALSE"/>
    <n v="1"/>
  </r>
  <r>
    <s v="FL250748"/>
    <x v="741"/>
    <x v="1"/>
    <s v="35"/>
    <x v="16"/>
    <x v="13"/>
    <s v="Blockchain Development"/>
    <s v="9"/>
    <s v="50"/>
    <n v="3"/>
    <s v="FALSE"/>
    <n v="0.71"/>
  </r>
  <r>
    <s v="FL250749"/>
    <x v="742"/>
    <x v="0"/>
    <s v="42"/>
    <x v="18"/>
    <x v="15"/>
    <s v="Machine Learning"/>
    <s v="5"/>
    <s v="30"/>
    <n v="4.9000000000000004"/>
    <s v="TRUE"/>
    <n v="0.87"/>
  </r>
  <r>
    <s v="FL250750"/>
    <x v="743"/>
    <x v="0"/>
    <s v="58"/>
    <x v="12"/>
    <x v="10"/>
    <s v="Blockchain Development"/>
    <s v="0"/>
    <s v="30"/>
    <n v="4.5999999999999996"/>
    <s v="FALSE"/>
    <n v="0.7"/>
  </r>
  <r>
    <s v="FL250751"/>
    <x v="744"/>
    <x v="1"/>
    <s v="41"/>
    <x v="3"/>
    <x v="3"/>
    <s v="AI"/>
    <s v="21"/>
    <s v="100"/>
    <n v="2.2000000000000002"/>
    <s v="TRUE"/>
    <n v="0.83"/>
  </r>
  <r>
    <s v="FL250752"/>
    <x v="745"/>
    <x v="0"/>
    <s v="Unknown"/>
    <x v="8"/>
    <x v="6"/>
    <s v="Web Development"/>
    <s v="0"/>
    <s v="40"/>
    <n v="2.6"/>
    <s v="TRUE"/>
    <n v="0.74"/>
  </r>
  <r>
    <s v="FL250753"/>
    <x v="746"/>
    <x v="0"/>
    <s v="23"/>
    <x v="14"/>
    <x v="1"/>
    <s v="Blockchain Development"/>
    <s v="0"/>
    <s v="30"/>
    <n v="1.1000000000000001"/>
    <s v="TRUE"/>
    <n v="0.86"/>
  </r>
  <r>
    <s v="FL250754"/>
    <x v="747"/>
    <x v="1"/>
    <s v="51"/>
    <x v="18"/>
    <x v="15"/>
    <s v="Blockchain Development"/>
    <s v="17"/>
    <s v="40"/>
    <n v="4.5"/>
    <s v="TRUE"/>
    <n v="0.72"/>
  </r>
  <r>
    <s v="FL250755"/>
    <x v="748"/>
    <x v="0"/>
    <s v="42"/>
    <x v="15"/>
    <x v="12"/>
    <s v="AI"/>
    <s v="21"/>
    <s v="50"/>
    <n v="2.5"/>
    <s v="TRUE"/>
    <n v="0.73"/>
  </r>
  <r>
    <s v="FL250756"/>
    <x v="749"/>
    <x v="1"/>
    <s v="26"/>
    <x v="9"/>
    <x v="7"/>
    <s v="Data Analysis"/>
    <s v="7"/>
    <s v="75"/>
    <n v="2.9"/>
    <s v="FALSE"/>
    <n v="0.78"/>
  </r>
  <r>
    <s v="FL250757"/>
    <x v="750"/>
    <x v="0"/>
    <s v="49"/>
    <x v="4"/>
    <x v="4"/>
    <s v="AI"/>
    <s v="22"/>
    <s v="75"/>
    <n v="0"/>
    <s v="TRUE"/>
    <n v="0.75"/>
  </r>
  <r>
    <s v="FL250758"/>
    <x v="751"/>
    <x v="0"/>
    <s v="37"/>
    <x v="0"/>
    <x v="0"/>
    <s v="DevOps"/>
    <s v="Unknown"/>
    <s v="75"/>
    <n v="3.5"/>
    <s v="FALSE"/>
    <n v="0.75"/>
  </r>
  <r>
    <s v="FL250759"/>
    <x v="752"/>
    <x v="1"/>
    <s v="31"/>
    <x v="1"/>
    <x v="1"/>
    <s v="AI"/>
    <s v="1"/>
    <s v="40"/>
    <n v="4.5"/>
    <s v="FALSE"/>
    <n v="0.96"/>
  </r>
  <r>
    <s v="FL250760"/>
    <x v="753"/>
    <x v="1"/>
    <s v="51"/>
    <x v="12"/>
    <x v="10"/>
    <s v="Mobile Apps"/>
    <s v="5"/>
    <s v="40"/>
    <n v="1.7"/>
    <s v="TRUE"/>
    <n v="0.61"/>
  </r>
  <r>
    <s v="FL250761"/>
    <x v="754"/>
    <x v="1"/>
    <s v="60"/>
    <x v="18"/>
    <x v="15"/>
    <s v="DevOps"/>
    <s v="40"/>
    <s v="50"/>
    <n v="4.5999999999999996"/>
    <s v="TRUE"/>
    <n v="1"/>
  </r>
  <r>
    <s v="FL250762"/>
    <x v="755"/>
    <x v="1"/>
    <s v="51"/>
    <x v="14"/>
    <x v="1"/>
    <s v="Blockchain Development"/>
    <s v="19"/>
    <s v="50"/>
    <n v="2.6"/>
    <s v="TRUE"/>
    <n v="0.82"/>
  </r>
  <r>
    <s v="FL250763"/>
    <x v="756"/>
    <x v="1"/>
    <s v="37"/>
    <x v="2"/>
    <x v="2"/>
    <s v="Graphic Design"/>
    <s v="12"/>
    <s v="50"/>
    <n v="4.9000000000000004"/>
    <s v="TRUE"/>
    <n v="0.8"/>
  </r>
  <r>
    <s v="FL250764"/>
    <x v="757"/>
    <x v="1"/>
    <s v="52"/>
    <x v="10"/>
    <x v="8"/>
    <s v="Blockchain Development"/>
    <s v="7"/>
    <s v="40"/>
    <n v="2.2000000000000002"/>
    <s v="TRUE"/>
    <n v="0.96"/>
  </r>
  <r>
    <s v="FL250765"/>
    <x v="758"/>
    <x v="1"/>
    <s v="27"/>
    <x v="4"/>
    <x v="4"/>
    <s v="Blockchain Development"/>
    <s v="4"/>
    <s v="20"/>
    <n v="2.6"/>
    <s v="FALSE"/>
    <n v="0.63"/>
  </r>
  <r>
    <s v="FL250766"/>
    <x v="759"/>
    <x v="1"/>
    <s v="48"/>
    <x v="1"/>
    <x v="1"/>
    <s v="Graphic Design"/>
    <s v="24"/>
    <s v="40"/>
    <n v="2.2000000000000002"/>
    <s v="FALSE"/>
    <n v="0.67"/>
  </r>
  <r>
    <s v="FL250767"/>
    <x v="760"/>
    <x v="0"/>
    <s v="22"/>
    <x v="9"/>
    <x v="7"/>
    <s v="Data Analysis"/>
    <s v="1"/>
    <s v="30"/>
    <n v="3.3"/>
    <s v="TRUE"/>
    <n v="0.61"/>
  </r>
  <r>
    <s v="FL250768"/>
    <x v="761"/>
    <x v="0"/>
    <s v="48"/>
    <x v="2"/>
    <x v="2"/>
    <s v="Mobile Apps"/>
    <s v="28"/>
    <s v="30"/>
    <n v="4.9000000000000004"/>
    <s v="FALSE"/>
    <n v="0.77"/>
  </r>
  <r>
    <s v="FL250769"/>
    <x v="762"/>
    <x v="0"/>
    <s v="54"/>
    <x v="5"/>
    <x v="1"/>
    <s v="Mobile Apps"/>
    <s v="19"/>
    <s v="75"/>
    <n v="0"/>
    <s v="TRUE"/>
    <n v="0.75"/>
  </r>
  <r>
    <s v="FL250770"/>
    <x v="763"/>
    <x v="0"/>
    <s v="52"/>
    <x v="12"/>
    <x v="10"/>
    <s v="Data Analysis"/>
    <s v="4"/>
    <s v="50"/>
    <n v="2.6"/>
    <s v="FALSE"/>
    <n v="0.84"/>
  </r>
  <r>
    <s v="FL250771"/>
    <x v="764"/>
    <x v="0"/>
    <s v="39"/>
    <x v="6"/>
    <x v="5"/>
    <s v="Web Development"/>
    <s v="20"/>
    <s v="100"/>
    <n v="2.6"/>
    <s v="TRUE"/>
    <n v="0.89"/>
  </r>
  <r>
    <s v="FL250772"/>
    <x v="765"/>
    <x v="0"/>
    <s v="54"/>
    <x v="13"/>
    <x v="11"/>
    <s v="Mobile Apps"/>
    <s v="19"/>
    <s v="30"/>
    <n v="4"/>
    <s v="TRUE"/>
    <n v="0.9"/>
  </r>
  <r>
    <s v="FL250773"/>
    <x v="766"/>
    <x v="0"/>
    <s v="22"/>
    <x v="5"/>
    <x v="1"/>
    <s v="Cybersecurity"/>
    <s v="1"/>
    <s v="20"/>
    <n v="4.8"/>
    <s v="TRUE"/>
    <n v="0.87"/>
  </r>
  <r>
    <s v="FL250774"/>
    <x v="767"/>
    <x v="0"/>
    <s v="29"/>
    <x v="17"/>
    <x v="14"/>
    <s v="Mobile Apps"/>
    <s v="8"/>
    <s v="50"/>
    <n v="0"/>
    <s v="FALSE"/>
    <n v="0.77"/>
  </r>
  <r>
    <s v="FL250775"/>
    <x v="768"/>
    <x v="1"/>
    <s v="23"/>
    <x v="20"/>
    <x v="6"/>
    <s v="DevOps"/>
    <s v="3"/>
    <s v="30"/>
    <n v="1.6"/>
    <s v="TRUE"/>
    <n v="0.72"/>
  </r>
  <r>
    <s v="FL250776"/>
    <x v="769"/>
    <x v="0"/>
    <s v="58"/>
    <x v="19"/>
    <x v="6"/>
    <s v="DevOps"/>
    <s v="30"/>
    <s v="50"/>
    <n v="1.3"/>
    <s v="TRUE"/>
    <n v="0.87"/>
  </r>
  <r>
    <s v="FL250777"/>
    <x v="770"/>
    <x v="0"/>
    <s v="56"/>
    <x v="18"/>
    <x v="15"/>
    <s v="Blockchain Development"/>
    <s v="3"/>
    <s v="40"/>
    <n v="4.0999999999999996"/>
    <s v="TRUE"/>
    <n v="0.89"/>
  </r>
  <r>
    <s v="FL250778"/>
    <x v="771"/>
    <x v="1"/>
    <s v="48"/>
    <x v="6"/>
    <x v="5"/>
    <s v="Web Development"/>
    <s v="19"/>
    <s v="40"/>
    <n v="1.5"/>
    <s v="FALSE"/>
    <n v="0.87"/>
  </r>
  <r>
    <s v="FL250779"/>
    <x v="772"/>
    <x v="0"/>
    <s v="31"/>
    <x v="13"/>
    <x v="11"/>
    <s v="Mobile Apps"/>
    <s v="11"/>
    <s v="40"/>
    <n v="4.3"/>
    <s v="TRUE"/>
    <n v="0.76"/>
  </r>
  <r>
    <s v="FL250780"/>
    <x v="773"/>
    <x v="1"/>
    <s v="44"/>
    <x v="1"/>
    <x v="1"/>
    <s v="Machine Learning"/>
    <s v="26"/>
    <s v="50"/>
    <n v="1.6"/>
    <s v="TRUE"/>
    <n v="1"/>
  </r>
  <r>
    <s v="FL250781"/>
    <x v="774"/>
    <x v="0"/>
    <s v="42"/>
    <x v="16"/>
    <x v="13"/>
    <s v="Mobile Apps"/>
    <s v="10"/>
    <s v="100"/>
    <n v="3.7"/>
    <s v="TRUE"/>
    <n v="0.94"/>
  </r>
  <r>
    <s v="FL250782"/>
    <x v="775"/>
    <x v="1"/>
    <s v="59"/>
    <x v="5"/>
    <x v="1"/>
    <s v="Cybersecurity"/>
    <s v="17"/>
    <s v="50"/>
    <n v="1.4"/>
    <s v="TRUE"/>
    <n v="0.75"/>
  </r>
  <r>
    <s v="FL250783"/>
    <x v="776"/>
    <x v="0"/>
    <s v="Unknown"/>
    <x v="8"/>
    <x v="6"/>
    <s v="Blockchain Development"/>
    <s v="9"/>
    <s v="100"/>
    <n v="4.5"/>
    <s v="TRUE"/>
    <n v="0.83"/>
  </r>
  <r>
    <s v="FL250784"/>
    <x v="777"/>
    <x v="1"/>
    <s v="21"/>
    <x v="18"/>
    <x v="15"/>
    <s v="Data Analysis"/>
    <s v="0"/>
    <s v="40"/>
    <n v="3.7"/>
    <s v="FALSE"/>
    <n v="0.74"/>
  </r>
  <r>
    <s v="FL250785"/>
    <x v="778"/>
    <x v="1"/>
    <s v="53"/>
    <x v="7"/>
    <x v="1"/>
    <s v="DevOps"/>
    <s v="5"/>
    <s v="75"/>
    <n v="1.1000000000000001"/>
    <s v="FALSE"/>
    <n v="0.92"/>
  </r>
  <r>
    <s v="FL250786"/>
    <x v="779"/>
    <x v="1"/>
    <s v="35"/>
    <x v="8"/>
    <x v="6"/>
    <s v="Mobile Apps"/>
    <s v="15"/>
    <s v="50"/>
    <n v="3.7"/>
    <s v="TRUE"/>
    <n v="0.66"/>
  </r>
  <r>
    <s v="FL250787"/>
    <x v="780"/>
    <x v="0"/>
    <s v="25"/>
    <x v="11"/>
    <x v="9"/>
    <s v="Machine Learning"/>
    <s v="3"/>
    <s v="50"/>
    <n v="3.2"/>
    <s v="TRUE"/>
    <n v="0.74"/>
  </r>
  <r>
    <s v="FL250788"/>
    <x v="781"/>
    <x v="0"/>
    <s v="23"/>
    <x v="0"/>
    <x v="0"/>
    <s v="UI/UX Design"/>
    <s v="1"/>
    <s v="30"/>
    <n v="5"/>
    <s v="FALSE"/>
    <n v="0.97"/>
  </r>
  <r>
    <s v="FL250789"/>
    <x v="782"/>
    <x v="0"/>
    <s v="56"/>
    <x v="16"/>
    <x v="13"/>
    <s v="Graphic Design"/>
    <s v="13"/>
    <s v="30"/>
    <n v="0"/>
    <s v="TRUE"/>
    <n v="0.77"/>
  </r>
  <r>
    <s v="FL250790"/>
    <x v="783"/>
    <x v="0"/>
    <s v="31"/>
    <x v="19"/>
    <x v="6"/>
    <s v="UI/UX Design"/>
    <s v="6"/>
    <s v="50"/>
    <n v="3.5"/>
    <s v="FALSE"/>
    <n v="0.86"/>
  </r>
  <r>
    <s v="FL250791"/>
    <x v="784"/>
    <x v="1"/>
    <s v="24"/>
    <x v="5"/>
    <x v="1"/>
    <s v="Cybersecurity"/>
    <s v="4"/>
    <s v="50"/>
    <n v="3.1"/>
    <s v="TRUE"/>
    <n v="0.95"/>
  </r>
  <r>
    <s v="FL250792"/>
    <x v="785"/>
    <x v="0"/>
    <s v="35"/>
    <x v="11"/>
    <x v="9"/>
    <s v="Cybersecurity"/>
    <s v="7"/>
    <s v="50"/>
    <n v="3.9"/>
    <s v="FALSE"/>
    <n v="0.72"/>
  </r>
  <r>
    <s v="FL250793"/>
    <x v="786"/>
    <x v="0"/>
    <s v="20"/>
    <x v="20"/>
    <x v="6"/>
    <s v="AI"/>
    <s v="1"/>
    <s v="50"/>
    <n v="3.5"/>
    <s v="FALSE"/>
    <n v="0.71"/>
  </r>
  <r>
    <s v="FL250794"/>
    <x v="787"/>
    <x v="1"/>
    <s v="26"/>
    <x v="1"/>
    <x v="1"/>
    <s v="Data Analysis"/>
    <s v="5"/>
    <s v="100"/>
    <n v="2.5"/>
    <s v="TRUE"/>
    <n v="0.93"/>
  </r>
  <r>
    <s v="FL250795"/>
    <x v="788"/>
    <x v="1"/>
    <s v="54"/>
    <x v="7"/>
    <x v="1"/>
    <s v="DevOps"/>
    <s v="29"/>
    <s v="40"/>
    <n v="3.1"/>
    <s v="TRUE"/>
    <n v="0.75"/>
  </r>
  <r>
    <s v="FL250796"/>
    <x v="789"/>
    <x v="1"/>
    <s v="53"/>
    <x v="13"/>
    <x v="11"/>
    <s v="Cybersecurity"/>
    <s v="12"/>
    <s v="100"/>
    <n v="4.7"/>
    <s v="TRUE"/>
    <n v="0.87"/>
  </r>
  <r>
    <s v="FL250797"/>
    <x v="790"/>
    <x v="0"/>
    <s v="33"/>
    <x v="14"/>
    <x v="1"/>
    <s v="DevOps"/>
    <s v="4"/>
    <s v="50"/>
    <n v="1.9"/>
    <s v="TRUE"/>
    <n v="0.73"/>
  </r>
  <r>
    <s v="FL250798"/>
    <x v="791"/>
    <x v="1"/>
    <s v="43"/>
    <x v="3"/>
    <x v="3"/>
    <s v="Web Development"/>
    <s v="12"/>
    <s v="50"/>
    <n v="1.6"/>
    <s v="TRUE"/>
    <n v="0.74"/>
  </r>
  <r>
    <s v="FL250799"/>
    <x v="792"/>
    <x v="1"/>
    <s v="37"/>
    <x v="14"/>
    <x v="1"/>
    <s v="DevOps"/>
    <s v="3"/>
    <s v="20"/>
    <n v="2.5"/>
    <s v="FALSE"/>
    <n v="0.62"/>
  </r>
  <r>
    <s v="FL250800"/>
    <x v="793"/>
    <x v="0"/>
    <s v="58"/>
    <x v="15"/>
    <x v="12"/>
    <s v="Data Analysis"/>
    <s v="15"/>
    <s v="20"/>
    <n v="3.5"/>
    <s v="TRUE"/>
    <n v="0.98"/>
  </r>
  <r>
    <s v="FL250801"/>
    <x v="794"/>
    <x v="0"/>
    <s v="39"/>
    <x v="20"/>
    <x v="6"/>
    <s v="Mobile Apps"/>
    <s v="15"/>
    <s v="50"/>
    <n v="2.6"/>
    <s v="FALSE"/>
    <n v="0.8"/>
  </r>
  <r>
    <s v="FL250802"/>
    <x v="795"/>
    <x v="1"/>
    <s v="43"/>
    <x v="6"/>
    <x v="5"/>
    <s v="Graphic Design"/>
    <s v="13"/>
    <s v="20"/>
    <n v="1.2"/>
    <s v="TRUE"/>
    <n v="0.69"/>
  </r>
  <r>
    <s v="FL250803"/>
    <x v="796"/>
    <x v="0"/>
    <s v="40"/>
    <x v="20"/>
    <x v="6"/>
    <s v="Blockchain Development"/>
    <s v="20"/>
    <s v="30"/>
    <n v="2.6"/>
    <s v="TRUE"/>
    <n v="0.9"/>
  </r>
  <r>
    <s v="FL250804"/>
    <x v="797"/>
    <x v="0"/>
    <s v="51"/>
    <x v="7"/>
    <x v="1"/>
    <s v="Machine Learning"/>
    <s v="30"/>
    <s v="75"/>
    <n v="2.6"/>
    <s v="TRUE"/>
    <n v="0.74"/>
  </r>
  <r>
    <s v="FL250805"/>
    <x v="798"/>
    <x v="1"/>
    <s v="23"/>
    <x v="2"/>
    <x v="2"/>
    <s v="AI"/>
    <s v="4"/>
    <s v="50"/>
    <n v="4.5"/>
    <s v="FALSE"/>
    <n v="0.98"/>
  </r>
  <r>
    <s v="FL250806"/>
    <x v="799"/>
    <x v="0"/>
    <s v="31"/>
    <x v="4"/>
    <x v="4"/>
    <s v="Graphic Design"/>
    <s v="Unknown"/>
    <s v="20"/>
    <n v="2.6"/>
    <s v="TRUE"/>
    <n v="0.84"/>
  </r>
  <r>
    <s v="FL250807"/>
    <x v="800"/>
    <x v="0"/>
    <s v="44"/>
    <x v="13"/>
    <x v="11"/>
    <s v="Web Development"/>
    <s v="3"/>
    <s v="20"/>
    <n v="5"/>
    <s v="TRUE"/>
    <n v="0.75"/>
  </r>
  <r>
    <s v="FL250808"/>
    <x v="801"/>
    <x v="1"/>
    <s v="56"/>
    <x v="2"/>
    <x v="2"/>
    <s v="Mobile Apps"/>
    <s v="23"/>
    <s v="75"/>
    <n v="3.9"/>
    <s v="TRUE"/>
    <n v="0.75"/>
  </r>
  <r>
    <s v="FL250809"/>
    <x v="802"/>
    <x v="0"/>
    <s v="48"/>
    <x v="1"/>
    <x v="1"/>
    <s v="Cybersecurity"/>
    <s v="5"/>
    <s v="100"/>
    <n v="1.8"/>
    <s v="TRUE"/>
    <n v="0.97"/>
  </r>
  <r>
    <s v="FL250810"/>
    <x v="803"/>
    <x v="0"/>
    <s v="46"/>
    <x v="13"/>
    <x v="11"/>
    <s v="Web Development"/>
    <s v="28"/>
    <s v="30"/>
    <n v="4.2"/>
    <s v="TRUE"/>
    <n v="0.75"/>
  </r>
  <r>
    <s v="FL250811"/>
    <x v="804"/>
    <x v="1"/>
    <s v="21"/>
    <x v="16"/>
    <x v="13"/>
    <s v="AI"/>
    <s v="0"/>
    <s v="20"/>
    <n v="2.6"/>
    <s v="FALSE"/>
    <n v="0.64"/>
  </r>
  <r>
    <s v="FL250812"/>
    <x v="805"/>
    <x v="1"/>
    <s v="52"/>
    <x v="13"/>
    <x v="11"/>
    <s v="Data Analysis"/>
    <s v="30"/>
    <s v="30"/>
    <n v="2"/>
    <s v="TRUE"/>
    <n v="0.68"/>
  </r>
  <r>
    <s v="FL250813"/>
    <x v="806"/>
    <x v="0"/>
    <s v="39"/>
    <x v="13"/>
    <x v="11"/>
    <s v="Graphic Design"/>
    <s v="20"/>
    <s v="75"/>
    <n v="2.7"/>
    <s v="TRUE"/>
    <n v="0.67"/>
  </r>
  <r>
    <s v="FL250814"/>
    <x v="807"/>
    <x v="0"/>
    <s v="31"/>
    <x v="1"/>
    <x v="1"/>
    <s v="Mobile Apps"/>
    <s v="0"/>
    <s v="30"/>
    <n v="2.2999999999999998"/>
    <s v="FALSE"/>
    <n v="0.79"/>
  </r>
  <r>
    <s v="FL250815"/>
    <x v="808"/>
    <x v="1"/>
    <s v="22"/>
    <x v="12"/>
    <x v="10"/>
    <s v="UI/UX Design"/>
    <s v="4"/>
    <s v="40"/>
    <n v="3.8"/>
    <s v="TRUE"/>
    <n v="1"/>
  </r>
  <r>
    <s v="FL250816"/>
    <x v="809"/>
    <x v="0"/>
    <s v="38"/>
    <x v="7"/>
    <x v="1"/>
    <s v="UI/UX Design"/>
    <s v="10"/>
    <s v="40"/>
    <n v="2.6"/>
    <s v="FALSE"/>
    <n v="0.66"/>
  </r>
  <r>
    <s v="FL250817"/>
    <x v="810"/>
    <x v="1"/>
    <s v="44"/>
    <x v="8"/>
    <x v="6"/>
    <s v="Graphic Design"/>
    <s v="24"/>
    <s v="75"/>
    <n v="4.5999999999999996"/>
    <s v="FALSE"/>
    <n v="0.97"/>
  </r>
  <r>
    <s v="FL250818"/>
    <x v="811"/>
    <x v="1"/>
    <s v="53"/>
    <x v="4"/>
    <x v="4"/>
    <s v="Machine Learning"/>
    <s v="21"/>
    <s v="100"/>
    <n v="3.4"/>
    <s v="FALSE"/>
    <n v="0.62"/>
  </r>
  <r>
    <s v="FL250819"/>
    <x v="812"/>
    <x v="1"/>
    <s v="22"/>
    <x v="18"/>
    <x v="15"/>
    <s v="Data Analysis"/>
    <s v="2"/>
    <s v="20"/>
    <n v="2.6"/>
    <s v="FALSE"/>
    <n v="0.75"/>
  </r>
  <r>
    <s v="FL250820"/>
    <x v="813"/>
    <x v="0"/>
    <s v="40"/>
    <x v="10"/>
    <x v="8"/>
    <s v="Blockchain Development"/>
    <s v="14"/>
    <s v="75"/>
    <n v="0"/>
    <s v="TRUE"/>
    <n v="0.79"/>
  </r>
  <r>
    <s v="FL250821"/>
    <x v="814"/>
    <x v="0"/>
    <s v="49"/>
    <x v="18"/>
    <x v="15"/>
    <s v="Mobile Apps"/>
    <s v="15"/>
    <s v="40"/>
    <n v="3.9"/>
    <s v="TRUE"/>
    <n v="0.86"/>
  </r>
  <r>
    <s v="FL250822"/>
    <x v="815"/>
    <x v="1"/>
    <s v="30"/>
    <x v="1"/>
    <x v="1"/>
    <s v="UI/UX Design"/>
    <s v="11"/>
    <s v="30"/>
    <n v="4.2"/>
    <s v="FALSE"/>
    <n v="0.65"/>
  </r>
  <r>
    <s v="FL250823"/>
    <x v="816"/>
    <x v="0"/>
    <s v="37"/>
    <x v="9"/>
    <x v="7"/>
    <s v="AI"/>
    <s v="6"/>
    <s v="20"/>
    <n v="2.6"/>
    <s v="TRUE"/>
    <n v="0.99"/>
  </r>
  <r>
    <s v="FL250824"/>
    <x v="817"/>
    <x v="1"/>
    <s v="21"/>
    <x v="16"/>
    <x v="13"/>
    <s v="Graphic Design"/>
    <s v="2"/>
    <s v="100"/>
    <n v="3.6"/>
    <s v="TRUE"/>
    <n v="0.85"/>
  </r>
  <r>
    <s v="FL250825"/>
    <x v="818"/>
    <x v="1"/>
    <s v="20"/>
    <x v="12"/>
    <x v="10"/>
    <s v="AI"/>
    <s v="1"/>
    <s v="50"/>
    <n v="2.6"/>
    <s v="TRUE"/>
    <n v="0.81"/>
  </r>
  <r>
    <s v="FL250826"/>
    <x v="819"/>
    <x v="1"/>
    <s v="20"/>
    <x v="18"/>
    <x v="15"/>
    <s v="Data Analysis"/>
    <s v="2"/>
    <s v="40"/>
    <n v="2.1"/>
    <s v="FALSE"/>
    <n v="0.64"/>
  </r>
  <r>
    <s v="FL250827"/>
    <x v="820"/>
    <x v="1"/>
    <s v="20"/>
    <x v="8"/>
    <x v="6"/>
    <s v="Machine Learning"/>
    <s v="2"/>
    <s v="20"/>
    <n v="3.9"/>
    <s v="TRUE"/>
    <n v="0.84"/>
  </r>
  <r>
    <s v="FL250828"/>
    <x v="821"/>
    <x v="0"/>
    <s v="26"/>
    <x v="13"/>
    <x v="11"/>
    <s v="Machine Learning"/>
    <s v="2"/>
    <s v="40"/>
    <n v="0"/>
    <s v="TRUE"/>
    <n v="0.66"/>
  </r>
  <r>
    <s v="FL250829"/>
    <x v="822"/>
    <x v="0"/>
    <s v="50"/>
    <x v="12"/>
    <x v="10"/>
    <s v="Web Development"/>
    <s v="12"/>
    <s v="75"/>
    <n v="0"/>
    <s v="TRUE"/>
    <n v="0.75"/>
  </r>
  <r>
    <s v="FL250830"/>
    <x v="823"/>
    <x v="1"/>
    <s v="50"/>
    <x v="20"/>
    <x v="6"/>
    <s v="AI"/>
    <s v="28"/>
    <s v="30"/>
    <n v="1.8"/>
    <s v="TRUE"/>
    <n v="0.75"/>
  </r>
  <r>
    <s v="FL250831"/>
    <x v="824"/>
    <x v="0"/>
    <s v="54"/>
    <x v="4"/>
    <x v="4"/>
    <s v="AI"/>
    <s v="4"/>
    <s v="20"/>
    <n v="1.1000000000000001"/>
    <s v="TRUE"/>
    <n v="0.63"/>
  </r>
  <r>
    <s v="FL250832"/>
    <x v="825"/>
    <x v="1"/>
    <s v="54"/>
    <x v="20"/>
    <x v="6"/>
    <s v="Blockchain Development"/>
    <s v="3"/>
    <s v="20"/>
    <n v="1.6"/>
    <s v="TRUE"/>
    <n v="0.7"/>
  </r>
  <r>
    <s v="FL250833"/>
    <x v="826"/>
    <x v="0"/>
    <s v="34"/>
    <x v="16"/>
    <x v="13"/>
    <s v="Machine Learning"/>
    <s v="4"/>
    <s v="30"/>
    <n v="3.1"/>
    <s v="TRUE"/>
    <n v="0.9"/>
  </r>
  <r>
    <s v="FL250834"/>
    <x v="827"/>
    <x v="0"/>
    <s v="20"/>
    <x v="0"/>
    <x v="0"/>
    <s v="DevOps"/>
    <s v="1"/>
    <s v="50"/>
    <n v="3.4"/>
    <s v="TRUE"/>
    <n v="0.79"/>
  </r>
  <r>
    <s v="FL250835"/>
    <x v="828"/>
    <x v="1"/>
    <s v="29"/>
    <x v="2"/>
    <x v="2"/>
    <s v="AI"/>
    <s v="8"/>
    <s v="40"/>
    <n v="3.1"/>
    <s v="FALSE"/>
    <n v="0.6"/>
  </r>
  <r>
    <s v="FL250836"/>
    <x v="829"/>
    <x v="0"/>
    <s v="57"/>
    <x v="7"/>
    <x v="1"/>
    <s v="DevOps"/>
    <s v="11"/>
    <s v="75"/>
    <n v="2.2999999999999998"/>
    <s v="FALSE"/>
    <n v="0.75"/>
  </r>
  <r>
    <s v="FL250837"/>
    <x v="830"/>
    <x v="0"/>
    <s v="36"/>
    <x v="3"/>
    <x v="3"/>
    <s v="AI"/>
    <s v="8"/>
    <s v="40"/>
    <n v="2.6"/>
    <s v="FALSE"/>
    <n v="0.8"/>
  </r>
  <r>
    <s v="FL250838"/>
    <x v="831"/>
    <x v="1"/>
    <s v="51"/>
    <x v="12"/>
    <x v="10"/>
    <s v="Web Development"/>
    <s v="32"/>
    <s v="50"/>
    <n v="3.2"/>
    <s v="FALSE"/>
    <n v="0.88"/>
  </r>
  <r>
    <s v="FL250839"/>
    <x v="832"/>
    <x v="1"/>
    <s v="44"/>
    <x v="10"/>
    <x v="8"/>
    <s v="UI/UX Design"/>
    <s v="4"/>
    <s v="30"/>
    <n v="0"/>
    <s v="FALSE"/>
    <n v="0.8"/>
  </r>
  <r>
    <s v="FL250840"/>
    <x v="833"/>
    <x v="1"/>
    <s v="58"/>
    <x v="20"/>
    <x v="6"/>
    <s v="Cybersecurity"/>
    <s v="33"/>
    <s v="30"/>
    <n v="3.3"/>
    <s v="TRUE"/>
    <n v="0.71"/>
  </r>
  <r>
    <s v="FL250841"/>
    <x v="834"/>
    <x v="0"/>
    <s v="38"/>
    <x v="17"/>
    <x v="14"/>
    <s v="Mobile Apps"/>
    <s v="14"/>
    <s v="50"/>
    <n v="1.1000000000000001"/>
    <s v="TRUE"/>
    <n v="0.76"/>
  </r>
  <r>
    <s v="FL250842"/>
    <x v="835"/>
    <x v="1"/>
    <s v="24"/>
    <x v="5"/>
    <x v="1"/>
    <s v="UI/UX Design"/>
    <s v="6"/>
    <s v="30"/>
    <n v="4.5999999999999996"/>
    <s v="TRUE"/>
    <n v="0.93"/>
  </r>
  <r>
    <s v="FL250843"/>
    <x v="836"/>
    <x v="0"/>
    <s v="30"/>
    <x v="6"/>
    <x v="5"/>
    <s v="Blockchain Development"/>
    <s v="5"/>
    <s v="30"/>
    <n v="2.6"/>
    <s v="FALSE"/>
    <n v="0.75"/>
  </r>
  <r>
    <s v="FL250844"/>
    <x v="837"/>
    <x v="1"/>
    <s v="25"/>
    <x v="4"/>
    <x v="4"/>
    <s v="Cybersecurity"/>
    <s v="3"/>
    <s v="75"/>
    <n v="2.6"/>
    <s v="FALSE"/>
    <n v="0.83"/>
  </r>
  <r>
    <s v="FL250845"/>
    <x v="838"/>
    <x v="1"/>
    <s v="54"/>
    <x v="4"/>
    <x v="4"/>
    <s v="Mobile Apps"/>
    <s v="17"/>
    <s v="100"/>
    <n v="0"/>
    <s v="FALSE"/>
    <n v="0.71"/>
  </r>
  <r>
    <s v="FL250846"/>
    <x v="839"/>
    <x v="1"/>
    <s v="54"/>
    <x v="0"/>
    <x v="0"/>
    <s v="Cybersecurity"/>
    <s v="9"/>
    <s v="20"/>
    <n v="0"/>
    <s v="TRUE"/>
    <n v="0.96"/>
  </r>
  <r>
    <s v="FL250847"/>
    <x v="840"/>
    <x v="0"/>
    <s v="53"/>
    <x v="15"/>
    <x v="12"/>
    <s v="Graphic Design"/>
    <s v="16"/>
    <s v="40"/>
    <n v="0"/>
    <s v="FALSE"/>
    <n v="0.75"/>
  </r>
  <r>
    <s v="FL250848"/>
    <x v="841"/>
    <x v="1"/>
    <s v="22"/>
    <x v="13"/>
    <x v="11"/>
    <s v="AI"/>
    <s v="3"/>
    <s v="75"/>
    <n v="3.4"/>
    <s v="TRUE"/>
    <n v="0.65"/>
  </r>
  <r>
    <s v="FL250849"/>
    <x v="842"/>
    <x v="0"/>
    <s v="23"/>
    <x v="19"/>
    <x v="6"/>
    <s v="Data Analysis"/>
    <s v="2"/>
    <s v="20"/>
    <n v="1.3"/>
    <s v="FALSE"/>
    <n v="0.75"/>
  </r>
  <r>
    <s v="FL250850"/>
    <x v="843"/>
    <x v="0"/>
    <s v="47"/>
    <x v="15"/>
    <x v="12"/>
    <s v="Cybersecurity"/>
    <s v="16"/>
    <s v="50"/>
    <n v="1.9"/>
    <s v="FALSE"/>
    <n v="0.71"/>
  </r>
  <r>
    <s v="FL250851"/>
    <x v="844"/>
    <x v="1"/>
    <s v="24"/>
    <x v="15"/>
    <x v="12"/>
    <s v="Web Development"/>
    <s v="6"/>
    <s v="50"/>
    <n v="1.4"/>
    <s v="TRUE"/>
    <n v="0.63"/>
  </r>
  <r>
    <s v="FL250852"/>
    <x v="845"/>
    <x v="0"/>
    <s v="57"/>
    <x v="10"/>
    <x v="8"/>
    <s v="UI/UX Design"/>
    <s v="10"/>
    <s v="100"/>
    <n v="4.3"/>
    <s v="TRUE"/>
    <n v="0.75"/>
  </r>
  <r>
    <s v="FL250853"/>
    <x v="846"/>
    <x v="1"/>
    <s v="48"/>
    <x v="20"/>
    <x v="6"/>
    <s v="Graphic Design"/>
    <s v="16"/>
    <s v="30"/>
    <n v="2.6"/>
    <s v="FALSE"/>
    <n v="0.97"/>
  </r>
  <r>
    <s v="FL250854"/>
    <x v="847"/>
    <x v="0"/>
    <s v="21"/>
    <x v="6"/>
    <x v="5"/>
    <s v="UI/UX Design"/>
    <s v="0"/>
    <s v="100"/>
    <n v="4.3"/>
    <s v="FALSE"/>
    <n v="0.75"/>
  </r>
  <r>
    <s v="FL250855"/>
    <x v="848"/>
    <x v="1"/>
    <s v="33"/>
    <x v="9"/>
    <x v="7"/>
    <s v="AI"/>
    <s v="13"/>
    <s v="75"/>
    <n v="0"/>
    <s v="TRUE"/>
    <n v="0.75"/>
  </r>
  <r>
    <s v="FL250856"/>
    <x v="849"/>
    <x v="1"/>
    <s v="41"/>
    <x v="6"/>
    <x v="5"/>
    <s v="DevOps"/>
    <s v="12"/>
    <s v="50"/>
    <n v="1.3"/>
    <s v="FALSE"/>
    <n v="0.85"/>
  </r>
  <r>
    <s v="FL250857"/>
    <x v="850"/>
    <x v="1"/>
    <s v="40"/>
    <x v="1"/>
    <x v="1"/>
    <s v="Cybersecurity"/>
    <s v="13"/>
    <s v="50"/>
    <n v="2.9"/>
    <s v="FALSE"/>
    <n v="0.82"/>
  </r>
  <r>
    <s v="FL250858"/>
    <x v="851"/>
    <x v="0"/>
    <s v="40"/>
    <x v="19"/>
    <x v="6"/>
    <s v="Graphic Design"/>
    <s v="22"/>
    <s v="40"/>
    <n v="4.3"/>
    <s v="FALSE"/>
    <n v="0.95"/>
  </r>
  <r>
    <s v="FL250859"/>
    <x v="852"/>
    <x v="0"/>
    <s v="20"/>
    <x v="5"/>
    <x v="1"/>
    <s v="Graphic Design"/>
    <s v="1"/>
    <s v="50"/>
    <n v="2.7"/>
    <s v="FALSE"/>
    <n v="0.94"/>
  </r>
  <r>
    <s v="FL250860"/>
    <x v="853"/>
    <x v="0"/>
    <s v="42"/>
    <x v="19"/>
    <x v="6"/>
    <s v="Web Development"/>
    <s v="Unknown"/>
    <s v="50"/>
    <n v="4.2"/>
    <s v="TRUE"/>
    <n v="0.96"/>
  </r>
  <r>
    <s v="FL250861"/>
    <x v="854"/>
    <x v="1"/>
    <s v="32"/>
    <x v="14"/>
    <x v="1"/>
    <s v="Blockchain Development"/>
    <s v="12"/>
    <s v="40"/>
    <n v="0"/>
    <s v="TRUE"/>
    <n v="0.63"/>
  </r>
  <r>
    <s v="FL250862"/>
    <x v="855"/>
    <x v="1"/>
    <s v="60"/>
    <x v="9"/>
    <x v="7"/>
    <s v="AI"/>
    <s v="Unknown"/>
    <s v="20"/>
    <n v="2.2000000000000002"/>
    <s v="TRUE"/>
    <n v="0.6"/>
  </r>
  <r>
    <s v="FL250863"/>
    <x v="856"/>
    <x v="1"/>
    <s v="46"/>
    <x v="16"/>
    <x v="13"/>
    <s v="Machine Learning"/>
    <s v="12"/>
    <s v="50"/>
    <n v="4.7"/>
    <s v="TRUE"/>
    <n v="0.77"/>
  </r>
  <r>
    <s v="FL250864"/>
    <x v="857"/>
    <x v="1"/>
    <s v="29"/>
    <x v="18"/>
    <x v="15"/>
    <s v="DevOps"/>
    <s v="0"/>
    <s v="30"/>
    <n v="0"/>
    <s v="FALSE"/>
    <n v="0.63"/>
  </r>
  <r>
    <s v="FL250865"/>
    <x v="858"/>
    <x v="0"/>
    <s v="39"/>
    <x v="11"/>
    <x v="9"/>
    <s v="Mobile Apps"/>
    <s v="18"/>
    <s v="20"/>
    <n v="2.5"/>
    <s v="TRUE"/>
    <n v="0.61"/>
  </r>
  <r>
    <s v="FL250866"/>
    <x v="859"/>
    <x v="1"/>
    <s v="55"/>
    <x v="13"/>
    <x v="11"/>
    <s v="Mobile Apps"/>
    <s v="2"/>
    <s v="50"/>
    <n v="3.9"/>
    <s v="TRUE"/>
    <n v="0.88"/>
  </r>
  <r>
    <s v="FL250867"/>
    <x v="860"/>
    <x v="1"/>
    <s v="55"/>
    <x v="6"/>
    <x v="5"/>
    <s v="Cybersecurity"/>
    <s v="Unknown"/>
    <s v="100"/>
    <n v="1.2"/>
    <s v="TRUE"/>
    <n v="0.69"/>
  </r>
  <r>
    <s v="FL250868"/>
    <x v="861"/>
    <x v="1"/>
    <s v="40"/>
    <x v="4"/>
    <x v="4"/>
    <s v="Data Analysis"/>
    <s v="2"/>
    <s v="75"/>
    <n v="4.5"/>
    <s v="TRUE"/>
    <n v="0.75"/>
  </r>
  <r>
    <s v="FL250869"/>
    <x v="862"/>
    <x v="0"/>
    <s v="56"/>
    <x v="18"/>
    <x v="15"/>
    <s v="UI/UX Design"/>
    <s v="35"/>
    <s v="40"/>
    <n v="2.7"/>
    <s v="TRUE"/>
    <n v="0.82"/>
  </r>
  <r>
    <s v="FL250870"/>
    <x v="863"/>
    <x v="1"/>
    <s v="57"/>
    <x v="19"/>
    <x v="6"/>
    <s v="Mobile Apps"/>
    <s v="21"/>
    <s v="75"/>
    <n v="2"/>
    <s v="FALSE"/>
    <n v="0.96"/>
  </r>
  <r>
    <s v="FL250871"/>
    <x v="864"/>
    <x v="0"/>
    <s v="56"/>
    <x v="13"/>
    <x v="11"/>
    <s v="DevOps"/>
    <s v="3"/>
    <s v="40"/>
    <n v="1.7"/>
    <s v="FALSE"/>
    <n v="0.71"/>
  </r>
  <r>
    <s v="FL250872"/>
    <x v="865"/>
    <x v="0"/>
    <s v="49"/>
    <x v="2"/>
    <x v="2"/>
    <s v="Mobile Apps"/>
    <s v="24"/>
    <s v="75"/>
    <n v="3"/>
    <s v="TRUE"/>
    <n v="0.77"/>
  </r>
  <r>
    <s v="FL250873"/>
    <x v="866"/>
    <x v="1"/>
    <s v="26"/>
    <x v="20"/>
    <x v="6"/>
    <s v="Blockchain Development"/>
    <s v="Unknown"/>
    <s v="75"/>
    <n v="2.1"/>
    <s v="TRUE"/>
    <n v="0.75"/>
  </r>
  <r>
    <s v="FL250874"/>
    <x v="867"/>
    <x v="0"/>
    <s v="36"/>
    <x v="12"/>
    <x v="10"/>
    <s v="UI/UX Design"/>
    <s v="0"/>
    <s v="75"/>
    <n v="1.5"/>
    <s v="TRUE"/>
    <n v="0.73"/>
  </r>
  <r>
    <s v="FL250875"/>
    <x v="868"/>
    <x v="1"/>
    <s v="20"/>
    <x v="13"/>
    <x v="11"/>
    <s v="Web Development"/>
    <s v="2"/>
    <s v="30"/>
    <n v="1.7"/>
    <s v="TRUE"/>
    <n v="0.6"/>
  </r>
  <r>
    <s v="FL250876"/>
    <x v="869"/>
    <x v="0"/>
    <s v="40"/>
    <x v="20"/>
    <x v="6"/>
    <s v="AI"/>
    <s v="Unknown"/>
    <s v="50"/>
    <n v="1.2"/>
    <s v="TRUE"/>
    <n v="0.67"/>
  </r>
  <r>
    <s v="FL250877"/>
    <x v="870"/>
    <x v="0"/>
    <s v="30"/>
    <x v="10"/>
    <x v="8"/>
    <s v="Mobile Apps"/>
    <s v="6"/>
    <s v="75"/>
    <n v="0"/>
    <s v="TRUE"/>
    <n v="0.8"/>
  </r>
  <r>
    <s v="FL250878"/>
    <x v="871"/>
    <x v="1"/>
    <s v="51"/>
    <x v="1"/>
    <x v="1"/>
    <s v="Graphic Design"/>
    <s v="21"/>
    <s v="20"/>
    <n v="2.6"/>
    <s v="TRUE"/>
    <n v="0.75"/>
  </r>
  <r>
    <s v="FL250879"/>
    <x v="872"/>
    <x v="1"/>
    <s v="46"/>
    <x v="5"/>
    <x v="1"/>
    <s v="UI/UX Design"/>
    <s v="24"/>
    <s v="40"/>
    <n v="3.3"/>
    <s v="TRUE"/>
    <n v="0.87"/>
  </r>
  <r>
    <s v="FL250880"/>
    <x v="873"/>
    <x v="0"/>
    <s v="25"/>
    <x v="12"/>
    <x v="10"/>
    <s v="AI"/>
    <s v="6"/>
    <s v="20"/>
    <n v="2.1"/>
    <s v="FALSE"/>
    <n v="0.75"/>
  </r>
  <r>
    <s v="FL250881"/>
    <x v="874"/>
    <x v="1"/>
    <s v="53"/>
    <x v="3"/>
    <x v="3"/>
    <s v="Web Development"/>
    <s v="32"/>
    <s v="50"/>
    <n v="2.6"/>
    <s v="TRUE"/>
    <n v="0.75"/>
  </r>
  <r>
    <s v="FL250882"/>
    <x v="875"/>
    <x v="0"/>
    <s v="50"/>
    <x v="16"/>
    <x v="13"/>
    <s v="Mobile Apps"/>
    <s v="31"/>
    <s v="100"/>
    <n v="2.9"/>
    <s v="TRUE"/>
    <n v="0.89"/>
  </r>
  <r>
    <s v="FL250883"/>
    <x v="876"/>
    <x v="1"/>
    <s v="45"/>
    <x v="12"/>
    <x v="10"/>
    <s v="AI"/>
    <s v="Unknown"/>
    <s v="20"/>
    <n v="3.3"/>
    <s v="TRUE"/>
    <n v="0.93"/>
  </r>
  <r>
    <s v="FL250884"/>
    <x v="877"/>
    <x v="0"/>
    <s v="48"/>
    <x v="14"/>
    <x v="1"/>
    <s v="Cybersecurity"/>
    <s v="24"/>
    <s v="100"/>
    <n v="4.8"/>
    <s v="TRUE"/>
    <n v="0.84"/>
  </r>
  <r>
    <s v="FL250885"/>
    <x v="878"/>
    <x v="1"/>
    <s v="30"/>
    <x v="4"/>
    <x v="4"/>
    <s v="DevOps"/>
    <s v="Unknown"/>
    <s v="100"/>
    <n v="4.5"/>
    <s v="TRUE"/>
    <n v="0.78"/>
  </r>
  <r>
    <s v="FL250886"/>
    <x v="240"/>
    <x v="0"/>
    <s v="33"/>
    <x v="3"/>
    <x v="3"/>
    <s v="UI/UX Design"/>
    <s v="6"/>
    <s v="50"/>
    <n v="3.1"/>
    <s v="FALSE"/>
    <n v="0.9"/>
  </r>
  <r>
    <s v="FL250887"/>
    <x v="879"/>
    <x v="0"/>
    <s v="50"/>
    <x v="7"/>
    <x v="1"/>
    <s v="DevOps"/>
    <s v="11"/>
    <s v="50"/>
    <n v="4.9000000000000004"/>
    <s v="TRUE"/>
    <n v="0.88"/>
  </r>
  <r>
    <s v="FL250888"/>
    <x v="880"/>
    <x v="0"/>
    <s v="24"/>
    <x v="4"/>
    <x v="4"/>
    <s v="Data Analysis"/>
    <s v="Unknown"/>
    <s v="20"/>
    <n v="0"/>
    <s v="FALSE"/>
    <n v="0.76"/>
  </r>
  <r>
    <s v="FL250889"/>
    <x v="881"/>
    <x v="1"/>
    <s v="38"/>
    <x v="0"/>
    <x v="0"/>
    <s v="Web Development"/>
    <s v="14"/>
    <s v="75"/>
    <n v="1.5"/>
    <s v="FALSE"/>
    <n v="0.62"/>
  </r>
  <r>
    <s v="FL250890"/>
    <x v="882"/>
    <x v="1"/>
    <s v="56"/>
    <x v="9"/>
    <x v="7"/>
    <s v="DevOps"/>
    <s v="2"/>
    <s v="75"/>
    <n v="2.4"/>
    <s v="FALSE"/>
    <n v="0.75"/>
  </r>
  <r>
    <s v="FL250891"/>
    <x v="883"/>
    <x v="0"/>
    <s v="41"/>
    <x v="13"/>
    <x v="11"/>
    <s v="DevOps"/>
    <s v="2"/>
    <s v="100"/>
    <n v="4.5"/>
    <s v="FALSE"/>
    <n v="0.75"/>
  </r>
  <r>
    <s v="FL250892"/>
    <x v="884"/>
    <x v="1"/>
    <s v="Unknown"/>
    <x v="0"/>
    <x v="0"/>
    <s v="UI/UX Design"/>
    <s v="11"/>
    <s v="100"/>
    <n v="2.5"/>
    <s v="TRUE"/>
    <n v="0.8"/>
  </r>
  <r>
    <s v="FL250893"/>
    <x v="885"/>
    <x v="0"/>
    <s v="42"/>
    <x v="2"/>
    <x v="2"/>
    <s v="Graphic Design"/>
    <s v="13"/>
    <s v="30"/>
    <n v="3.3"/>
    <s v="TRUE"/>
    <n v="0.63"/>
  </r>
  <r>
    <s v="FL250894"/>
    <x v="886"/>
    <x v="1"/>
    <s v="26"/>
    <x v="10"/>
    <x v="8"/>
    <s v="Blockchain Development"/>
    <s v="7"/>
    <s v="75"/>
    <n v="3"/>
    <s v="TRUE"/>
    <n v="0.84"/>
  </r>
  <r>
    <s v="FL250895"/>
    <x v="887"/>
    <x v="0"/>
    <s v="44"/>
    <x v="14"/>
    <x v="1"/>
    <s v="Cybersecurity"/>
    <s v="25"/>
    <s v="75"/>
    <n v="2.7"/>
    <s v="TRUE"/>
    <n v="0.78"/>
  </r>
  <r>
    <s v="FL250896"/>
    <x v="888"/>
    <x v="1"/>
    <s v="46"/>
    <x v="14"/>
    <x v="1"/>
    <s v="Graphic Design"/>
    <s v="20"/>
    <s v="20"/>
    <n v="1.2"/>
    <s v="TRUE"/>
    <n v="0.74"/>
  </r>
  <r>
    <s v="FL250897"/>
    <x v="889"/>
    <x v="0"/>
    <s v="36"/>
    <x v="5"/>
    <x v="1"/>
    <s v="UI/UX Design"/>
    <s v="8"/>
    <s v="50"/>
    <n v="4.3"/>
    <s v="FALSE"/>
    <n v="0.9"/>
  </r>
  <r>
    <s v="FL250898"/>
    <x v="890"/>
    <x v="1"/>
    <s v="26"/>
    <x v="3"/>
    <x v="3"/>
    <s v="AI"/>
    <s v="6"/>
    <s v="40"/>
    <n v="1.3"/>
    <s v="FALSE"/>
    <n v="0.75"/>
  </r>
  <r>
    <s v="FL250899"/>
    <x v="891"/>
    <x v="1"/>
    <s v="21"/>
    <x v="2"/>
    <x v="2"/>
    <s v="UI/UX Design"/>
    <s v="3"/>
    <s v="50"/>
    <n v="4.5999999999999996"/>
    <s v="TRUE"/>
    <n v="0.75"/>
  </r>
  <r>
    <s v="FL250900"/>
    <x v="892"/>
    <x v="0"/>
    <s v="39"/>
    <x v="4"/>
    <x v="4"/>
    <s v="UI/UX Design"/>
    <s v="18"/>
    <s v="50"/>
    <n v="2.1"/>
    <s v="FALSE"/>
    <n v="0.75"/>
  </r>
  <r>
    <s v="FL250901"/>
    <x v="893"/>
    <x v="0"/>
    <s v="37"/>
    <x v="5"/>
    <x v="1"/>
    <s v="Blockchain Development"/>
    <s v="18"/>
    <s v="40"/>
    <n v="4.5"/>
    <s v="FALSE"/>
    <n v="0.72"/>
  </r>
  <r>
    <s v="FL250902"/>
    <x v="894"/>
    <x v="0"/>
    <s v="47"/>
    <x v="13"/>
    <x v="11"/>
    <s v="UI/UX Design"/>
    <s v="3"/>
    <s v="40"/>
    <n v="4.4000000000000004"/>
    <s v="TRUE"/>
    <n v="0.92"/>
  </r>
  <r>
    <s v="FL250903"/>
    <x v="895"/>
    <x v="0"/>
    <s v="53"/>
    <x v="13"/>
    <x v="11"/>
    <s v="Graphic Design"/>
    <s v="32"/>
    <s v="20"/>
    <n v="0"/>
    <s v="FALSE"/>
    <n v="0.75"/>
  </r>
  <r>
    <s v="FL250904"/>
    <x v="896"/>
    <x v="0"/>
    <s v="53"/>
    <x v="8"/>
    <x v="6"/>
    <s v="Mobile Apps"/>
    <s v="19"/>
    <s v="20"/>
    <n v="1.3"/>
    <s v="FALSE"/>
    <n v="0.75"/>
  </r>
  <r>
    <s v="FL250905"/>
    <x v="897"/>
    <x v="1"/>
    <s v="21"/>
    <x v="10"/>
    <x v="8"/>
    <s v="Data Analysis"/>
    <s v="2"/>
    <s v="50"/>
    <n v="2.6"/>
    <s v="TRUE"/>
    <n v="0.86"/>
  </r>
  <r>
    <s v="FL250906"/>
    <x v="898"/>
    <x v="0"/>
    <s v="35"/>
    <x v="7"/>
    <x v="1"/>
    <s v="Blockchain Development"/>
    <s v="0"/>
    <s v="50"/>
    <n v="2.6"/>
    <s v="TRUE"/>
    <n v="0.85"/>
  </r>
  <r>
    <s v="FL250907"/>
    <x v="899"/>
    <x v="1"/>
    <s v="31"/>
    <x v="8"/>
    <x v="6"/>
    <s v="Machine Learning"/>
    <s v="13"/>
    <s v="40"/>
    <n v="1.2"/>
    <s v="TRUE"/>
    <n v="0.62"/>
  </r>
  <r>
    <s v="FL250908"/>
    <x v="900"/>
    <x v="0"/>
    <s v="55"/>
    <x v="12"/>
    <x v="10"/>
    <s v="AI"/>
    <s v="2"/>
    <s v="30"/>
    <n v="3.1"/>
    <s v="TRUE"/>
    <n v="0.91"/>
  </r>
  <r>
    <s v="FL250909"/>
    <x v="901"/>
    <x v="0"/>
    <s v="59"/>
    <x v="6"/>
    <x v="5"/>
    <s v="Web Development"/>
    <s v="11"/>
    <s v="75"/>
    <n v="2.2999999999999998"/>
    <s v="TRUE"/>
    <n v="0.8"/>
  </r>
  <r>
    <s v="FL250910"/>
    <x v="902"/>
    <x v="1"/>
    <s v="59"/>
    <x v="15"/>
    <x v="12"/>
    <s v="Cybersecurity"/>
    <s v="17"/>
    <s v="100"/>
    <n v="4"/>
    <s v="FALSE"/>
    <n v="0.72"/>
  </r>
  <r>
    <s v="FL250911"/>
    <x v="903"/>
    <x v="1"/>
    <s v="47"/>
    <x v="10"/>
    <x v="8"/>
    <s v="Blockchain Development"/>
    <s v="10"/>
    <s v="75"/>
    <n v="1.9"/>
    <s v="TRUE"/>
    <n v="0.75"/>
  </r>
  <r>
    <s v="FL250912"/>
    <x v="904"/>
    <x v="0"/>
    <s v="53"/>
    <x v="17"/>
    <x v="14"/>
    <s v="Machine Learning"/>
    <s v="26"/>
    <s v="75"/>
    <n v="2.4"/>
    <s v="TRUE"/>
    <n v="0.75"/>
  </r>
  <r>
    <s v="FL250913"/>
    <x v="216"/>
    <x v="1"/>
    <s v="49"/>
    <x v="17"/>
    <x v="14"/>
    <s v="Data Analysis"/>
    <s v="Unknown"/>
    <s v="30"/>
    <n v="2.6"/>
    <s v="TRUE"/>
    <n v="0.74"/>
  </r>
  <r>
    <s v="FL250914"/>
    <x v="905"/>
    <x v="0"/>
    <s v="50"/>
    <x v="17"/>
    <x v="14"/>
    <s v="Mobile Apps"/>
    <s v="8"/>
    <s v="50"/>
    <n v="3.7"/>
    <s v="TRUE"/>
    <n v="0.82"/>
  </r>
  <r>
    <s v="FL250915"/>
    <x v="906"/>
    <x v="0"/>
    <s v="59"/>
    <x v="12"/>
    <x v="10"/>
    <s v="Machine Learning"/>
    <s v="22"/>
    <s v="100"/>
    <n v="1.1000000000000001"/>
    <s v="FALSE"/>
    <n v="0.85"/>
  </r>
  <r>
    <s v="FL250916"/>
    <x v="907"/>
    <x v="1"/>
    <s v="33"/>
    <x v="6"/>
    <x v="5"/>
    <s v="Data Analysis"/>
    <s v="8"/>
    <s v="75"/>
    <n v="2.2999999999999998"/>
    <s v="TRUE"/>
    <n v="0.68"/>
  </r>
  <r>
    <s v="FL250917"/>
    <x v="908"/>
    <x v="0"/>
    <s v="45"/>
    <x v="14"/>
    <x v="1"/>
    <s v="Web Development"/>
    <s v="22"/>
    <s v="40"/>
    <n v="3.7"/>
    <s v="TRUE"/>
    <n v="0.99"/>
  </r>
  <r>
    <s v="FL250918"/>
    <x v="909"/>
    <x v="0"/>
    <s v="36"/>
    <x v="0"/>
    <x v="0"/>
    <s v="Graphic Design"/>
    <s v="14"/>
    <s v="30"/>
    <n v="1.9"/>
    <s v="FALSE"/>
    <n v="0.62"/>
  </r>
  <r>
    <s v="FL250919"/>
    <x v="910"/>
    <x v="1"/>
    <s v="46"/>
    <x v="17"/>
    <x v="14"/>
    <s v="UI/UX Design"/>
    <s v="6"/>
    <s v="30"/>
    <n v="1.5"/>
    <s v="FALSE"/>
    <n v="0.75"/>
  </r>
  <r>
    <s v="FL250920"/>
    <x v="911"/>
    <x v="0"/>
    <s v="53"/>
    <x v="6"/>
    <x v="5"/>
    <s v="Graphic Design"/>
    <s v="14"/>
    <s v="30"/>
    <n v="0"/>
    <s v="TRUE"/>
    <n v="0.83"/>
  </r>
  <r>
    <s v="FL250921"/>
    <x v="912"/>
    <x v="0"/>
    <s v="24"/>
    <x v="5"/>
    <x v="1"/>
    <s v="Web Development"/>
    <s v="2"/>
    <s v="30"/>
    <n v="3.6"/>
    <s v="TRUE"/>
    <n v="0.92"/>
  </r>
  <r>
    <s v="FL250922"/>
    <x v="913"/>
    <x v="0"/>
    <s v="49"/>
    <x v="20"/>
    <x v="6"/>
    <s v="DevOps"/>
    <s v="4"/>
    <s v="75"/>
    <n v="2.1"/>
    <s v="TRUE"/>
    <n v="0.85"/>
  </r>
  <r>
    <s v="FL250923"/>
    <x v="914"/>
    <x v="0"/>
    <s v="49"/>
    <x v="12"/>
    <x v="10"/>
    <s v="AI"/>
    <s v="4"/>
    <s v="75"/>
    <n v="2.9"/>
    <s v="FALSE"/>
    <n v="0.75"/>
  </r>
  <r>
    <s v="FL250924"/>
    <x v="915"/>
    <x v="0"/>
    <s v="49"/>
    <x v="12"/>
    <x v="10"/>
    <s v="Mobile Apps"/>
    <s v="24"/>
    <s v="100"/>
    <n v="3.6"/>
    <s v="TRUE"/>
    <n v="0.75"/>
  </r>
  <r>
    <s v="FL250925"/>
    <x v="916"/>
    <x v="0"/>
    <s v="58"/>
    <x v="11"/>
    <x v="9"/>
    <s v="Blockchain Development"/>
    <s v="29"/>
    <s v="30"/>
    <n v="3.3"/>
    <s v="TRUE"/>
    <n v="0.89"/>
  </r>
  <r>
    <s v="FL250926"/>
    <x v="917"/>
    <x v="1"/>
    <s v="50"/>
    <x v="17"/>
    <x v="14"/>
    <s v="UI/UX Design"/>
    <s v="13"/>
    <s v="50"/>
    <n v="2.5"/>
    <s v="TRUE"/>
    <n v="0.81"/>
  </r>
  <r>
    <s v="FL250927"/>
    <x v="918"/>
    <x v="1"/>
    <s v="27"/>
    <x v="17"/>
    <x v="14"/>
    <s v="DevOps"/>
    <s v="1"/>
    <s v="100"/>
    <n v="3.7"/>
    <s v="TRUE"/>
    <n v="0.61"/>
  </r>
  <r>
    <s v="FL250928"/>
    <x v="919"/>
    <x v="0"/>
    <s v="20"/>
    <x v="12"/>
    <x v="10"/>
    <s v="Machine Learning"/>
    <s v="Unknown"/>
    <s v="30"/>
    <n v="4.5999999999999996"/>
    <s v="TRUE"/>
    <n v="0.75"/>
  </r>
  <r>
    <s v="FL250929"/>
    <x v="920"/>
    <x v="1"/>
    <s v="52"/>
    <x v="13"/>
    <x v="11"/>
    <s v="Blockchain Development"/>
    <s v="15"/>
    <s v="40"/>
    <n v="0"/>
    <s v="TRUE"/>
    <n v="0.92"/>
  </r>
  <r>
    <s v="FL250930"/>
    <x v="921"/>
    <x v="0"/>
    <s v="22"/>
    <x v="15"/>
    <x v="12"/>
    <s v="Machine Learning"/>
    <s v="2"/>
    <s v="30"/>
    <n v="2"/>
    <s v="FALSE"/>
    <n v="0.96"/>
  </r>
  <r>
    <s v="FL250931"/>
    <x v="922"/>
    <x v="0"/>
    <s v="38"/>
    <x v="6"/>
    <x v="5"/>
    <s v="Web Development"/>
    <s v="14"/>
    <s v="100"/>
    <n v="1.7"/>
    <s v="TRUE"/>
    <n v="0.66"/>
  </r>
  <r>
    <s v="FL250932"/>
    <x v="923"/>
    <x v="1"/>
    <s v="21"/>
    <x v="14"/>
    <x v="1"/>
    <s v="Graphic Design"/>
    <s v="0"/>
    <s v="100"/>
    <n v="3"/>
    <s v="FALSE"/>
    <n v="0.64"/>
  </r>
  <r>
    <s v="FL250933"/>
    <x v="924"/>
    <x v="1"/>
    <s v="41"/>
    <x v="1"/>
    <x v="1"/>
    <s v="AI"/>
    <s v="15"/>
    <s v="40"/>
    <n v="3.4"/>
    <s v="TRUE"/>
    <n v="1"/>
  </r>
  <r>
    <s v="FL250934"/>
    <x v="925"/>
    <x v="0"/>
    <s v="33"/>
    <x v="4"/>
    <x v="4"/>
    <s v="Blockchain Development"/>
    <s v="6"/>
    <s v="40"/>
    <n v="3.2"/>
    <s v="TRUE"/>
    <n v="0.95"/>
  </r>
  <r>
    <s v="FL250935"/>
    <x v="926"/>
    <x v="0"/>
    <s v="38"/>
    <x v="19"/>
    <x v="6"/>
    <s v="Mobile Apps"/>
    <s v="11"/>
    <s v="50"/>
    <n v="2.8"/>
    <s v="TRUE"/>
    <n v="0.91"/>
  </r>
  <r>
    <s v="FL250936"/>
    <x v="927"/>
    <x v="0"/>
    <s v="26"/>
    <x v="13"/>
    <x v="11"/>
    <s v="DevOps"/>
    <s v="8"/>
    <s v="20"/>
    <n v="4.0999999999999996"/>
    <s v="TRUE"/>
    <n v="0.82"/>
  </r>
  <r>
    <s v="FL250937"/>
    <x v="928"/>
    <x v="0"/>
    <s v="43"/>
    <x v="3"/>
    <x v="3"/>
    <s v="AI"/>
    <s v="3"/>
    <s v="20"/>
    <n v="0"/>
    <s v="TRUE"/>
    <n v="0.95"/>
  </r>
  <r>
    <s v="FL250938"/>
    <x v="929"/>
    <x v="0"/>
    <s v="21"/>
    <x v="0"/>
    <x v="0"/>
    <s v="Cybersecurity"/>
    <s v="0"/>
    <s v="50"/>
    <n v="0"/>
    <s v="TRUE"/>
    <n v="0.95"/>
  </r>
  <r>
    <s v="FL250939"/>
    <x v="930"/>
    <x v="1"/>
    <s v="47"/>
    <x v="12"/>
    <x v="10"/>
    <s v="Mobile Apps"/>
    <s v="7"/>
    <s v="30"/>
    <n v="2.6"/>
    <s v="TRUE"/>
    <n v="0.69"/>
  </r>
  <r>
    <s v="FL250940"/>
    <x v="931"/>
    <x v="1"/>
    <s v="35"/>
    <x v="20"/>
    <x v="6"/>
    <s v="Graphic Design"/>
    <s v="6"/>
    <s v="40"/>
    <n v="2.6"/>
    <s v="TRUE"/>
    <n v="0.91"/>
  </r>
  <r>
    <s v="FL250941"/>
    <x v="932"/>
    <x v="0"/>
    <s v="37"/>
    <x v="4"/>
    <x v="4"/>
    <s v="Mobile Apps"/>
    <s v="9"/>
    <s v="30"/>
    <n v="2.7"/>
    <s v="TRUE"/>
    <n v="0.75"/>
  </r>
  <r>
    <s v="FL250942"/>
    <x v="933"/>
    <x v="0"/>
    <s v="38"/>
    <x v="11"/>
    <x v="9"/>
    <s v="AI"/>
    <s v="15"/>
    <s v="40"/>
    <n v="4"/>
    <s v="TRUE"/>
    <n v="0.62"/>
  </r>
  <r>
    <s v="FL250943"/>
    <x v="934"/>
    <x v="1"/>
    <s v="40"/>
    <x v="14"/>
    <x v="1"/>
    <s v="Data Analysis"/>
    <s v="20"/>
    <s v="20"/>
    <n v="2.5"/>
    <s v="FALSE"/>
    <n v="0.81"/>
  </r>
  <r>
    <s v="FL250944"/>
    <x v="935"/>
    <x v="0"/>
    <s v="46"/>
    <x v="11"/>
    <x v="9"/>
    <s v="Data Analysis"/>
    <s v="16"/>
    <s v="75"/>
    <n v="0"/>
    <s v="FALSE"/>
    <n v="0.94"/>
  </r>
  <r>
    <s v="FL250945"/>
    <x v="936"/>
    <x v="1"/>
    <s v="56"/>
    <x v="16"/>
    <x v="13"/>
    <s v="DevOps"/>
    <s v="22"/>
    <s v="30"/>
    <n v="2.6"/>
    <s v="FALSE"/>
    <n v="0.95"/>
  </r>
  <r>
    <s v="FL250946"/>
    <x v="937"/>
    <x v="1"/>
    <s v="24"/>
    <x v="6"/>
    <x v="5"/>
    <s v="Graphic Design"/>
    <s v="2"/>
    <s v="50"/>
    <n v="1.6"/>
    <s v="FALSE"/>
    <n v="1"/>
  </r>
  <r>
    <s v="FL250947"/>
    <x v="938"/>
    <x v="1"/>
    <s v="Unknown"/>
    <x v="19"/>
    <x v="6"/>
    <s v="AI"/>
    <s v="1"/>
    <s v="75"/>
    <n v="0"/>
    <s v="TRUE"/>
    <n v="0.94"/>
  </r>
  <r>
    <s v="FL250948"/>
    <x v="939"/>
    <x v="0"/>
    <s v="38"/>
    <x v="6"/>
    <x v="5"/>
    <s v="Mobile Apps"/>
    <s v="8"/>
    <s v="30"/>
    <n v="4"/>
    <s v="TRUE"/>
    <n v="0.92"/>
  </r>
  <r>
    <s v="FL250949"/>
    <x v="940"/>
    <x v="0"/>
    <s v="28"/>
    <x v="15"/>
    <x v="12"/>
    <s v="DevOps"/>
    <s v="8"/>
    <s v="50"/>
    <n v="2.5"/>
    <s v="TRUE"/>
    <n v="0.95"/>
  </r>
  <r>
    <s v="FL250950"/>
    <x v="941"/>
    <x v="1"/>
    <s v="25"/>
    <x v="11"/>
    <x v="9"/>
    <s v="DevOps"/>
    <s v="7"/>
    <s v="20"/>
    <n v="3.8"/>
    <s v="TRUE"/>
    <n v="0.97"/>
  </r>
  <r>
    <s v="FL250951"/>
    <x v="942"/>
    <x v="1"/>
    <s v="41"/>
    <x v="7"/>
    <x v="1"/>
    <s v="DevOps"/>
    <s v="8"/>
    <s v="50"/>
    <n v="4.8"/>
    <s v="FALSE"/>
    <n v="0.75"/>
  </r>
  <r>
    <s v="FL250952"/>
    <x v="943"/>
    <x v="0"/>
    <s v="45"/>
    <x v="19"/>
    <x v="6"/>
    <s v="Data Analysis"/>
    <s v="6"/>
    <s v="40"/>
    <n v="2"/>
    <s v="TRUE"/>
    <n v="0.78"/>
  </r>
  <r>
    <s v="FL250953"/>
    <x v="944"/>
    <x v="1"/>
    <s v="47"/>
    <x v="6"/>
    <x v="5"/>
    <s v="DevOps"/>
    <s v="16"/>
    <s v="100"/>
    <n v="3.3"/>
    <s v="FALSE"/>
    <n v="0.65"/>
  </r>
  <r>
    <s v="FL250954"/>
    <x v="945"/>
    <x v="0"/>
    <s v="59"/>
    <x v="7"/>
    <x v="1"/>
    <s v="Data Analysis"/>
    <s v="40"/>
    <s v="40"/>
    <n v="2.5"/>
    <s v="TRUE"/>
    <n v="0.7"/>
  </r>
  <r>
    <s v="FL250955"/>
    <x v="946"/>
    <x v="0"/>
    <s v="25"/>
    <x v="14"/>
    <x v="1"/>
    <s v="Blockchain Development"/>
    <s v="6"/>
    <s v="100"/>
    <n v="2.6"/>
    <s v="TRUE"/>
    <n v="0.78"/>
  </r>
  <r>
    <s v="FL250956"/>
    <x v="947"/>
    <x v="1"/>
    <s v="27"/>
    <x v="1"/>
    <x v="1"/>
    <s v="Web Development"/>
    <s v="3"/>
    <s v="50"/>
    <n v="2.6"/>
    <s v="TRUE"/>
    <n v="0.96"/>
  </r>
  <r>
    <s v="FL250957"/>
    <x v="948"/>
    <x v="0"/>
    <s v="57"/>
    <x v="1"/>
    <x v="1"/>
    <s v="AI"/>
    <s v="5"/>
    <s v="100"/>
    <n v="0"/>
    <s v="TRUE"/>
    <n v="0.8"/>
  </r>
  <r>
    <s v="FL250958"/>
    <x v="949"/>
    <x v="0"/>
    <s v="34"/>
    <x v="6"/>
    <x v="5"/>
    <s v="UI/UX Design"/>
    <s v="12"/>
    <s v="20"/>
    <n v="1.6"/>
    <s v="TRUE"/>
    <n v="0.64"/>
  </r>
  <r>
    <s v="FL250959"/>
    <x v="950"/>
    <x v="1"/>
    <s v="55"/>
    <x v="15"/>
    <x v="12"/>
    <s v="UI/UX Design"/>
    <s v="33"/>
    <s v="50"/>
    <n v="0"/>
    <s v="TRUE"/>
    <n v="0.92"/>
  </r>
  <r>
    <s v="FL250960"/>
    <x v="951"/>
    <x v="1"/>
    <s v="21"/>
    <x v="16"/>
    <x v="13"/>
    <s v="Blockchain Development"/>
    <s v="1"/>
    <s v="100"/>
    <n v="0"/>
    <s v="TRUE"/>
    <n v="0.75"/>
  </r>
  <r>
    <s v="FL250961"/>
    <x v="952"/>
    <x v="1"/>
    <s v="53"/>
    <x v="3"/>
    <x v="3"/>
    <s v="DevOps"/>
    <s v="27"/>
    <s v="20"/>
    <n v="4.7"/>
    <s v="TRUE"/>
    <n v="0.71"/>
  </r>
  <r>
    <s v="FL250962"/>
    <x v="953"/>
    <x v="0"/>
    <s v="21"/>
    <x v="2"/>
    <x v="2"/>
    <s v="UI/UX Design"/>
    <s v="1"/>
    <s v="100"/>
    <n v="0"/>
    <s v="TRUE"/>
    <n v="0.95"/>
  </r>
  <r>
    <s v="FL250963"/>
    <x v="954"/>
    <x v="0"/>
    <s v="36"/>
    <x v="11"/>
    <x v="9"/>
    <s v="Web Development"/>
    <s v="Unknown"/>
    <s v="20"/>
    <n v="4.0999999999999996"/>
    <s v="FALSE"/>
    <n v="0.86"/>
  </r>
  <r>
    <s v="FL250964"/>
    <x v="955"/>
    <x v="1"/>
    <s v="40"/>
    <x v="2"/>
    <x v="2"/>
    <s v="AI"/>
    <s v="2"/>
    <s v="30"/>
    <n v="1.3"/>
    <s v="TRUE"/>
    <n v="0.77"/>
  </r>
  <r>
    <s v="FL250965"/>
    <x v="956"/>
    <x v="0"/>
    <s v="59"/>
    <x v="7"/>
    <x v="1"/>
    <s v="UI/UX Design"/>
    <s v="40"/>
    <s v="100"/>
    <n v="2.6"/>
    <s v="TRUE"/>
    <n v="0.75"/>
  </r>
  <r>
    <s v="FL250966"/>
    <x v="957"/>
    <x v="1"/>
    <s v="45"/>
    <x v="3"/>
    <x v="3"/>
    <s v="Cybersecurity"/>
    <s v="4"/>
    <s v="20"/>
    <n v="2.7"/>
    <s v="TRUE"/>
    <n v="0.72"/>
  </r>
  <r>
    <s v="FL250967"/>
    <x v="958"/>
    <x v="1"/>
    <s v="44"/>
    <x v="12"/>
    <x v="10"/>
    <s v="Machine Learning"/>
    <s v="9"/>
    <s v="40"/>
    <n v="2.6"/>
    <s v="FALSE"/>
    <n v="0.7"/>
  </r>
  <r>
    <s v="FL250968"/>
    <x v="959"/>
    <x v="0"/>
    <s v="36"/>
    <x v="7"/>
    <x v="1"/>
    <s v="Cybersecurity"/>
    <s v="13"/>
    <s v="30"/>
    <n v="3.6"/>
    <s v="FALSE"/>
    <n v="0.86"/>
  </r>
  <r>
    <s v="FL250969"/>
    <x v="960"/>
    <x v="0"/>
    <s v="26"/>
    <x v="10"/>
    <x v="8"/>
    <s v="Graphic Design"/>
    <s v="1"/>
    <s v="75"/>
    <n v="3"/>
    <s v="TRUE"/>
    <n v="0.75"/>
  </r>
  <r>
    <s v="FL250970"/>
    <x v="961"/>
    <x v="1"/>
    <s v="49"/>
    <x v="10"/>
    <x v="8"/>
    <s v="Web Development"/>
    <s v="1"/>
    <s v="50"/>
    <n v="0"/>
    <s v="FALSE"/>
    <n v="0.82"/>
  </r>
  <r>
    <s v="FL250971"/>
    <x v="962"/>
    <x v="1"/>
    <s v="29"/>
    <x v="15"/>
    <x v="12"/>
    <s v="Mobile Apps"/>
    <s v="3"/>
    <s v="40"/>
    <n v="0"/>
    <s v="TRUE"/>
    <n v="0.81"/>
  </r>
  <r>
    <s v="FL250972"/>
    <x v="963"/>
    <x v="1"/>
    <s v="32"/>
    <x v="15"/>
    <x v="12"/>
    <s v="Graphic Design"/>
    <s v="1"/>
    <s v="40"/>
    <n v="3.1"/>
    <s v="TRUE"/>
    <n v="0.76"/>
  </r>
  <r>
    <s v="FL250973"/>
    <x v="964"/>
    <x v="1"/>
    <s v="24"/>
    <x v="4"/>
    <x v="4"/>
    <s v="Blockchain Development"/>
    <s v="3"/>
    <s v="30"/>
    <n v="3.9"/>
    <s v="FALSE"/>
    <n v="0.9"/>
  </r>
  <r>
    <s v="FL250974"/>
    <x v="965"/>
    <x v="1"/>
    <s v="35"/>
    <x v="12"/>
    <x v="10"/>
    <s v="DevOps"/>
    <s v="14"/>
    <s v="30"/>
    <n v="1.6"/>
    <s v="TRUE"/>
    <n v="0.67"/>
  </r>
  <r>
    <s v="FL250975"/>
    <x v="966"/>
    <x v="0"/>
    <s v="43"/>
    <x v="20"/>
    <x v="6"/>
    <s v="Blockchain Development"/>
    <s v="2"/>
    <s v="50"/>
    <n v="1.8"/>
    <s v="FALSE"/>
    <n v="0.61"/>
  </r>
  <r>
    <s v="FL250976"/>
    <x v="967"/>
    <x v="1"/>
    <s v="53"/>
    <x v="12"/>
    <x v="10"/>
    <s v="Machine Learning"/>
    <s v="27"/>
    <s v="100"/>
    <n v="3.7"/>
    <s v="FALSE"/>
    <n v="0.73"/>
  </r>
  <r>
    <s v="FL250977"/>
    <x v="968"/>
    <x v="0"/>
    <s v="38"/>
    <x v="13"/>
    <x v="11"/>
    <s v="DevOps"/>
    <s v="7"/>
    <s v="75"/>
    <n v="2.6"/>
    <s v="FALSE"/>
    <n v="0.75"/>
  </r>
  <r>
    <s v="FL250978"/>
    <x v="969"/>
    <x v="1"/>
    <s v="57"/>
    <x v="7"/>
    <x v="1"/>
    <s v="Cybersecurity"/>
    <s v="29"/>
    <s v="75"/>
    <n v="4.0999999999999996"/>
    <s v="FALSE"/>
    <n v="0.9"/>
  </r>
  <r>
    <s v="FL250979"/>
    <x v="970"/>
    <x v="1"/>
    <s v="27"/>
    <x v="18"/>
    <x v="15"/>
    <s v="Blockchain Development"/>
    <s v="5"/>
    <s v="75"/>
    <n v="1.4"/>
    <s v="TRUE"/>
    <n v="0.64"/>
  </r>
  <r>
    <s v="FL250980"/>
    <x v="971"/>
    <x v="1"/>
    <s v="43"/>
    <x v="8"/>
    <x v="6"/>
    <s v="Web Development"/>
    <s v="2"/>
    <s v="100"/>
    <n v="1.1000000000000001"/>
    <s v="TRUE"/>
    <n v="0.63"/>
  </r>
  <r>
    <s v="FL250981"/>
    <x v="972"/>
    <x v="1"/>
    <s v="48"/>
    <x v="14"/>
    <x v="1"/>
    <s v="Data Analysis"/>
    <s v="18"/>
    <s v="40"/>
    <n v="3.9"/>
    <s v="TRUE"/>
    <n v="0.75"/>
  </r>
  <r>
    <s v="FL250982"/>
    <x v="973"/>
    <x v="1"/>
    <s v="26"/>
    <x v="11"/>
    <x v="9"/>
    <s v="Cybersecurity"/>
    <s v="8"/>
    <s v="20"/>
    <n v="3.6"/>
    <s v="FALSE"/>
    <n v="0.67"/>
  </r>
  <r>
    <s v="FL250983"/>
    <x v="974"/>
    <x v="0"/>
    <s v="Unknown"/>
    <x v="17"/>
    <x v="14"/>
    <s v="Graphic Design"/>
    <s v="0"/>
    <s v="40"/>
    <n v="0"/>
    <s v="FALSE"/>
    <n v="0.97"/>
  </r>
  <r>
    <s v="FL250984"/>
    <x v="975"/>
    <x v="0"/>
    <s v="50"/>
    <x v="0"/>
    <x v="0"/>
    <s v="Data Analysis"/>
    <s v="16"/>
    <s v="75"/>
    <n v="4.5"/>
    <s v="FALSE"/>
    <n v="0.69"/>
  </r>
  <r>
    <s v="FL250985"/>
    <x v="976"/>
    <x v="1"/>
    <s v="48"/>
    <x v="17"/>
    <x v="14"/>
    <s v="Web Development"/>
    <s v="8"/>
    <s v="50"/>
    <n v="2.6"/>
    <s v="TRUE"/>
    <n v="0.73"/>
  </r>
  <r>
    <s v="FL250986"/>
    <x v="977"/>
    <x v="1"/>
    <s v="60"/>
    <x v="20"/>
    <x v="6"/>
    <s v="Blockchain Development"/>
    <s v="39"/>
    <s v="20"/>
    <n v="1.4"/>
    <s v="TRUE"/>
    <n v="0.86"/>
  </r>
  <r>
    <s v="FL250987"/>
    <x v="978"/>
    <x v="1"/>
    <s v="26"/>
    <x v="16"/>
    <x v="13"/>
    <s v="Machine Learning"/>
    <s v="Unknown"/>
    <s v="50"/>
    <n v="0"/>
    <s v="TRUE"/>
    <n v="0.81"/>
  </r>
  <r>
    <s v="FL250988"/>
    <x v="979"/>
    <x v="0"/>
    <s v="35"/>
    <x v="12"/>
    <x v="10"/>
    <s v="Graphic Design"/>
    <s v="16"/>
    <s v="100"/>
    <n v="4.3"/>
    <s v="TRUE"/>
    <n v="0.74"/>
  </r>
  <r>
    <s v="FL250989"/>
    <x v="980"/>
    <x v="1"/>
    <s v="23"/>
    <x v="5"/>
    <x v="1"/>
    <s v="Blockchain Development"/>
    <s v="4"/>
    <s v="100"/>
    <n v="2.2000000000000002"/>
    <s v="TRUE"/>
    <n v="0.64"/>
  </r>
  <r>
    <s v="FL250990"/>
    <x v="981"/>
    <x v="1"/>
    <s v="37"/>
    <x v="1"/>
    <x v="1"/>
    <s v="Graphic Design"/>
    <s v="4"/>
    <s v="75"/>
    <n v="3.2"/>
    <s v="TRUE"/>
    <n v="0.76"/>
  </r>
  <r>
    <s v="FL250991"/>
    <x v="982"/>
    <x v="0"/>
    <s v="21"/>
    <x v="8"/>
    <x v="6"/>
    <s v="AI"/>
    <s v="2"/>
    <s v="100"/>
    <n v="3.7"/>
    <s v="TRUE"/>
    <n v="0.73"/>
  </r>
  <r>
    <s v="FL250992"/>
    <x v="983"/>
    <x v="0"/>
    <s v="58"/>
    <x v="2"/>
    <x v="2"/>
    <s v="UI/UX Design"/>
    <s v="37"/>
    <s v="50"/>
    <n v="4.9000000000000004"/>
    <s v="TRUE"/>
    <n v="0.69"/>
  </r>
  <r>
    <s v="FL250993"/>
    <x v="984"/>
    <x v="0"/>
    <s v="52"/>
    <x v="4"/>
    <x v="4"/>
    <s v="Mobile Apps"/>
    <s v="32"/>
    <s v="75"/>
    <n v="3.2"/>
    <s v="FALSE"/>
    <n v="0.79"/>
  </r>
  <r>
    <s v="FL250994"/>
    <x v="985"/>
    <x v="1"/>
    <s v="46"/>
    <x v="13"/>
    <x v="11"/>
    <s v="Mobile Apps"/>
    <s v="8"/>
    <s v="20"/>
    <n v="2.2000000000000002"/>
    <s v="TRUE"/>
    <n v="0.89"/>
  </r>
  <r>
    <s v="FL250995"/>
    <x v="986"/>
    <x v="0"/>
    <s v="34"/>
    <x v="17"/>
    <x v="14"/>
    <s v="DevOps"/>
    <s v="8"/>
    <s v="30"/>
    <n v="3.9"/>
    <s v="TRUE"/>
    <n v="0.95"/>
  </r>
  <r>
    <s v="FL250996"/>
    <x v="987"/>
    <x v="1"/>
    <s v="56"/>
    <x v="6"/>
    <x v="5"/>
    <s v="DevOps"/>
    <s v="13"/>
    <s v="100"/>
    <n v="0"/>
    <s v="FALSE"/>
    <n v="0.68"/>
  </r>
  <r>
    <s v="FL250997"/>
    <x v="988"/>
    <x v="0"/>
    <s v="26"/>
    <x v="2"/>
    <x v="2"/>
    <s v="Blockchain Development"/>
    <s v="6"/>
    <s v="40"/>
    <n v="2.8"/>
    <s v="FALSE"/>
    <n v="0.82"/>
  </r>
  <r>
    <s v="FL250998"/>
    <x v="989"/>
    <x v="0"/>
    <s v="37"/>
    <x v="9"/>
    <x v="7"/>
    <s v="Data Analysis"/>
    <s v="15"/>
    <s v="75"/>
    <n v="2.6"/>
    <s v="TRUE"/>
    <n v="0.94"/>
  </r>
  <r>
    <s v="FL250999"/>
    <x v="990"/>
    <x v="1"/>
    <s v="46"/>
    <x v="13"/>
    <x v="11"/>
    <s v="Machine Learning"/>
    <s v="22"/>
    <s v="100"/>
    <n v="2.8"/>
    <s v="TRUE"/>
    <n v="0.97"/>
  </r>
  <r>
    <s v="FL251000"/>
    <x v="991"/>
    <x v="0"/>
    <s v="36"/>
    <x v="19"/>
    <x v="6"/>
    <s v="UI/UX Design"/>
    <s v="18"/>
    <s v="20"/>
    <n v="1.7"/>
    <s v="TRUE"/>
    <n v="0.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250001"/>
    <s v="Nicole Kidd"/>
    <x v="0"/>
    <s v="52"/>
    <x v="0"/>
    <s v="Italian"/>
    <s v="Blockchain Development"/>
    <s v="11"/>
    <n v="100"/>
    <n v="2.6"/>
    <s v="FALSE"/>
    <n v="0.75"/>
  </r>
  <r>
    <s v="FL250002"/>
    <s v="Vanessa Garcia"/>
    <x v="0"/>
    <s v="52"/>
    <x v="1"/>
    <s v="English"/>
    <s v="Mobile Apps"/>
    <s v="34"/>
    <n v="100"/>
    <n v="3.3"/>
    <s v="TRUE"/>
    <n v="0.84"/>
  </r>
  <r>
    <s v="FL250003"/>
    <s v="Juan Nelson"/>
    <x v="1"/>
    <s v="53"/>
    <x v="2"/>
    <s v="German"/>
    <s v="Graphic Design"/>
    <s v="31"/>
    <n v="50"/>
    <n v="0"/>
    <s v="FALSE"/>
    <n v="0.71"/>
  </r>
  <r>
    <s v="FL250004"/>
    <s v="Amanda Spencer"/>
    <x v="0"/>
    <s v="38"/>
    <x v="1"/>
    <s v="English"/>
    <s v="Web Development"/>
    <s v="4"/>
    <n v="40"/>
    <n v="1.5"/>
    <s v="FALSE"/>
    <n v="0.9"/>
  </r>
  <r>
    <s v="FL250005"/>
    <s v="Lynn Curtis Dds"/>
    <x v="0"/>
    <s v="53"/>
    <x v="2"/>
    <s v="German"/>
    <s v="Web Development"/>
    <s v="27"/>
    <n v="30"/>
    <n v="4.8"/>
    <s v="FALSE"/>
    <n v="0.83"/>
  </r>
  <r>
    <s v="FL250006"/>
    <s v="Lisa Johnson"/>
    <x v="0"/>
    <s v="59"/>
    <x v="3"/>
    <s v="Dutch"/>
    <s v="AI"/>
    <s v="14"/>
    <n v="30"/>
    <n v="2.4"/>
    <s v="TRUE"/>
    <n v="0.75"/>
  </r>
  <r>
    <s v="FL250007"/>
    <s v="Eric Myers"/>
    <x v="1"/>
    <s v="52"/>
    <x v="4"/>
    <s v="Indonesian"/>
    <s v="Data Analysis"/>
    <s v="10"/>
    <n v="75"/>
    <n v="3.1"/>
    <s v="FALSE"/>
    <n v="0.94"/>
  </r>
  <r>
    <s v="FL250008"/>
    <s v="Ricky Graham"/>
    <x v="1"/>
    <s v="43"/>
    <x v="0"/>
    <s v="Italian"/>
    <s v="Blockchain Development"/>
    <s v="14"/>
    <n v="40"/>
    <n v="4.5999999999999996"/>
    <s v="TRUE"/>
    <n v="0.94"/>
  </r>
  <r>
    <s v="FL250009"/>
    <s v="Sean Martin"/>
    <x v="1"/>
    <s v="26"/>
    <x v="5"/>
    <s v="English"/>
    <s v="Blockchain Development"/>
    <s v="4"/>
    <n v="50"/>
    <n v="4"/>
    <s v="TRUE"/>
    <n v="0.76"/>
  </r>
  <r>
    <s v="FL250010"/>
    <s v="Matthew Lloyd"/>
    <x v="1"/>
    <s v="52"/>
    <x v="6"/>
    <s v="Turkish"/>
    <s v="AI"/>
    <s v="22"/>
    <n v="50"/>
    <n v="2.6"/>
    <s v="TRUE"/>
    <n v="0.75"/>
  </r>
  <r>
    <s v="FL250011"/>
    <s v="Gavin Randall"/>
    <x v="1"/>
    <s v="40"/>
    <x v="7"/>
    <s v="English"/>
    <s v="Data Analysis"/>
    <s v="17"/>
    <n v="40"/>
    <n v="3.6"/>
    <s v="TRUE"/>
    <n v="0.77"/>
  </r>
  <r>
    <s v="FL250012"/>
    <s v="Michelle Curtis"/>
    <x v="0"/>
    <s v="55"/>
    <x v="8"/>
    <s v="Spanish"/>
    <s v="UI/UX Design"/>
    <s v="15"/>
    <n v="50"/>
    <n v="2.6"/>
    <s v="TRUE"/>
    <n v="0.86"/>
  </r>
  <r>
    <s v="FL250013"/>
    <s v="Alice Schneider"/>
    <x v="0"/>
    <s v="57"/>
    <x v="7"/>
    <s v="English"/>
    <s v="Cybersecurity"/>
    <s v="18"/>
    <n v="50"/>
    <n v="2"/>
    <s v="FALSE"/>
    <n v="0.86"/>
  </r>
  <r>
    <s v="FL250014"/>
    <s v="Phillip Shelton"/>
    <x v="1"/>
    <s v="38"/>
    <x v="8"/>
    <s v="Spanish"/>
    <s v="Graphic Design"/>
    <s v="20"/>
    <n v="75"/>
    <n v="2.9"/>
    <s v="TRUE"/>
    <n v="0.93"/>
  </r>
  <r>
    <s v="FL250015"/>
    <s v="Edward Ferguson"/>
    <x v="1"/>
    <s v="50"/>
    <x v="2"/>
    <s v="German"/>
    <s v="Data Analysis"/>
    <s v="22"/>
    <n v="75"/>
    <n v="3.7"/>
    <s v="TRUE"/>
    <n v="0.7"/>
  </r>
  <r>
    <s v="FL250016"/>
    <s v="Wyatt Stout"/>
    <x v="1"/>
    <s v="42"/>
    <x v="9"/>
    <s v="Japanese"/>
    <s v="Data Analysis"/>
    <s v="0"/>
    <n v="30"/>
    <n v="1.2"/>
    <s v="FALSE"/>
    <n v="0.69"/>
  </r>
  <r>
    <s v="FL250017"/>
    <s v="Laura Johnson"/>
    <x v="0"/>
    <s v="39"/>
    <x v="1"/>
    <s v="English"/>
    <s v="DevOps"/>
    <s v="13"/>
    <n v="30"/>
    <n v="2.5"/>
    <s v="TRUE"/>
    <n v="0.6"/>
  </r>
  <r>
    <s v="FL250018"/>
    <s v="Scott Burns"/>
    <x v="1"/>
    <s v="56"/>
    <x v="10"/>
    <s v="Hindi"/>
    <s v="Blockchain Development"/>
    <s v="Unknown"/>
    <n v="50"/>
    <n v="2.6"/>
    <s v="TRUE"/>
    <n v="0.87"/>
  </r>
  <r>
    <s v="FL250019"/>
    <s v="Tyler Aguirre"/>
    <x v="1"/>
    <s v="56"/>
    <x v="5"/>
    <s v="English"/>
    <s v="UI/UX Design"/>
    <s v="31"/>
    <n v="50"/>
    <n v="1.1000000000000001"/>
    <s v="FALSE"/>
    <n v="0.75"/>
  </r>
  <r>
    <s v="FL250020"/>
    <s v="Matthew Lawson"/>
    <x v="1"/>
    <s v="57"/>
    <x v="0"/>
    <s v="Italian"/>
    <s v="Web Development"/>
    <s v="3"/>
    <n v="100"/>
    <n v="1.8"/>
    <s v="TRUE"/>
    <n v="0.68"/>
  </r>
  <r>
    <s v="FL250021"/>
    <s v="James Cherry"/>
    <x v="1"/>
    <s v="Unknown"/>
    <x v="4"/>
    <s v="Indonesian"/>
    <s v="AI"/>
    <s v="9"/>
    <n v="50"/>
    <n v="1.8"/>
    <s v="TRUE"/>
    <n v="0.65"/>
  </r>
  <r>
    <s v="FL250022"/>
    <s v="Samuel Sanford"/>
    <x v="1"/>
    <s v="51"/>
    <x v="9"/>
    <s v="Japanese"/>
    <s v="DevOps"/>
    <s v="Unknown"/>
    <n v="50"/>
    <n v="2.4"/>
    <s v="FALSE"/>
    <n v="0.69"/>
  </r>
  <r>
    <s v="FL250023"/>
    <s v="Cesar Greene"/>
    <x v="1"/>
    <s v="51"/>
    <x v="11"/>
    <s v="Portuguese"/>
    <s v="Cybersecurity"/>
    <s v="21"/>
    <n v="30"/>
    <n v="4.7"/>
    <s v="FALSE"/>
    <n v="0.75"/>
  </r>
  <r>
    <s v="FL250024"/>
    <s v="Melanie Carter"/>
    <x v="0"/>
    <s v="51"/>
    <x v="12"/>
    <s v="Korean"/>
    <s v="Machine Learning"/>
    <s v="15"/>
    <n v="50"/>
    <n v="1.3"/>
    <s v="TRUE"/>
    <n v="1"/>
  </r>
  <r>
    <s v="FL250025"/>
    <s v="Jennifer Martin"/>
    <x v="0"/>
    <s v="54"/>
    <x v="4"/>
    <s v="Indonesian"/>
    <s v="Machine Learning"/>
    <s v="13"/>
    <n v="75"/>
    <n v="2.9"/>
    <s v="TRUE"/>
    <n v="0.92"/>
  </r>
  <r>
    <s v="FL250026"/>
    <s v="Anna Mccann"/>
    <x v="0"/>
    <s v="22"/>
    <x v="12"/>
    <s v="Korean"/>
    <s v="DevOps"/>
    <s v="0"/>
    <n v="30"/>
    <n v="1.2"/>
    <s v="TRUE"/>
    <n v="0.7"/>
  </r>
  <r>
    <s v="FL250027"/>
    <s v="Marissa Bass"/>
    <x v="0"/>
    <s v="34"/>
    <x v="9"/>
    <s v="Japanese"/>
    <s v="Blockchain Development"/>
    <s v="8"/>
    <n v="20"/>
    <n v="0"/>
    <s v="TRUE"/>
    <n v="0.89"/>
  </r>
  <r>
    <s v="FL250028"/>
    <s v="Alexis Day"/>
    <x v="0"/>
    <s v="36"/>
    <x v="13"/>
    <s v="Russian"/>
    <s v="Graphic Design"/>
    <s v="11"/>
    <n v="50"/>
    <n v="1.8"/>
    <s v="TRUE"/>
    <n v="0.86"/>
  </r>
  <r>
    <s v="FL250029"/>
    <s v="Megan Jones"/>
    <x v="0"/>
    <s v="47"/>
    <x v="14"/>
    <s v="English"/>
    <s v="AI"/>
    <s v="22"/>
    <n v="30"/>
    <n v="1.3"/>
    <s v="FALSE"/>
    <n v="0.62"/>
  </r>
  <r>
    <s v="FL250030"/>
    <s v="Lori Smith"/>
    <x v="0"/>
    <s v="41"/>
    <x v="3"/>
    <s v="Dutch"/>
    <s v="Data Analysis"/>
    <s v="14"/>
    <n v="75"/>
    <n v="1.2"/>
    <s v="FALSE"/>
    <n v="0.75"/>
  </r>
  <r>
    <s v="FL250031"/>
    <s v="Eric Carpenter"/>
    <x v="1"/>
    <s v="22"/>
    <x v="3"/>
    <s v="Dutch"/>
    <s v="DevOps"/>
    <s v="4"/>
    <n v="50"/>
    <n v="1"/>
    <s v="TRUE"/>
    <n v="0.75"/>
  </r>
  <r>
    <s v="FL250032"/>
    <s v="Timothy Daniels"/>
    <x v="1"/>
    <s v="38"/>
    <x v="15"/>
    <s v="French"/>
    <s v="Machine Learning"/>
    <s v="19"/>
    <n v="100"/>
    <n v="4.2"/>
    <s v="FALSE"/>
    <n v="0.68"/>
  </r>
  <r>
    <s v="FL250033"/>
    <s v="Robert Nelson"/>
    <x v="1"/>
    <s v="46"/>
    <x v="16"/>
    <s v="Arabic"/>
    <s v="AI"/>
    <s v="9"/>
    <n v="20"/>
    <n v="1.4"/>
    <s v="TRUE"/>
    <n v="0.76"/>
  </r>
  <r>
    <s v="FL250034"/>
    <s v="Michael Anderson"/>
    <x v="1"/>
    <s v="Unknown"/>
    <x v="12"/>
    <s v="Korean"/>
    <s v="AI"/>
    <s v="9"/>
    <n v="40"/>
    <n v="2.4"/>
    <s v="TRUE"/>
    <n v="0.82"/>
  </r>
  <r>
    <s v="FL250035"/>
    <s v="Jessica Snyder"/>
    <x v="0"/>
    <s v="54"/>
    <x v="5"/>
    <s v="English"/>
    <s v="Web Development"/>
    <s v="32"/>
    <n v="75"/>
    <n v="1"/>
    <s v="TRUE"/>
    <n v="0.81"/>
  </r>
  <r>
    <s v="FL250036"/>
    <s v="Emily Daniels"/>
    <x v="0"/>
    <s v="52"/>
    <x v="12"/>
    <s v="Korean"/>
    <s v="Web Development"/>
    <s v="28"/>
    <n v="20"/>
    <n v="2.6"/>
    <s v="FALSE"/>
    <n v="0.75"/>
  </r>
  <r>
    <s v="FL250037"/>
    <s v="Jamie Ramirez"/>
    <x v="0"/>
    <s v="42"/>
    <x v="9"/>
    <s v="Japanese"/>
    <s v="Mobile Apps"/>
    <s v="6"/>
    <n v="40"/>
    <n v="2.6"/>
    <s v="FALSE"/>
    <n v="0.63"/>
  </r>
  <r>
    <s v="FL250038"/>
    <s v="Amy Harrison"/>
    <x v="0"/>
    <s v="29"/>
    <x v="3"/>
    <s v="Dutch"/>
    <s v="Graphic Design"/>
    <s v="10"/>
    <n v="40"/>
    <n v="2.2000000000000002"/>
    <s v="FALSE"/>
    <n v="0.67"/>
  </r>
  <r>
    <s v="FL250039"/>
    <s v="Melinda White"/>
    <x v="0"/>
    <s v="42"/>
    <x v="17"/>
    <s v="Afrikaans"/>
    <s v="Mobile Apps"/>
    <s v="23"/>
    <n v="50"/>
    <n v="3.2"/>
    <s v="TRUE"/>
    <n v="0.75"/>
  </r>
  <r>
    <s v="FL250040"/>
    <s v="James Hernandez"/>
    <x v="1"/>
    <s v="60"/>
    <x v="9"/>
    <s v="Japanese"/>
    <s v="Web Development"/>
    <s v="13"/>
    <n v="20"/>
    <n v="3.6"/>
    <s v="FALSE"/>
    <n v="0.8"/>
  </r>
  <r>
    <s v="FL250041"/>
    <s v="Angelica Rogers"/>
    <x v="0"/>
    <s v="59"/>
    <x v="7"/>
    <s v="English"/>
    <s v="AI"/>
    <s v="3"/>
    <n v="50"/>
    <n v="0"/>
    <s v="FALSE"/>
    <n v="0.75"/>
  </r>
  <r>
    <s v="FL250042"/>
    <s v="Savannah Williams"/>
    <x v="0"/>
    <s v="21"/>
    <x v="14"/>
    <s v="English"/>
    <s v="Web Development"/>
    <s v="0"/>
    <n v="30"/>
    <n v="2.7"/>
    <s v="TRUE"/>
    <n v="0.84"/>
  </r>
  <r>
    <s v="FL250043"/>
    <s v="Kaitlyn Schmidt"/>
    <x v="0"/>
    <s v="35"/>
    <x v="2"/>
    <s v="German"/>
    <s v="DevOps"/>
    <s v="10"/>
    <n v="50"/>
    <n v="0"/>
    <s v="FALSE"/>
    <n v="0.75"/>
  </r>
  <r>
    <s v="FL250044"/>
    <s v="Jason Singh"/>
    <x v="1"/>
    <s v="41"/>
    <x v="7"/>
    <s v="English"/>
    <s v="Data Analysis"/>
    <s v="Unknown"/>
    <n v="20"/>
    <n v="2.8"/>
    <s v="TRUE"/>
    <n v="0.63"/>
  </r>
  <r>
    <s v="FL250045"/>
    <s v="Michelle Ramirez"/>
    <x v="0"/>
    <s v="51"/>
    <x v="3"/>
    <s v="Dutch"/>
    <s v="Machine Learning"/>
    <s v="23"/>
    <n v="20"/>
    <n v="2.5"/>
    <s v="TRUE"/>
    <n v="0.8"/>
  </r>
  <r>
    <s v="FL250046"/>
    <s v="James Brown"/>
    <x v="1"/>
    <s v="41"/>
    <x v="17"/>
    <s v="Afrikaans"/>
    <s v="Web Development"/>
    <s v="9"/>
    <n v="75"/>
    <n v="4.9000000000000004"/>
    <s v="TRUE"/>
    <n v="0.74"/>
  </r>
  <r>
    <s v="FL250047"/>
    <s v="Samantha Simmons"/>
    <x v="0"/>
    <s v="47"/>
    <x v="16"/>
    <s v="Arabic"/>
    <s v="DevOps"/>
    <s v="15"/>
    <n v="30"/>
    <n v="4.5"/>
    <s v="TRUE"/>
    <n v="0.85"/>
  </r>
  <r>
    <s v="FL250048"/>
    <s v="Chase Mason"/>
    <x v="1"/>
    <s v="25"/>
    <x v="18"/>
    <s v="Mandarin"/>
    <s v="Graphic Design"/>
    <s v="4"/>
    <n v="50"/>
    <n v="2.7"/>
    <s v="FALSE"/>
    <n v="0.77"/>
  </r>
  <r>
    <s v="FL250049"/>
    <s v="Dominique Ward"/>
    <x v="0"/>
    <s v="25"/>
    <x v="19"/>
    <s v="Spanish"/>
    <s v="Mobile Apps"/>
    <s v="7"/>
    <n v="20"/>
    <n v="1.9"/>
    <s v="FALSE"/>
    <n v="0.75"/>
  </r>
  <r>
    <s v="FL250050"/>
    <s v="Lance Griffin"/>
    <x v="1"/>
    <s v="29"/>
    <x v="3"/>
    <s v="Dutch"/>
    <s v="UI/UX Design"/>
    <s v="1"/>
    <n v="20"/>
    <n v="1.4"/>
    <s v="TRUE"/>
    <n v="0.63"/>
  </r>
  <r>
    <s v="FL250051"/>
    <s v="Julie Burgess"/>
    <x v="0"/>
    <s v="23"/>
    <x v="8"/>
    <s v="Spanish"/>
    <s v="Cybersecurity"/>
    <s v="0"/>
    <n v="75"/>
    <n v="1.9"/>
    <s v="TRUE"/>
    <n v="0.79"/>
  </r>
  <r>
    <s v="FL250052"/>
    <s v="Don Scott"/>
    <x v="1"/>
    <s v="31"/>
    <x v="15"/>
    <s v="French"/>
    <s v="Data Analysis"/>
    <s v="8"/>
    <n v="50"/>
    <n v="3.4"/>
    <s v="FALSE"/>
    <n v="0.75"/>
  </r>
  <r>
    <s v="FL250053"/>
    <s v="Kyle Atkinson"/>
    <x v="1"/>
    <s v="51"/>
    <x v="2"/>
    <s v="German"/>
    <s v="Machine Learning"/>
    <s v="33"/>
    <n v="75"/>
    <n v="3.3"/>
    <s v="TRUE"/>
    <n v="0.68"/>
  </r>
  <r>
    <s v="FL250054"/>
    <s v="Jimmy Hogan"/>
    <x v="1"/>
    <s v="Unknown"/>
    <x v="20"/>
    <s v="Spanish"/>
    <s v="UI/UX Design"/>
    <s v="1"/>
    <n v="30"/>
    <n v="0"/>
    <s v="FALSE"/>
    <n v="0.68"/>
  </r>
  <r>
    <s v="FL250055"/>
    <s v="Jennifer Mcintyre"/>
    <x v="0"/>
    <s v="29"/>
    <x v="6"/>
    <s v="Turkish"/>
    <s v="Cybersecurity"/>
    <s v="11"/>
    <n v="100"/>
    <n v="2.2999999999999998"/>
    <s v="TRUE"/>
    <n v="0.72"/>
  </r>
  <r>
    <s v="FL250056"/>
    <s v="Larry Simpson"/>
    <x v="1"/>
    <s v="50"/>
    <x v="7"/>
    <s v="English"/>
    <s v="AI"/>
    <s v="15"/>
    <n v="50"/>
    <n v="2"/>
    <s v="TRUE"/>
    <n v="0.65"/>
  </r>
  <r>
    <s v="FL250057"/>
    <s v="Laura Price"/>
    <x v="0"/>
    <s v="26"/>
    <x v="7"/>
    <s v="English"/>
    <s v="DevOps"/>
    <s v="8"/>
    <n v="50"/>
    <n v="1.3"/>
    <s v="TRUE"/>
    <n v="0.76"/>
  </r>
  <r>
    <s v="FL250058"/>
    <s v="Mark Wright"/>
    <x v="1"/>
    <s v="38"/>
    <x v="14"/>
    <s v="English"/>
    <s v="AI"/>
    <s v="17"/>
    <n v="40"/>
    <n v="4"/>
    <s v="TRUE"/>
    <n v="0.9"/>
  </r>
  <r>
    <s v="FL250059"/>
    <s v="Samantha Mcdaniel"/>
    <x v="0"/>
    <s v="23"/>
    <x v="10"/>
    <s v="Hindi"/>
    <s v="Mobile Apps"/>
    <s v="Unknown"/>
    <n v="75"/>
    <n v="3.6"/>
    <s v="TRUE"/>
    <n v="0.65"/>
  </r>
  <r>
    <s v="FL250060"/>
    <s v="Barbara Foster"/>
    <x v="0"/>
    <s v="51"/>
    <x v="17"/>
    <s v="Afrikaans"/>
    <s v="DevOps"/>
    <s v="28"/>
    <n v="40"/>
    <n v="3.9"/>
    <s v="FALSE"/>
    <n v="0.63"/>
  </r>
  <r>
    <s v="FL250061"/>
    <s v="Courtney Tran"/>
    <x v="0"/>
    <s v="51"/>
    <x v="4"/>
    <s v="Indonesian"/>
    <s v="AI"/>
    <s v="33"/>
    <n v="75"/>
    <n v="0"/>
    <s v="TRUE"/>
    <n v="0.75"/>
  </r>
  <r>
    <s v="FL250062"/>
    <s v="Eddie Todd"/>
    <x v="1"/>
    <s v="47"/>
    <x v="2"/>
    <s v="German"/>
    <s v="AI"/>
    <s v="18"/>
    <n v="75"/>
    <n v="0"/>
    <s v="FALSE"/>
    <n v="0.75"/>
  </r>
  <r>
    <s v="FL250063"/>
    <s v="Christine Johnson"/>
    <x v="0"/>
    <s v="34"/>
    <x v="13"/>
    <s v="Russian"/>
    <s v="UI/UX Design"/>
    <s v="16"/>
    <n v="20"/>
    <n v="2.2999999999999998"/>
    <s v="TRUE"/>
    <n v="0.93"/>
  </r>
  <r>
    <s v="FL250064"/>
    <s v="Leah Phelps"/>
    <x v="0"/>
    <s v="58"/>
    <x v="4"/>
    <s v="Indonesian"/>
    <s v="Data Analysis"/>
    <s v="35"/>
    <n v="50"/>
    <n v="4.7"/>
    <s v="FALSE"/>
    <n v="0.7"/>
  </r>
  <r>
    <s v="FL250065"/>
    <s v="Rebekah Williams"/>
    <x v="0"/>
    <s v="50"/>
    <x v="13"/>
    <s v="Russian"/>
    <s v="AI"/>
    <s v="14"/>
    <n v="50"/>
    <n v="3.5"/>
    <s v="TRUE"/>
    <n v="0.83"/>
  </r>
  <r>
    <s v="FL250066"/>
    <s v="Crystal Wilson"/>
    <x v="0"/>
    <s v="34"/>
    <x v="20"/>
    <s v="Spanish"/>
    <s v="Web Development"/>
    <s v="12"/>
    <n v="40"/>
    <n v="2.4"/>
    <s v="TRUE"/>
    <n v="0.64"/>
  </r>
  <r>
    <s v="FL250067"/>
    <s v="Ashley Cordova"/>
    <x v="0"/>
    <s v="45"/>
    <x v="11"/>
    <s v="Portuguese"/>
    <s v="AI"/>
    <s v="11"/>
    <n v="75"/>
    <n v="4"/>
    <s v="FALSE"/>
    <n v="1"/>
  </r>
  <r>
    <s v="FL250068"/>
    <s v="Vicki Kelly"/>
    <x v="0"/>
    <s v="55"/>
    <x v="11"/>
    <s v="Portuguese"/>
    <s v="Web Development"/>
    <s v="0"/>
    <n v="40"/>
    <n v="0"/>
    <s v="TRUE"/>
    <n v="0.75"/>
  </r>
  <r>
    <s v="FL250069"/>
    <s v="Corey Warren"/>
    <x v="1"/>
    <s v="Unknown"/>
    <x v="8"/>
    <s v="Spanish"/>
    <s v="UI/UX Design"/>
    <s v="6"/>
    <n v="100"/>
    <n v="1.5"/>
    <s v="TRUE"/>
    <n v="0.75"/>
  </r>
  <r>
    <s v="FL250070"/>
    <s v="Gina Thompson"/>
    <x v="0"/>
    <s v="60"/>
    <x v="18"/>
    <s v="Mandarin"/>
    <s v="UI/UX Design"/>
    <s v="38"/>
    <n v="20"/>
    <n v="2"/>
    <s v="FALSE"/>
    <n v="0.71"/>
  </r>
  <r>
    <s v="FL250071"/>
    <s v="Yvonne Berg"/>
    <x v="0"/>
    <s v="33"/>
    <x v="17"/>
    <s v="Afrikaans"/>
    <s v="Mobile Apps"/>
    <s v="11"/>
    <n v="50"/>
    <n v="2.6"/>
    <s v="TRUE"/>
    <n v="0.84"/>
  </r>
  <r>
    <s v="FL250072"/>
    <s v="Thomas Miller"/>
    <x v="1"/>
    <s v="60"/>
    <x v="0"/>
    <s v="Italian"/>
    <s v="DevOps"/>
    <s v="13"/>
    <n v="50"/>
    <n v="1"/>
    <s v="TRUE"/>
    <n v="0.75"/>
  </r>
  <r>
    <s v="FL250073"/>
    <s v="Nicholas Burton"/>
    <x v="1"/>
    <s v="40"/>
    <x v="5"/>
    <s v="English"/>
    <s v="Web Development"/>
    <s v="9"/>
    <n v="100"/>
    <n v="4.5"/>
    <s v="TRUE"/>
    <n v="0.69"/>
  </r>
  <r>
    <s v="FL250074"/>
    <s v="Jorge Riley"/>
    <x v="1"/>
    <s v="59"/>
    <x v="1"/>
    <s v="English"/>
    <s v="Blockchain Development"/>
    <s v="4"/>
    <n v="50"/>
    <n v="1.9"/>
    <s v="TRUE"/>
    <n v="0.88"/>
  </r>
  <r>
    <s v="FL250075"/>
    <s v="Melvin Harris"/>
    <x v="1"/>
    <s v="36"/>
    <x v="0"/>
    <s v="Italian"/>
    <s v="Machine Learning"/>
    <s v="14"/>
    <n v="100"/>
    <n v="3.7"/>
    <s v="FALSE"/>
    <n v="0.75"/>
  </r>
  <r>
    <s v="FL250076"/>
    <s v="Jeremy Meyer"/>
    <x v="1"/>
    <s v="32"/>
    <x v="10"/>
    <s v="Hindi"/>
    <s v="Data Analysis"/>
    <s v="Unknown"/>
    <n v="30"/>
    <n v="1.9"/>
    <s v="TRUE"/>
    <n v="0.96"/>
  </r>
  <r>
    <s v="FL250077"/>
    <s v="Timothy Lee"/>
    <x v="1"/>
    <s v="59"/>
    <x v="1"/>
    <s v="English"/>
    <s v="AI"/>
    <s v="9"/>
    <n v="75"/>
    <n v="4"/>
    <s v="TRUE"/>
    <n v="0.96"/>
  </r>
  <r>
    <s v="FL250078"/>
    <s v="Diana Bautista"/>
    <x v="0"/>
    <s v="54"/>
    <x v="20"/>
    <s v="Spanish"/>
    <s v="DevOps"/>
    <s v="32"/>
    <n v="40"/>
    <n v="1.8"/>
    <s v="FALSE"/>
    <n v="0.75"/>
  </r>
  <r>
    <s v="FL250079"/>
    <s v="Leslie Rodriguez"/>
    <x v="0"/>
    <s v="37"/>
    <x v="14"/>
    <s v="English"/>
    <s v="Graphic Design"/>
    <s v="9"/>
    <n v="50"/>
    <n v="0"/>
    <s v="TRUE"/>
    <n v="0.89"/>
  </r>
  <r>
    <s v="FL250080"/>
    <s v="Noah Wiggins"/>
    <x v="1"/>
    <s v="54"/>
    <x v="10"/>
    <s v="Hindi"/>
    <s v="Machine Learning"/>
    <s v="21"/>
    <n v="100"/>
    <n v="4.5999999999999996"/>
    <s v="TRUE"/>
    <n v="0.75"/>
  </r>
  <r>
    <s v="FL250081"/>
    <s v="Bridget Williams"/>
    <x v="0"/>
    <s v="33"/>
    <x v="8"/>
    <s v="Spanish"/>
    <s v="UI/UX Design"/>
    <s v="12"/>
    <n v="100"/>
    <n v="3.6"/>
    <s v="FALSE"/>
    <n v="0.63"/>
  </r>
  <r>
    <s v="FL250082"/>
    <s v="Veronica Baker"/>
    <x v="0"/>
    <s v="25"/>
    <x v="16"/>
    <s v="Arabic"/>
    <s v="Web Development"/>
    <s v="7"/>
    <n v="40"/>
    <n v="4.4000000000000004"/>
    <s v="TRUE"/>
    <n v="0.81"/>
  </r>
  <r>
    <s v="FL250083"/>
    <s v="Andrew Avila"/>
    <x v="1"/>
    <s v="Unknown"/>
    <x v="18"/>
    <s v="Mandarin"/>
    <s v="DevOps"/>
    <s v="3"/>
    <n v="40"/>
    <n v="4.5999999999999996"/>
    <s v="FALSE"/>
    <n v="0.74"/>
  </r>
  <r>
    <s v="FL250084"/>
    <s v="Michael Roberson"/>
    <x v="1"/>
    <s v="35"/>
    <x v="12"/>
    <s v="Korean"/>
    <s v="Web Development"/>
    <s v="5"/>
    <n v="75"/>
    <n v="3.2"/>
    <s v="TRUE"/>
    <n v="0.72"/>
  </r>
  <r>
    <s v="FL250085"/>
    <s v="Austin Jenkins"/>
    <x v="1"/>
    <s v="59"/>
    <x v="12"/>
    <s v="Korean"/>
    <s v="AI"/>
    <s v="30"/>
    <n v="40"/>
    <n v="0"/>
    <s v="TRUE"/>
    <n v="0.75"/>
  </r>
  <r>
    <s v="FL250086"/>
    <s v="Brenda Green"/>
    <x v="0"/>
    <s v="21"/>
    <x v="18"/>
    <s v="Mandarin"/>
    <s v="DevOps"/>
    <s v="2"/>
    <n v="100"/>
    <n v="2.6"/>
    <s v="TRUE"/>
    <n v="0.85"/>
  </r>
  <r>
    <s v="FL250087"/>
    <s v="Samuel Pierce"/>
    <x v="1"/>
    <s v="25"/>
    <x v="5"/>
    <s v="English"/>
    <s v="Mobile Apps"/>
    <s v="2"/>
    <n v="75"/>
    <n v="3.7"/>
    <s v="FALSE"/>
    <n v="0.75"/>
  </r>
  <r>
    <s v="FL250088"/>
    <s v="Briana Smith"/>
    <x v="0"/>
    <s v="38"/>
    <x v="19"/>
    <s v="Spanish"/>
    <s v="Web Development"/>
    <s v="19"/>
    <n v="75"/>
    <n v="2.2999999999999998"/>
    <s v="TRUE"/>
    <n v="0.61"/>
  </r>
  <r>
    <s v="FL250089"/>
    <s v="Ronald Barrett"/>
    <x v="1"/>
    <s v="57"/>
    <x v="13"/>
    <s v="Russian"/>
    <s v="AI"/>
    <s v="16"/>
    <n v="100"/>
    <n v="3.1"/>
    <s v="TRUE"/>
    <n v="0.75"/>
  </r>
  <r>
    <s v="FL250090"/>
    <s v="Matthew Smith"/>
    <x v="1"/>
    <s v="32"/>
    <x v="10"/>
    <s v="Hindi"/>
    <s v="Mobile Apps"/>
    <s v="10"/>
    <n v="20"/>
    <n v="2.4"/>
    <s v="FALSE"/>
    <n v="0.86"/>
  </r>
  <r>
    <s v="FL250091"/>
    <s v="Logan Huang"/>
    <x v="1"/>
    <s v="21"/>
    <x v="0"/>
    <s v="Italian"/>
    <s v="DevOps"/>
    <s v="2"/>
    <n v="100"/>
    <n v="1.6"/>
    <s v="TRUE"/>
    <n v="0.97"/>
  </r>
  <r>
    <s v="FL250092"/>
    <s v="Miranda Hutchinson"/>
    <x v="0"/>
    <s v="57"/>
    <x v="14"/>
    <s v="English"/>
    <s v="Cybersecurity"/>
    <s v="18"/>
    <n v="50"/>
    <n v="2.4"/>
    <s v="TRUE"/>
    <n v="0.63"/>
  </r>
  <r>
    <s v="FL250093"/>
    <s v="Paul Richardson"/>
    <x v="1"/>
    <s v="53"/>
    <x v="18"/>
    <s v="Mandarin"/>
    <s v="UI/UX Design"/>
    <s v="21"/>
    <n v="100"/>
    <n v="2.6"/>
    <s v="TRUE"/>
    <n v="0.97"/>
  </r>
  <r>
    <s v="FL250094"/>
    <s v="Jose Jones"/>
    <x v="1"/>
    <s v="35"/>
    <x v="13"/>
    <s v="Russian"/>
    <s v="Blockchain Development"/>
    <s v="3"/>
    <n v="30"/>
    <n v="3.8"/>
    <s v="TRUE"/>
    <n v="0.81"/>
  </r>
  <r>
    <s v="FL250095"/>
    <s v="Denise Smith"/>
    <x v="0"/>
    <s v="54"/>
    <x v="18"/>
    <s v="Mandarin"/>
    <s v="Machine Learning"/>
    <s v="17"/>
    <n v="20"/>
    <n v="1.7"/>
    <s v="FALSE"/>
    <n v="0.69"/>
  </r>
  <r>
    <s v="FL250096"/>
    <s v="Shelby Mcmahon"/>
    <x v="0"/>
    <s v="36"/>
    <x v="0"/>
    <s v="Italian"/>
    <s v="UI/UX Design"/>
    <s v="0"/>
    <n v="20"/>
    <n v="1.3"/>
    <s v="TRUE"/>
    <n v="0.64"/>
  </r>
  <r>
    <s v="FL250097"/>
    <s v="Bethany Wright"/>
    <x v="0"/>
    <s v="49"/>
    <x v="20"/>
    <s v="Spanish"/>
    <s v="Cybersecurity"/>
    <s v="25"/>
    <n v="50"/>
    <n v="5"/>
    <s v="FALSE"/>
    <n v="0.77"/>
  </r>
  <r>
    <s v="FL250098"/>
    <s v="David Ortiz"/>
    <x v="1"/>
    <s v="37"/>
    <x v="5"/>
    <s v="English"/>
    <s v="Blockchain Development"/>
    <s v="17"/>
    <n v="20"/>
    <n v="3.3"/>
    <s v="FALSE"/>
    <n v="0.96"/>
  </r>
  <r>
    <s v="FL250099"/>
    <s v="Andrew Lynch"/>
    <x v="1"/>
    <s v="Unknown"/>
    <x v="5"/>
    <s v="English"/>
    <s v="UI/UX Design"/>
    <s v="5"/>
    <n v="20"/>
    <n v="1.1000000000000001"/>
    <s v="FALSE"/>
    <n v="0.74"/>
  </r>
  <r>
    <s v="FL250100"/>
    <s v="Kristopher Meyers"/>
    <x v="1"/>
    <s v="32"/>
    <x v="16"/>
    <s v="Arabic"/>
    <s v="UI/UX Design"/>
    <s v="10"/>
    <n v="50"/>
    <n v="1.2"/>
    <s v="TRUE"/>
    <n v="0.89"/>
  </r>
  <r>
    <s v="FL250101"/>
    <s v="Thomas Roth"/>
    <x v="1"/>
    <s v="35"/>
    <x v="10"/>
    <s v="Hindi"/>
    <s v="Mobile Apps"/>
    <s v="0"/>
    <n v="50"/>
    <n v="2"/>
    <s v="TRUE"/>
    <n v="0.64"/>
  </r>
  <r>
    <s v="FL250102"/>
    <s v="Vicki Brown"/>
    <x v="0"/>
    <s v="51"/>
    <x v="13"/>
    <s v="Russian"/>
    <s v="Graphic Design"/>
    <s v="2"/>
    <n v="30"/>
    <n v="4.5"/>
    <s v="FALSE"/>
    <n v="0.64"/>
  </r>
  <r>
    <s v="FL250103"/>
    <s v="Stacy Sutton"/>
    <x v="0"/>
    <s v="50"/>
    <x v="13"/>
    <s v="Russian"/>
    <s v="DevOps"/>
    <s v="30"/>
    <n v="100"/>
    <n v="3"/>
    <s v="TRUE"/>
    <n v="0.73"/>
  </r>
  <r>
    <s v="FL250104"/>
    <s v="Kimberly Holland"/>
    <x v="0"/>
    <s v="21"/>
    <x v="6"/>
    <s v="Turkish"/>
    <s v="Blockchain Development"/>
    <s v="2"/>
    <n v="50"/>
    <n v="4.9000000000000004"/>
    <s v="TRUE"/>
    <n v="0.68"/>
  </r>
  <r>
    <s v="FL250105"/>
    <s v="Travis Richardson"/>
    <x v="1"/>
    <s v="25"/>
    <x v="5"/>
    <s v="English"/>
    <s v="Graphic Design"/>
    <s v="3"/>
    <n v="30"/>
    <n v="2.6"/>
    <s v="FALSE"/>
    <n v="0.88"/>
  </r>
  <r>
    <s v="FL250106"/>
    <s v="Jasmin Ho"/>
    <x v="0"/>
    <s v="57"/>
    <x v="15"/>
    <s v="French"/>
    <s v="DevOps"/>
    <s v="21"/>
    <n v="40"/>
    <n v="2.5"/>
    <s v="FALSE"/>
    <n v="0.77"/>
  </r>
  <r>
    <s v="FL250107"/>
    <s v="Mark Paul"/>
    <x v="1"/>
    <s v="58"/>
    <x v="13"/>
    <s v="Russian"/>
    <s v="Blockchain Development"/>
    <s v="3"/>
    <n v="50"/>
    <n v="0"/>
    <s v="TRUE"/>
    <n v="0.75"/>
  </r>
  <r>
    <s v="FL250108"/>
    <s v="Jennifer Lewis"/>
    <x v="0"/>
    <s v="45"/>
    <x v="4"/>
    <s v="Indonesian"/>
    <s v="Mobile Apps"/>
    <s v="19"/>
    <n v="40"/>
    <n v="2.6"/>
    <s v="TRUE"/>
    <n v="0.72"/>
  </r>
  <r>
    <s v="FL250109"/>
    <s v="Elizabeth Lester"/>
    <x v="0"/>
    <s v="23"/>
    <x v="5"/>
    <s v="English"/>
    <s v="Web Development"/>
    <s v="0"/>
    <n v="20"/>
    <n v="4.7"/>
    <s v="TRUE"/>
    <n v="0.6"/>
  </r>
  <r>
    <s v="FL250110"/>
    <s v="Kimberly Griffin"/>
    <x v="0"/>
    <s v="46"/>
    <x v="5"/>
    <s v="English"/>
    <s v="AI"/>
    <s v="9"/>
    <n v="30"/>
    <n v="3.5"/>
    <s v="TRUE"/>
    <n v="0.72"/>
  </r>
  <r>
    <s v="FL250111"/>
    <s v="Tyler Warner"/>
    <x v="1"/>
    <s v="27"/>
    <x v="8"/>
    <s v="Spanish"/>
    <s v="UI/UX Design"/>
    <s v="5"/>
    <n v="30"/>
    <n v="2.6"/>
    <s v="FALSE"/>
    <n v="0.92"/>
  </r>
  <r>
    <s v="FL250112"/>
    <s v="Jane Cox"/>
    <x v="0"/>
    <s v="32"/>
    <x v="5"/>
    <s v="English"/>
    <s v="Machine Learning"/>
    <s v="6"/>
    <n v="50"/>
    <n v="3.4"/>
    <s v="TRUE"/>
    <n v="0.75"/>
  </r>
  <r>
    <s v="FL250113"/>
    <s v="Leah Williams"/>
    <x v="0"/>
    <s v="48"/>
    <x v="8"/>
    <s v="Spanish"/>
    <s v="Machine Learning"/>
    <s v="6"/>
    <n v="75"/>
    <n v="2.5"/>
    <s v="TRUE"/>
    <n v="0.92"/>
  </r>
  <r>
    <s v="FL250114"/>
    <s v="Kevin Wong"/>
    <x v="1"/>
    <s v="30"/>
    <x v="6"/>
    <s v="Turkish"/>
    <s v="Mobile Apps"/>
    <s v="3"/>
    <n v="30"/>
    <n v="1.1000000000000001"/>
    <s v="TRUE"/>
    <n v="0.75"/>
  </r>
  <r>
    <s v="FL250115"/>
    <s v="Robert Andrews"/>
    <x v="1"/>
    <s v="59"/>
    <x v="6"/>
    <s v="Turkish"/>
    <s v="AI"/>
    <s v="13"/>
    <n v="20"/>
    <n v="4.8"/>
    <s v="TRUE"/>
    <n v="0.75"/>
  </r>
  <r>
    <s v="FL250116"/>
    <s v="Jessica Torres"/>
    <x v="0"/>
    <s v="32"/>
    <x v="19"/>
    <s v="Spanish"/>
    <s v="AI"/>
    <s v="5"/>
    <n v="30"/>
    <n v="2.6"/>
    <s v="FALSE"/>
    <n v="0.86"/>
  </r>
  <r>
    <s v="FL250117"/>
    <s v="Teresa Kim"/>
    <x v="0"/>
    <s v="57"/>
    <x v="16"/>
    <s v="Arabic"/>
    <s v="UI/UX Design"/>
    <s v="4"/>
    <n v="40"/>
    <n v="3.4"/>
    <s v="TRUE"/>
    <n v="0.68"/>
  </r>
  <r>
    <s v="FL250118"/>
    <s v="Jon Morgan"/>
    <x v="1"/>
    <s v="27"/>
    <x v="1"/>
    <s v="English"/>
    <s v="Machine Learning"/>
    <s v="7"/>
    <n v="20"/>
    <n v="3.2"/>
    <s v="TRUE"/>
    <n v="0.62"/>
  </r>
  <r>
    <s v="FL250119"/>
    <s v="Gloria Chaney"/>
    <x v="0"/>
    <s v="33"/>
    <x v="4"/>
    <s v="Indonesian"/>
    <s v="Machine Learning"/>
    <s v="13"/>
    <n v="20"/>
    <n v="3.2"/>
    <s v="TRUE"/>
    <n v="0.75"/>
  </r>
  <r>
    <s v="FL250120"/>
    <s v="Jesse Campbell"/>
    <x v="1"/>
    <s v="29"/>
    <x v="12"/>
    <s v="Korean"/>
    <s v="Data Analysis"/>
    <s v="4"/>
    <n v="30"/>
    <n v="0"/>
    <s v="TRUE"/>
    <n v="0.82"/>
  </r>
  <r>
    <s v="FL250121"/>
    <s v="Allison Tucker Md"/>
    <x v="0"/>
    <s v="36"/>
    <x v="4"/>
    <s v="Indonesian"/>
    <s v="UI/UX Design"/>
    <s v="13"/>
    <n v="75"/>
    <n v="2.6"/>
    <s v="TRUE"/>
    <n v="0.75"/>
  </r>
  <r>
    <s v="FL250122"/>
    <s v="Candice Petersen"/>
    <x v="0"/>
    <s v="47"/>
    <x v="0"/>
    <s v="Italian"/>
    <s v="DevOps"/>
    <s v="5"/>
    <n v="40"/>
    <n v="3.7"/>
    <s v="TRUE"/>
    <n v="0.93"/>
  </r>
  <r>
    <s v="FL250123"/>
    <s v="Christopher Nichols"/>
    <x v="1"/>
    <s v="48"/>
    <x v="14"/>
    <s v="English"/>
    <s v="Machine Learning"/>
    <s v="15"/>
    <n v="50"/>
    <n v="1"/>
    <s v="TRUE"/>
    <n v="0.64"/>
  </r>
  <r>
    <s v="FL250124"/>
    <s v="Debra Garcia"/>
    <x v="0"/>
    <s v="27"/>
    <x v="18"/>
    <s v="Mandarin"/>
    <s v="UI/UX Design"/>
    <s v="8"/>
    <n v="50"/>
    <n v="0"/>
    <s v="TRUE"/>
    <n v="0.75"/>
  </r>
  <r>
    <s v="FL250125"/>
    <s v="Andrew Fuentes"/>
    <x v="1"/>
    <s v="34"/>
    <x v="1"/>
    <s v="English"/>
    <s v="Web Development"/>
    <s v="10"/>
    <n v="50"/>
    <n v="1.7"/>
    <s v="FALSE"/>
    <n v="0.96"/>
  </r>
  <r>
    <s v="FL250126"/>
    <s v="Jason Carter"/>
    <x v="1"/>
    <s v="49"/>
    <x v="12"/>
    <s v="Korean"/>
    <s v="Data Analysis"/>
    <s v="19"/>
    <n v="50"/>
    <n v="5"/>
    <s v="TRUE"/>
    <n v="0.83"/>
  </r>
  <r>
    <s v="FL250127"/>
    <s v="Austin Romero"/>
    <x v="1"/>
    <s v="30"/>
    <x v="11"/>
    <s v="Portuguese"/>
    <s v="Mobile Apps"/>
    <s v="10"/>
    <n v="100"/>
    <n v="1.7"/>
    <s v="TRUE"/>
    <n v="0.64"/>
  </r>
  <r>
    <s v="FL250128"/>
    <s v="Clayton Burns"/>
    <x v="1"/>
    <s v="31"/>
    <x v="16"/>
    <s v="Arabic"/>
    <s v="Graphic Design"/>
    <s v="8"/>
    <n v="40"/>
    <n v="4.4000000000000004"/>
    <s v="FALSE"/>
    <n v="0.7"/>
  </r>
  <r>
    <s v="FL250129"/>
    <s v="Jonathan Clark"/>
    <x v="1"/>
    <s v="58"/>
    <x v="18"/>
    <s v="Mandarin"/>
    <s v="Machine Learning"/>
    <s v="9"/>
    <n v="20"/>
    <n v="0"/>
    <s v="FALSE"/>
    <n v="0.65"/>
  </r>
  <r>
    <s v="FL250130"/>
    <s v="Alexander Griffin"/>
    <x v="1"/>
    <s v="47"/>
    <x v="15"/>
    <s v="French"/>
    <s v="Machine Learning"/>
    <s v="13"/>
    <n v="40"/>
    <n v="3.4"/>
    <s v="TRUE"/>
    <n v="0.67"/>
  </r>
  <r>
    <s v="FL250131"/>
    <s v="Shelly Whitehead"/>
    <x v="0"/>
    <s v="45"/>
    <x v="7"/>
    <s v="English"/>
    <s v="Cybersecurity"/>
    <s v="14"/>
    <n v="100"/>
    <n v="1.1000000000000001"/>
    <s v="FALSE"/>
    <n v="0.93"/>
  </r>
  <r>
    <s v="FL250132"/>
    <s v="Kaitlyn Davis"/>
    <x v="0"/>
    <s v="57"/>
    <x v="15"/>
    <s v="French"/>
    <s v="Machine Learning"/>
    <s v="0"/>
    <n v="50"/>
    <n v="1.6"/>
    <s v="FALSE"/>
    <n v="0.6"/>
  </r>
  <r>
    <s v="FL250133"/>
    <s v="Christopher Jones"/>
    <x v="1"/>
    <s v="50"/>
    <x v="10"/>
    <s v="Hindi"/>
    <s v="Web Development"/>
    <s v="22"/>
    <n v="100"/>
    <n v="4.0999999999999996"/>
    <s v="FALSE"/>
    <n v="0.62"/>
  </r>
  <r>
    <s v="FL250134"/>
    <s v="Cindy Jacobs"/>
    <x v="0"/>
    <s v="Unknown"/>
    <x v="11"/>
    <s v="Portuguese"/>
    <s v="Machine Learning"/>
    <s v="4"/>
    <n v="50"/>
    <n v="2.5"/>
    <s v="TRUE"/>
    <n v="0.7"/>
  </r>
  <r>
    <s v="FL250135"/>
    <s v="Penny Day"/>
    <x v="0"/>
    <s v="45"/>
    <x v="4"/>
    <s v="Indonesian"/>
    <s v="Blockchain Development"/>
    <s v="22"/>
    <n v="100"/>
    <n v="4"/>
    <s v="TRUE"/>
    <n v="0.75"/>
  </r>
  <r>
    <s v="FL250136"/>
    <s v="Thomas Ingram"/>
    <x v="1"/>
    <s v="60"/>
    <x v="17"/>
    <s v="Afrikaans"/>
    <s v="Cybersecurity"/>
    <s v="39"/>
    <n v="75"/>
    <n v="1.4"/>
    <s v="FALSE"/>
    <n v="0.7"/>
  </r>
  <r>
    <s v="FL250137"/>
    <s v="Donna Hansen"/>
    <x v="0"/>
    <s v="43"/>
    <x v="7"/>
    <s v="English"/>
    <s v="Cybersecurity"/>
    <s v="5"/>
    <n v="50"/>
    <n v="2.6"/>
    <s v="TRUE"/>
    <n v="0.84"/>
  </r>
  <r>
    <s v="FL250138"/>
    <s v="Donna Bailey"/>
    <x v="0"/>
    <s v="39"/>
    <x v="15"/>
    <s v="French"/>
    <s v="Cybersecurity"/>
    <s v="5"/>
    <n v="40"/>
    <n v="1.2"/>
    <s v="FALSE"/>
    <n v="0.83"/>
  </r>
  <r>
    <s v="FL250139"/>
    <s v="Joshua Armstrong"/>
    <x v="1"/>
    <s v="26"/>
    <x v="19"/>
    <s v="Spanish"/>
    <s v="UI/UX Design"/>
    <s v="5"/>
    <n v="50"/>
    <n v="0"/>
    <s v="FALSE"/>
    <n v="0.75"/>
  </r>
  <r>
    <s v="FL250140"/>
    <s v="Jonathan Garza"/>
    <x v="1"/>
    <s v="31"/>
    <x v="2"/>
    <s v="German"/>
    <s v="Cybersecurity"/>
    <s v="11"/>
    <n v="50"/>
    <n v="3.1"/>
    <s v="TRUE"/>
    <n v="0.88"/>
  </r>
  <r>
    <s v="FL250141"/>
    <s v="Charles Jones"/>
    <x v="1"/>
    <s v="52"/>
    <x v="15"/>
    <s v="French"/>
    <s v="UI/UX Design"/>
    <s v="15"/>
    <n v="50"/>
    <n v="0"/>
    <s v="TRUE"/>
    <n v="0.81"/>
  </r>
  <r>
    <s v="FL250142"/>
    <s v="Lindsey Miles"/>
    <x v="0"/>
    <s v="34"/>
    <x v="10"/>
    <s v="Hindi"/>
    <s v="Data Analysis"/>
    <s v="5"/>
    <n v="20"/>
    <n v="2.2000000000000002"/>
    <s v="TRUE"/>
    <n v="0.8"/>
  </r>
  <r>
    <s v="FL250143"/>
    <s v="Eduardo Reed"/>
    <x v="1"/>
    <s v="45"/>
    <x v="7"/>
    <s v="English"/>
    <s v="Web Development"/>
    <s v="7"/>
    <n v="75"/>
    <n v="3"/>
    <s v="TRUE"/>
    <n v="0.67"/>
  </r>
  <r>
    <s v="FL250144"/>
    <s v="Lee Fowler"/>
    <x v="1"/>
    <s v="46"/>
    <x v="7"/>
    <s v="English"/>
    <s v="Cybersecurity"/>
    <s v="9"/>
    <n v="20"/>
    <n v="0"/>
    <s v="FALSE"/>
    <n v="0.82"/>
  </r>
  <r>
    <s v="FL250145"/>
    <s v="Steven Jones Jr."/>
    <x v="1"/>
    <s v="56"/>
    <x v="15"/>
    <s v="French"/>
    <s v="UI/UX Design"/>
    <s v="21"/>
    <n v="100"/>
    <n v="0"/>
    <s v="TRUE"/>
    <n v="0.78"/>
  </r>
  <r>
    <s v="FL250146"/>
    <s v="Ashley Chen"/>
    <x v="0"/>
    <s v="59"/>
    <x v="2"/>
    <s v="German"/>
    <s v="AI"/>
    <s v="7"/>
    <n v="40"/>
    <n v="1.4"/>
    <s v="TRUE"/>
    <n v="0.81"/>
  </r>
  <r>
    <s v="FL250147"/>
    <s v="Erica Davis"/>
    <x v="0"/>
    <s v="54"/>
    <x v="16"/>
    <s v="Arabic"/>
    <s v="Blockchain Development"/>
    <s v="4"/>
    <n v="50"/>
    <n v="1.4"/>
    <s v="TRUE"/>
    <n v="0.74"/>
  </r>
  <r>
    <s v="FL250148"/>
    <s v="Wayne Gonzales"/>
    <x v="1"/>
    <s v="36"/>
    <x v="2"/>
    <s v="German"/>
    <s v="UI/UX Design"/>
    <s v="7"/>
    <n v="30"/>
    <n v="0"/>
    <s v="FALSE"/>
    <n v="0.88"/>
  </r>
  <r>
    <s v="FL250149"/>
    <s v="Gary Ballard"/>
    <x v="1"/>
    <s v="25"/>
    <x v="19"/>
    <s v="Spanish"/>
    <s v="Data Analysis"/>
    <s v="0"/>
    <n v="40"/>
    <n v="0"/>
    <s v="FALSE"/>
    <n v="0.9"/>
  </r>
  <r>
    <s v="FL250150"/>
    <s v="Maria Mcguire"/>
    <x v="0"/>
    <s v="37"/>
    <x v="13"/>
    <s v="Russian"/>
    <s v="Data Analysis"/>
    <s v="15"/>
    <n v="40"/>
    <n v="2.9"/>
    <s v="TRUE"/>
    <n v="0.75"/>
  </r>
  <r>
    <s v="FL250151"/>
    <s v="Matthew Richards"/>
    <x v="1"/>
    <s v="Unknown"/>
    <x v="6"/>
    <s v="Turkish"/>
    <s v="Data Analysis"/>
    <s v="10"/>
    <n v="40"/>
    <n v="0"/>
    <s v="TRUE"/>
    <n v="0.75"/>
  </r>
  <r>
    <s v="FL250152"/>
    <s v="Patrick Malone"/>
    <x v="1"/>
    <s v="29"/>
    <x v="20"/>
    <s v="Spanish"/>
    <s v="Data Analysis"/>
    <s v="11"/>
    <n v="20"/>
    <n v="2.7"/>
    <s v="FALSE"/>
    <n v="0.93"/>
  </r>
  <r>
    <s v="FL250153"/>
    <s v="Cindy Martin"/>
    <x v="0"/>
    <s v="55"/>
    <x v="8"/>
    <s v="Spanish"/>
    <s v="Mobile Apps"/>
    <s v="12"/>
    <n v="100"/>
    <n v="1.8"/>
    <s v="TRUE"/>
    <n v="0.75"/>
  </r>
  <r>
    <s v="FL250154"/>
    <s v="Anne Edwards"/>
    <x v="0"/>
    <s v="38"/>
    <x v="9"/>
    <s v="Japanese"/>
    <s v="DevOps"/>
    <s v="20"/>
    <n v="75"/>
    <n v="1.1000000000000001"/>
    <s v="FALSE"/>
    <n v="0.71"/>
  </r>
  <r>
    <s v="FL250155"/>
    <s v="Mitchell Martin"/>
    <x v="1"/>
    <s v="47"/>
    <x v="12"/>
    <s v="Korean"/>
    <s v="DevOps"/>
    <s v="29"/>
    <n v="40"/>
    <n v="4.3"/>
    <s v="TRUE"/>
    <n v="0.95"/>
  </r>
  <r>
    <s v="FL250156"/>
    <s v="Mitchell Patrick"/>
    <x v="1"/>
    <s v="60"/>
    <x v="11"/>
    <s v="Portuguese"/>
    <s v="Web Development"/>
    <s v="15"/>
    <n v="100"/>
    <n v="1.5"/>
    <s v="FALSE"/>
    <n v="0.8"/>
  </r>
  <r>
    <s v="FL250157"/>
    <s v="Rebecca Lyons"/>
    <x v="0"/>
    <s v="43"/>
    <x v="0"/>
    <s v="Italian"/>
    <s v="Data Analysis"/>
    <s v="9"/>
    <n v="20"/>
    <n v="2.2000000000000002"/>
    <s v="FALSE"/>
    <n v="0.75"/>
  </r>
  <r>
    <s v="FL250158"/>
    <s v="Christian Lopez"/>
    <x v="1"/>
    <s v="56"/>
    <x v="17"/>
    <s v="Afrikaans"/>
    <s v="Data Analysis"/>
    <s v="Unknown"/>
    <n v="100"/>
    <n v="3.2"/>
    <s v="FALSE"/>
    <n v="0.62"/>
  </r>
  <r>
    <s v="FL250159"/>
    <s v="Nathan Blair"/>
    <x v="1"/>
    <s v="42"/>
    <x v="13"/>
    <s v="Russian"/>
    <s v="DevOps"/>
    <s v="2"/>
    <n v="50"/>
    <n v="1.9"/>
    <s v="TRUE"/>
    <n v="0.95"/>
  </r>
  <r>
    <s v="FL250160"/>
    <s v="Patricia Lopez"/>
    <x v="0"/>
    <s v="20"/>
    <x v="20"/>
    <s v="Spanish"/>
    <s v="Graphic Design"/>
    <s v="0"/>
    <n v="40"/>
    <n v="2.5"/>
    <s v="FALSE"/>
    <n v="0.79"/>
  </r>
  <r>
    <s v="FL250161"/>
    <s v="Michelle Wu"/>
    <x v="0"/>
    <s v="47"/>
    <x v="4"/>
    <s v="Indonesian"/>
    <s v="UI/UX Design"/>
    <s v="12"/>
    <n v="40"/>
    <n v="4.5"/>
    <s v="FALSE"/>
    <n v="0.62"/>
  </r>
  <r>
    <s v="FL250162"/>
    <s v="Donald Mitchell"/>
    <x v="1"/>
    <s v="Unknown"/>
    <x v="8"/>
    <s v="Spanish"/>
    <s v="Data Analysis"/>
    <s v="12"/>
    <n v="30"/>
    <n v="4.0999999999999996"/>
    <s v="FALSE"/>
    <n v="0.68"/>
  </r>
  <r>
    <s v="FL250163"/>
    <s v="Sean Gordon"/>
    <x v="1"/>
    <s v="56"/>
    <x v="4"/>
    <s v="Indonesian"/>
    <s v="DevOps"/>
    <s v="15"/>
    <n v="75"/>
    <n v="0"/>
    <s v="FALSE"/>
    <n v="0.75"/>
  </r>
  <r>
    <s v="FL250164"/>
    <s v="Gregory Clarke"/>
    <x v="1"/>
    <s v="59"/>
    <x v="7"/>
    <s v="English"/>
    <s v="DevOps"/>
    <s v="29"/>
    <n v="75"/>
    <n v="2.6"/>
    <s v="FALSE"/>
    <n v="0.8"/>
  </r>
  <r>
    <s v="FL250165"/>
    <s v="Steven Whitney"/>
    <x v="1"/>
    <s v="56"/>
    <x v="9"/>
    <s v="Japanese"/>
    <s v="Cybersecurity"/>
    <s v="15"/>
    <n v="40"/>
    <n v="3.7"/>
    <s v="TRUE"/>
    <n v="0.92"/>
  </r>
  <r>
    <s v="FL250166"/>
    <s v="Robin Acosta"/>
    <x v="0"/>
    <s v="31"/>
    <x v="17"/>
    <s v="Afrikaans"/>
    <s v="Web Development"/>
    <s v="Unknown"/>
    <n v="75"/>
    <n v="1.3"/>
    <s v="TRUE"/>
    <n v="0.65"/>
  </r>
  <r>
    <s v="FL250167"/>
    <s v="John Smith"/>
    <x v="1"/>
    <s v="60"/>
    <x v="12"/>
    <s v="Korean"/>
    <s v="Mobile Apps"/>
    <s v="33"/>
    <n v="40"/>
    <n v="3.6"/>
    <s v="TRUE"/>
    <n v="0.87"/>
  </r>
  <r>
    <s v="FL250168"/>
    <s v="Susan Baker"/>
    <x v="0"/>
    <s v="31"/>
    <x v="14"/>
    <s v="English"/>
    <s v="Web Development"/>
    <s v="10"/>
    <n v="75"/>
    <n v="0"/>
    <s v="FALSE"/>
    <n v="0.7"/>
  </r>
  <r>
    <s v="FL250169"/>
    <s v="Anthony Larsen"/>
    <x v="1"/>
    <s v="60"/>
    <x v="8"/>
    <s v="Spanish"/>
    <s v="Cybersecurity"/>
    <s v="20"/>
    <n v="40"/>
    <n v="1.4"/>
    <s v="FALSE"/>
    <n v="0.87"/>
  </r>
  <r>
    <s v="FL250170"/>
    <s v="Nicholas Carpenter"/>
    <x v="1"/>
    <s v="46"/>
    <x v="15"/>
    <s v="French"/>
    <s v="DevOps"/>
    <s v="23"/>
    <n v="20"/>
    <n v="2.9"/>
    <s v="FALSE"/>
    <n v="0.72"/>
  </r>
  <r>
    <s v="FL250171"/>
    <s v="Debra Salazar"/>
    <x v="0"/>
    <s v="Unknown"/>
    <x v="3"/>
    <s v="Dutch"/>
    <s v="Blockchain Development"/>
    <s v="Unknown"/>
    <n v="40"/>
    <n v="2.8"/>
    <s v="FALSE"/>
    <n v="0.8"/>
  </r>
  <r>
    <s v="FL250172"/>
    <s v="William Smith"/>
    <x v="1"/>
    <s v="34"/>
    <x v="9"/>
    <s v="Japanese"/>
    <s v="UI/UX Design"/>
    <s v="0"/>
    <n v="20"/>
    <n v="1.7"/>
    <s v="FALSE"/>
    <n v="0.66"/>
  </r>
  <r>
    <s v="FL250173"/>
    <s v="Caroline Gross"/>
    <x v="0"/>
    <s v="42"/>
    <x v="3"/>
    <s v="Dutch"/>
    <s v="Graphic Design"/>
    <s v="7"/>
    <n v="40"/>
    <n v="0"/>
    <s v="TRUE"/>
    <n v="0.75"/>
  </r>
  <r>
    <s v="FL250174"/>
    <s v="Jeremy Sawyer"/>
    <x v="1"/>
    <s v="31"/>
    <x v="7"/>
    <s v="English"/>
    <s v="Data Analysis"/>
    <s v="4"/>
    <n v="75"/>
    <n v="1.1000000000000001"/>
    <s v="TRUE"/>
    <n v="0.64"/>
  </r>
  <r>
    <s v="FL250175"/>
    <s v="Eduardo Burns"/>
    <x v="1"/>
    <s v="29"/>
    <x v="11"/>
    <s v="Portuguese"/>
    <s v="UI/UX Design"/>
    <s v="9"/>
    <n v="20"/>
    <n v="2.6"/>
    <s v="TRUE"/>
    <n v="0.68"/>
  </r>
  <r>
    <s v="FL250176"/>
    <s v="Amanda Jones"/>
    <x v="0"/>
    <s v="57"/>
    <x v="1"/>
    <s v="English"/>
    <s v="Graphic Design"/>
    <s v="17"/>
    <n v="20"/>
    <n v="3.6"/>
    <s v="FALSE"/>
    <n v="0.63"/>
  </r>
  <r>
    <s v="FL250177"/>
    <s v="Frederick Ware"/>
    <x v="1"/>
    <s v="47"/>
    <x v="10"/>
    <s v="Hindi"/>
    <s v="DevOps"/>
    <s v="8"/>
    <n v="20"/>
    <n v="4.5"/>
    <s v="TRUE"/>
    <n v="0.72"/>
  </r>
  <r>
    <s v="FL250178"/>
    <s v="Michael Black"/>
    <x v="1"/>
    <s v="47"/>
    <x v="17"/>
    <s v="Afrikaans"/>
    <s v="AI"/>
    <s v="14"/>
    <n v="30"/>
    <n v="0"/>
    <s v="TRUE"/>
    <n v="0.86"/>
  </r>
  <r>
    <s v="FL250179"/>
    <s v="Patricia Sanders"/>
    <x v="0"/>
    <s v="45"/>
    <x v="15"/>
    <s v="French"/>
    <s v="Graphic Design"/>
    <s v="21"/>
    <n v="30"/>
    <n v="1.5"/>
    <s v="TRUE"/>
    <n v="0.73"/>
  </r>
  <r>
    <s v="FL250180"/>
    <s v="Marc Joseph"/>
    <x v="1"/>
    <s v="24"/>
    <x v="6"/>
    <s v="Turkish"/>
    <s v="Machine Learning"/>
    <s v="1"/>
    <n v="30"/>
    <n v="3.7"/>
    <s v="FALSE"/>
    <n v="0.95"/>
  </r>
  <r>
    <s v="FL250181"/>
    <s v="Vanessa White"/>
    <x v="0"/>
    <s v="31"/>
    <x v="8"/>
    <s v="Spanish"/>
    <s v="Mobile Apps"/>
    <s v="12"/>
    <n v="20"/>
    <n v="2.2999999999999998"/>
    <s v="TRUE"/>
    <n v="0.9"/>
  </r>
  <r>
    <s v="FL250182"/>
    <s v="Jennifer Garcia"/>
    <x v="0"/>
    <s v="20"/>
    <x v="19"/>
    <s v="Spanish"/>
    <s v="Graphic Design"/>
    <s v="2"/>
    <n v="20"/>
    <n v="2.8"/>
    <s v="FALSE"/>
    <n v="0.78"/>
  </r>
  <r>
    <s v="FL250183"/>
    <s v="Michael Zavala"/>
    <x v="1"/>
    <s v="38"/>
    <x v="9"/>
    <s v="Japanese"/>
    <s v="Web Development"/>
    <s v="3"/>
    <n v="30"/>
    <n v="3.5"/>
    <s v="FALSE"/>
    <n v="0.97"/>
  </r>
  <r>
    <s v="FL250184"/>
    <s v="Kimberly Williams"/>
    <x v="0"/>
    <s v="33"/>
    <x v="2"/>
    <s v="German"/>
    <s v="UI/UX Design"/>
    <s v="11"/>
    <n v="50"/>
    <n v="0"/>
    <s v="TRUE"/>
    <n v="0.65"/>
  </r>
  <r>
    <s v="FL250185"/>
    <s v="Elizabeth Jenkins"/>
    <x v="0"/>
    <s v="31"/>
    <x v="1"/>
    <s v="English"/>
    <s v="Web Development"/>
    <s v="4"/>
    <n v="40"/>
    <n v="3.2"/>
    <s v="TRUE"/>
    <n v="0.78"/>
  </r>
  <r>
    <s v="FL250186"/>
    <s v="Brandon Ford"/>
    <x v="1"/>
    <s v="41"/>
    <x v="20"/>
    <s v="Spanish"/>
    <s v="Machine Learning"/>
    <s v="21"/>
    <n v="50"/>
    <n v="3.3"/>
    <s v="TRUE"/>
    <n v="0.65"/>
  </r>
  <r>
    <s v="FL250187"/>
    <s v="Justin House"/>
    <x v="1"/>
    <s v="54"/>
    <x v="6"/>
    <s v="Turkish"/>
    <s v="Web Development"/>
    <s v="0"/>
    <n v="20"/>
    <n v="4.9000000000000004"/>
    <s v="TRUE"/>
    <n v="0.75"/>
  </r>
  <r>
    <s v="FL250188"/>
    <s v="Henry Mullen"/>
    <x v="1"/>
    <s v="50"/>
    <x v="19"/>
    <s v="Spanish"/>
    <s v="Data Analysis"/>
    <s v="6"/>
    <n v="30"/>
    <n v="2.2000000000000002"/>
    <s v="TRUE"/>
    <n v="0.95"/>
  </r>
  <r>
    <s v="FL250189"/>
    <s v="Jesse Cochran"/>
    <x v="1"/>
    <s v="48"/>
    <x v="11"/>
    <s v="Portuguese"/>
    <s v="Machine Learning"/>
    <s v="18"/>
    <n v="40"/>
    <n v="2.6"/>
    <s v="TRUE"/>
    <n v="0.88"/>
  </r>
  <r>
    <s v="FL250190"/>
    <s v="Melissa Rich"/>
    <x v="0"/>
    <s v="49"/>
    <x v="19"/>
    <s v="Spanish"/>
    <s v="Graphic Design"/>
    <s v="Unknown"/>
    <n v="50"/>
    <n v="1.8"/>
    <s v="FALSE"/>
    <n v="0.75"/>
  </r>
  <r>
    <s v="FL250191"/>
    <s v="Patrick Dunlap"/>
    <x v="1"/>
    <s v="21"/>
    <x v="12"/>
    <s v="Korean"/>
    <s v="Graphic Design"/>
    <s v="1"/>
    <n v="75"/>
    <n v="4.5999999999999996"/>
    <s v="FALSE"/>
    <n v="0.92"/>
  </r>
  <r>
    <s v="FL250192"/>
    <s v="Troy Carson"/>
    <x v="1"/>
    <s v="58"/>
    <x v="1"/>
    <s v="English"/>
    <s v="Graphic Design"/>
    <s v="20"/>
    <n v="75"/>
    <n v="2.8"/>
    <s v="FALSE"/>
    <n v="0.75"/>
  </r>
  <r>
    <s v="FL250193"/>
    <s v="Matthew Smith"/>
    <x v="1"/>
    <s v="41"/>
    <x v="0"/>
    <s v="Italian"/>
    <s v="DevOps"/>
    <s v="Unknown"/>
    <n v="30"/>
    <n v="1.4"/>
    <s v="TRUE"/>
    <n v="0.74"/>
  </r>
  <r>
    <s v="FL250194"/>
    <s v="Jennifer Cherry"/>
    <x v="0"/>
    <s v="58"/>
    <x v="13"/>
    <s v="Russian"/>
    <s v="Blockchain Development"/>
    <s v="25"/>
    <n v="30"/>
    <n v="4.2"/>
    <s v="TRUE"/>
    <n v="0.71"/>
  </r>
  <r>
    <s v="FL250195"/>
    <s v="Brandi Tucker"/>
    <x v="0"/>
    <s v="50"/>
    <x v="17"/>
    <s v="Afrikaans"/>
    <s v="Graphic Design"/>
    <s v="20"/>
    <n v="40"/>
    <n v="3.6"/>
    <s v="TRUE"/>
    <n v="0.89"/>
  </r>
  <r>
    <s v="FL250196"/>
    <s v="Zachary Burke"/>
    <x v="1"/>
    <s v="52"/>
    <x v="4"/>
    <s v="Indonesian"/>
    <s v="Web Development"/>
    <s v="33"/>
    <n v="100"/>
    <n v="1.6"/>
    <s v="TRUE"/>
    <n v="0.66"/>
  </r>
  <r>
    <s v="FL250197"/>
    <s v="Thomas Jones"/>
    <x v="1"/>
    <s v="34"/>
    <x v="3"/>
    <s v="Dutch"/>
    <s v="Data Analysis"/>
    <s v="6"/>
    <n v="100"/>
    <n v="2"/>
    <s v="FALSE"/>
    <n v="0.75"/>
  </r>
  <r>
    <s v="FL250198"/>
    <s v="Brian Dunn"/>
    <x v="1"/>
    <s v="32"/>
    <x v="15"/>
    <s v="French"/>
    <s v="Machine Learning"/>
    <s v="11"/>
    <n v="40"/>
    <n v="4.3"/>
    <s v="TRUE"/>
    <n v="0.86"/>
  </r>
  <r>
    <s v="FL250199"/>
    <s v="Shirley Strickland"/>
    <x v="0"/>
    <s v="50"/>
    <x v="10"/>
    <s v="Hindi"/>
    <s v="Graphic Design"/>
    <s v="28"/>
    <n v="100"/>
    <n v="4.9000000000000004"/>
    <s v="TRUE"/>
    <n v="0.86"/>
  </r>
  <r>
    <s v="FL250200"/>
    <s v="Nicole Meyers"/>
    <x v="0"/>
    <s v="39"/>
    <x v="8"/>
    <s v="Spanish"/>
    <s v="Data Analysis"/>
    <s v="11"/>
    <n v="100"/>
    <n v="3.5"/>
    <s v="TRUE"/>
    <n v="0.82"/>
  </r>
  <r>
    <s v="FL250201"/>
    <s v="Jill Stephens"/>
    <x v="0"/>
    <s v="25"/>
    <x v="20"/>
    <s v="Spanish"/>
    <s v="AI"/>
    <s v="2"/>
    <n v="100"/>
    <n v="2.5"/>
    <s v="FALSE"/>
    <n v="0.87"/>
  </r>
  <r>
    <s v="FL250202"/>
    <s v="Heidi Miranda"/>
    <x v="0"/>
    <s v="55"/>
    <x v="18"/>
    <s v="Mandarin"/>
    <s v="Machine Learning"/>
    <s v="7"/>
    <n v="100"/>
    <n v="1.7"/>
    <s v="TRUE"/>
    <n v="0.8"/>
  </r>
  <r>
    <s v="FL250203"/>
    <s v="Jesus Martinez"/>
    <x v="1"/>
    <s v="42"/>
    <x v="0"/>
    <s v="Italian"/>
    <s v="DevOps"/>
    <s v="10"/>
    <n v="100"/>
    <n v="4.5999999999999996"/>
    <s v="TRUE"/>
    <n v="0.71"/>
  </r>
  <r>
    <s v="FL250204"/>
    <s v="Adam Payne"/>
    <x v="1"/>
    <s v="43"/>
    <x v="13"/>
    <s v="Russian"/>
    <s v="Mobile Apps"/>
    <s v="6"/>
    <n v="50"/>
    <n v="2.6"/>
    <s v="FALSE"/>
    <n v="0.77"/>
  </r>
  <r>
    <s v="FL250205"/>
    <s v="Walter Williams"/>
    <x v="1"/>
    <s v="54"/>
    <x v="0"/>
    <s v="Italian"/>
    <s v="DevOps"/>
    <s v="29"/>
    <n v="30"/>
    <n v="1.7"/>
    <s v="FALSE"/>
    <n v="0.68"/>
  </r>
  <r>
    <s v="FL250206"/>
    <s v="Shannon Farmer"/>
    <x v="0"/>
    <s v="21"/>
    <x v="16"/>
    <s v="Arabic"/>
    <s v="Graphic Design"/>
    <s v="0"/>
    <n v="20"/>
    <n v="1.8"/>
    <s v="FALSE"/>
    <n v="0.91"/>
  </r>
  <r>
    <s v="FL250207"/>
    <s v="Peter Reyes"/>
    <x v="1"/>
    <s v="46"/>
    <x v="14"/>
    <s v="English"/>
    <s v="UI/UX Design"/>
    <s v="5"/>
    <n v="20"/>
    <n v="2.2000000000000002"/>
    <s v="TRUE"/>
    <n v="0.75"/>
  </r>
  <r>
    <s v="FL250208"/>
    <s v="Kristen Knight"/>
    <x v="0"/>
    <s v="30"/>
    <x v="20"/>
    <s v="Spanish"/>
    <s v="Blockchain Development"/>
    <s v="11"/>
    <n v="40"/>
    <n v="1"/>
    <s v="FALSE"/>
    <n v="0.9"/>
  </r>
  <r>
    <s v="FL250209"/>
    <s v="William Moore Jr."/>
    <x v="1"/>
    <s v="36"/>
    <x v="18"/>
    <s v="Mandarin"/>
    <s v="Machine Learning"/>
    <s v="11"/>
    <n v="75"/>
    <n v="3.2"/>
    <s v="FALSE"/>
    <n v="0.93"/>
  </r>
  <r>
    <s v="FL250210"/>
    <s v="Jennifer Rowe"/>
    <x v="0"/>
    <s v="47"/>
    <x v="2"/>
    <s v="German"/>
    <s v="Data Analysis"/>
    <s v="15"/>
    <n v="40"/>
    <n v="2.1"/>
    <s v="TRUE"/>
    <n v="0.94"/>
  </r>
  <r>
    <s v="FL250211"/>
    <s v="Mikayla Henry"/>
    <x v="0"/>
    <s v="43"/>
    <x v="14"/>
    <s v="English"/>
    <s v="Mobile Apps"/>
    <s v="1"/>
    <n v="50"/>
    <n v="4.5999999999999996"/>
    <s v="TRUE"/>
    <n v="0.64"/>
  </r>
  <r>
    <s v="FL250212"/>
    <s v="Jacob Kerr"/>
    <x v="1"/>
    <s v="57"/>
    <x v="12"/>
    <s v="Korean"/>
    <s v="Cybersecurity"/>
    <s v="8"/>
    <n v="20"/>
    <n v="0"/>
    <s v="TRUE"/>
    <n v="0.84"/>
  </r>
  <r>
    <s v="FL250213"/>
    <s v="Ryan Johnson"/>
    <x v="1"/>
    <s v="52"/>
    <x v="0"/>
    <s v="Italian"/>
    <s v="Machine Learning"/>
    <s v="30"/>
    <n v="20"/>
    <n v="2.8"/>
    <s v="FALSE"/>
    <n v="0.87"/>
  </r>
  <r>
    <s v="FL250214"/>
    <s v="Michael Ruiz"/>
    <x v="1"/>
    <s v="Unknown"/>
    <x v="2"/>
    <s v="German"/>
    <s v="Blockchain Development"/>
    <s v="8"/>
    <n v="40"/>
    <n v="0"/>
    <s v="FALSE"/>
    <n v="0.64"/>
  </r>
  <r>
    <s v="FL250215"/>
    <s v="Monica Roberts"/>
    <x v="0"/>
    <s v="22"/>
    <x v="4"/>
    <s v="Indonesian"/>
    <s v="Machine Learning"/>
    <s v="0"/>
    <n v="100"/>
    <n v="2.7"/>
    <s v="TRUE"/>
    <n v="0.64"/>
  </r>
  <r>
    <s v="FL250216"/>
    <s v="Danny Brown"/>
    <x v="1"/>
    <s v="Unknown"/>
    <x v="10"/>
    <s v="Hindi"/>
    <s v="Machine Learning"/>
    <s v="12"/>
    <n v="20"/>
    <n v="0"/>
    <s v="TRUE"/>
    <n v="0.8"/>
  </r>
  <r>
    <s v="FL250217"/>
    <s v="Karen Larsen"/>
    <x v="0"/>
    <s v="58"/>
    <x v="20"/>
    <s v="Spanish"/>
    <s v="Mobile Apps"/>
    <s v="4"/>
    <n v="50"/>
    <n v="3.1"/>
    <s v="FALSE"/>
    <n v="0.9"/>
  </r>
  <r>
    <s v="FL250218"/>
    <s v="Robert Evans"/>
    <x v="1"/>
    <s v="39"/>
    <x v="12"/>
    <s v="Korean"/>
    <s v="Web Development"/>
    <s v="14"/>
    <n v="100"/>
    <n v="0"/>
    <s v="TRUE"/>
    <n v="0.92"/>
  </r>
  <r>
    <s v="FL250219"/>
    <s v="Sean Poole"/>
    <x v="1"/>
    <s v="32"/>
    <x v="4"/>
    <s v="Indonesian"/>
    <s v="Graphic Design"/>
    <s v="14"/>
    <n v="50"/>
    <n v="2.6"/>
    <s v="FALSE"/>
    <n v="0.96"/>
  </r>
  <r>
    <s v="FL250220"/>
    <s v="Richard Quinn"/>
    <x v="1"/>
    <s v="37"/>
    <x v="14"/>
    <s v="English"/>
    <s v="UI/UX Design"/>
    <s v="2"/>
    <n v="30"/>
    <n v="2.2999999999999998"/>
    <s v="TRUE"/>
    <n v="0.75"/>
  </r>
  <r>
    <s v="FL250221"/>
    <s v="Jennifer Gonzalez"/>
    <x v="0"/>
    <s v="21"/>
    <x v="18"/>
    <s v="Mandarin"/>
    <s v="Cybersecurity"/>
    <s v="2"/>
    <n v="100"/>
    <n v="2.4"/>
    <s v="TRUE"/>
    <n v="0.75"/>
  </r>
  <r>
    <s v="FL250222"/>
    <s v="James Skinner"/>
    <x v="1"/>
    <s v="41"/>
    <x v="12"/>
    <s v="Korean"/>
    <s v="Machine Learning"/>
    <s v="4"/>
    <n v="75"/>
    <n v="2.6"/>
    <s v="TRUE"/>
    <n v="0.85"/>
  </r>
  <r>
    <s v="FL250223"/>
    <s v="Michelle Hill"/>
    <x v="0"/>
    <s v="21"/>
    <x v="14"/>
    <s v="English"/>
    <s v="AI"/>
    <s v="0"/>
    <n v="40"/>
    <n v="1.1000000000000001"/>
    <s v="FALSE"/>
    <n v="0.79"/>
  </r>
  <r>
    <s v="FL250224"/>
    <s v="Jacqueline Williams"/>
    <x v="0"/>
    <s v="58"/>
    <x v="18"/>
    <s v="Mandarin"/>
    <s v="Machine Learning"/>
    <s v="9"/>
    <n v="30"/>
    <n v="0"/>
    <s v="TRUE"/>
    <n v="0.65"/>
  </r>
  <r>
    <s v="FL250225"/>
    <s v="Darrell Johnson"/>
    <x v="1"/>
    <s v="60"/>
    <x v="14"/>
    <s v="English"/>
    <s v="Machine Learning"/>
    <s v="3"/>
    <n v="40"/>
    <n v="4.7"/>
    <s v="TRUE"/>
    <n v="0.63"/>
  </r>
  <r>
    <s v="FL250226"/>
    <s v="Ryan Crawford"/>
    <x v="1"/>
    <s v="27"/>
    <x v="17"/>
    <s v="Afrikaans"/>
    <s v="Web Development"/>
    <s v="2"/>
    <n v="40"/>
    <n v="1.2"/>
    <s v="TRUE"/>
    <n v="0.75"/>
  </r>
  <r>
    <s v="FL250227"/>
    <s v="Chelsea Barber"/>
    <x v="0"/>
    <s v="29"/>
    <x v="2"/>
    <s v="German"/>
    <s v="Machine Learning"/>
    <s v="10"/>
    <n v="40"/>
    <n v="1.2"/>
    <s v="TRUE"/>
    <n v="0.78"/>
  </r>
  <r>
    <s v="FL250228"/>
    <s v="Elaine Martinez"/>
    <x v="0"/>
    <s v="54"/>
    <x v="14"/>
    <s v="English"/>
    <s v="Graphic Design"/>
    <s v="33"/>
    <n v="75"/>
    <n v="0"/>
    <s v="TRUE"/>
    <n v="0.62"/>
  </r>
  <r>
    <s v="FL250229"/>
    <s v="Joseph Kent"/>
    <x v="1"/>
    <s v="52"/>
    <x v="19"/>
    <s v="Spanish"/>
    <s v="Machine Learning"/>
    <s v="12"/>
    <n v="40"/>
    <n v="1.2"/>
    <s v="FALSE"/>
    <n v="0.76"/>
  </r>
  <r>
    <s v="FL250230"/>
    <s v="Megan Welch"/>
    <x v="0"/>
    <s v="55"/>
    <x v="4"/>
    <s v="Indonesian"/>
    <s v="Blockchain Development"/>
    <s v="18"/>
    <n v="100"/>
    <n v="2.9"/>
    <s v="FALSE"/>
    <n v="0.97"/>
  </r>
  <r>
    <s v="FL250231"/>
    <s v="Stephen Ramirez"/>
    <x v="1"/>
    <s v="37"/>
    <x v="11"/>
    <s v="Portuguese"/>
    <s v="Blockchain Development"/>
    <s v="4"/>
    <n v="50"/>
    <n v="2.6"/>
    <s v="FALSE"/>
    <n v="0.75"/>
  </r>
  <r>
    <s v="FL250232"/>
    <s v="Chloe Gray"/>
    <x v="0"/>
    <s v="34"/>
    <x v="16"/>
    <s v="Arabic"/>
    <s v="Data Analysis"/>
    <s v="11"/>
    <n v="50"/>
    <n v="3.9"/>
    <s v="TRUE"/>
    <n v="0.82"/>
  </r>
  <r>
    <s v="FL250233"/>
    <s v="Michael Williams Jr."/>
    <x v="1"/>
    <s v="20"/>
    <x v="15"/>
    <s v="French"/>
    <s v="Data Analysis"/>
    <s v="1"/>
    <n v="50"/>
    <n v="3.1"/>
    <s v="TRUE"/>
    <n v="0.71"/>
  </r>
  <r>
    <s v="FL250234"/>
    <s v="Matthew Martin"/>
    <x v="1"/>
    <s v="22"/>
    <x v="19"/>
    <s v="Spanish"/>
    <s v="UI/UX Design"/>
    <s v="2"/>
    <n v="50"/>
    <n v="0"/>
    <s v="TRUE"/>
    <n v="0.75"/>
  </r>
  <r>
    <s v="FL250235"/>
    <s v="Julia Murphy"/>
    <x v="0"/>
    <s v="23"/>
    <x v="12"/>
    <s v="Korean"/>
    <s v="Graphic Design"/>
    <s v="2"/>
    <n v="50"/>
    <n v="3.2"/>
    <s v="TRUE"/>
    <n v="0.75"/>
  </r>
  <r>
    <s v="FL250236"/>
    <s v="Anna Evans"/>
    <x v="0"/>
    <s v="53"/>
    <x v="12"/>
    <s v="Korean"/>
    <s v="Blockchain Development"/>
    <s v="34"/>
    <n v="30"/>
    <n v="2.6"/>
    <s v="TRUE"/>
    <n v="0.75"/>
  </r>
  <r>
    <s v="FL250237"/>
    <s v="Brenda Fleming"/>
    <x v="0"/>
    <s v="56"/>
    <x v="12"/>
    <s v="Korean"/>
    <s v="Graphic Design"/>
    <s v="27"/>
    <n v="100"/>
    <n v="4.7"/>
    <s v="TRUE"/>
    <n v="0.69"/>
  </r>
  <r>
    <s v="FL250238"/>
    <s v="Daniel Harrington"/>
    <x v="1"/>
    <s v="27"/>
    <x v="14"/>
    <s v="English"/>
    <s v="AI"/>
    <s v="4"/>
    <n v="75"/>
    <n v="5"/>
    <s v="FALSE"/>
    <n v="0.88"/>
  </r>
  <r>
    <s v="FL250239"/>
    <s v="Daniel Barnett"/>
    <x v="1"/>
    <s v="34"/>
    <x v="0"/>
    <s v="Italian"/>
    <s v="Mobile Apps"/>
    <s v="11"/>
    <n v="40"/>
    <n v="2.6"/>
    <s v="TRUE"/>
    <n v="0.67"/>
  </r>
  <r>
    <s v="FL250240"/>
    <s v="Mark Cummings"/>
    <x v="1"/>
    <s v="29"/>
    <x v="5"/>
    <s v="English"/>
    <s v="Web Development"/>
    <s v="4"/>
    <n v="50"/>
    <n v="4"/>
    <s v="FALSE"/>
    <n v="0.75"/>
  </r>
  <r>
    <s v="FL250241"/>
    <s v="Christopher Guerra"/>
    <x v="1"/>
    <s v="34"/>
    <x v="10"/>
    <s v="Hindi"/>
    <s v="AI"/>
    <s v="11"/>
    <n v="50"/>
    <n v="1.2"/>
    <s v="TRUE"/>
    <n v="0.75"/>
  </r>
  <r>
    <s v="FL250242"/>
    <s v="Sarah Ho"/>
    <x v="0"/>
    <s v="32"/>
    <x v="19"/>
    <s v="Spanish"/>
    <s v="AI"/>
    <s v="1"/>
    <n v="100"/>
    <n v="4.7"/>
    <s v="FALSE"/>
    <n v="0.67"/>
  </r>
  <r>
    <s v="FL250243"/>
    <s v="Veronica Thomas"/>
    <x v="0"/>
    <s v="21"/>
    <x v="17"/>
    <s v="Afrikaans"/>
    <s v="Machine Learning"/>
    <s v="2"/>
    <n v="20"/>
    <n v="2.4"/>
    <s v="TRUE"/>
    <n v="0.86"/>
  </r>
  <r>
    <s v="FL250244"/>
    <s v="Mitchell Watson"/>
    <x v="1"/>
    <s v="20"/>
    <x v="19"/>
    <s v="Spanish"/>
    <s v="Graphic Design"/>
    <s v="2"/>
    <n v="50"/>
    <n v="1.1000000000000001"/>
    <s v="TRUE"/>
    <n v="0.69"/>
  </r>
  <r>
    <s v="FL250245"/>
    <s v="Monica Murphy"/>
    <x v="0"/>
    <s v="35"/>
    <x v="5"/>
    <s v="English"/>
    <s v="Mobile Apps"/>
    <s v="10"/>
    <n v="50"/>
    <n v="1.4"/>
    <s v="TRUE"/>
    <n v="0.85"/>
  </r>
  <r>
    <s v="FL250246"/>
    <s v="Kristen Williams"/>
    <x v="0"/>
    <s v="47"/>
    <x v="5"/>
    <s v="English"/>
    <s v="UI/UX Design"/>
    <s v="18"/>
    <n v="40"/>
    <n v="3.4"/>
    <s v="FALSE"/>
    <n v="0.6"/>
  </r>
  <r>
    <s v="FL250247"/>
    <s v="Nicole Wright"/>
    <x v="0"/>
    <s v="41"/>
    <x v="6"/>
    <s v="Turkish"/>
    <s v="Blockchain Development"/>
    <s v="4"/>
    <n v="40"/>
    <n v="2.7"/>
    <s v="TRUE"/>
    <n v="0.7"/>
  </r>
  <r>
    <s v="FL250248"/>
    <s v="Andrew Ruiz"/>
    <x v="1"/>
    <s v="58"/>
    <x v="8"/>
    <s v="Spanish"/>
    <s v="Web Development"/>
    <s v="23"/>
    <n v="50"/>
    <n v="4.9000000000000004"/>
    <s v="TRUE"/>
    <n v="0.75"/>
  </r>
  <r>
    <s v="FL250249"/>
    <s v="Zachary Jackson"/>
    <x v="1"/>
    <s v="34"/>
    <x v="18"/>
    <s v="Mandarin"/>
    <s v="Data Analysis"/>
    <s v="6"/>
    <n v="75"/>
    <n v="1.9"/>
    <s v="TRUE"/>
    <n v="0.81"/>
  </r>
  <r>
    <s v="FL250250"/>
    <s v="Stephanie Carter"/>
    <x v="0"/>
    <s v="50"/>
    <x v="10"/>
    <s v="Hindi"/>
    <s v="Mobile Apps"/>
    <s v="5"/>
    <n v="100"/>
    <n v="2.6"/>
    <s v="TRUE"/>
    <n v="0.75"/>
  </r>
  <r>
    <s v="FL250251"/>
    <s v="Amy Olson"/>
    <x v="0"/>
    <s v="42"/>
    <x v="19"/>
    <s v="Spanish"/>
    <s v="DevOps"/>
    <s v="19"/>
    <n v="75"/>
    <n v="4.5999999999999996"/>
    <s v="FALSE"/>
    <n v="0.78"/>
  </r>
  <r>
    <s v="FL250252"/>
    <s v="Fred Stark"/>
    <x v="1"/>
    <s v="43"/>
    <x v="2"/>
    <s v="German"/>
    <s v="UI/UX Design"/>
    <s v="6"/>
    <n v="50"/>
    <n v="0"/>
    <s v="FALSE"/>
    <n v="0.81"/>
  </r>
  <r>
    <s v="FL250253"/>
    <s v="Jacob Gill"/>
    <x v="1"/>
    <s v="34"/>
    <x v="2"/>
    <s v="German"/>
    <s v="Data Analysis"/>
    <s v="8"/>
    <n v="75"/>
    <n v="1.8"/>
    <s v="TRUE"/>
    <n v="0.71"/>
  </r>
  <r>
    <s v="FL250254"/>
    <s v="Anthony Nichols"/>
    <x v="1"/>
    <s v="24"/>
    <x v="20"/>
    <s v="Spanish"/>
    <s v="Mobile Apps"/>
    <s v="3"/>
    <n v="75"/>
    <n v="2"/>
    <s v="TRUE"/>
    <n v="0.75"/>
  </r>
  <r>
    <s v="FL250255"/>
    <s v="William Knapp"/>
    <x v="1"/>
    <s v="48"/>
    <x v="17"/>
    <s v="Afrikaans"/>
    <s v="UI/UX Design"/>
    <s v="8"/>
    <n v="30"/>
    <n v="5"/>
    <s v="TRUE"/>
    <n v="0.99"/>
  </r>
  <r>
    <s v="FL250256"/>
    <s v="Elizabeth Walker"/>
    <x v="0"/>
    <s v="39"/>
    <x v="12"/>
    <s v="Korean"/>
    <s v="Data Analysis"/>
    <s v="12"/>
    <n v="20"/>
    <n v="3.2"/>
    <s v="TRUE"/>
    <n v="0.66"/>
  </r>
  <r>
    <s v="FL250257"/>
    <s v="Brenda Reeves"/>
    <x v="0"/>
    <s v="57"/>
    <x v="1"/>
    <s v="English"/>
    <s v="Blockchain Development"/>
    <s v="30"/>
    <n v="30"/>
    <n v="2.4"/>
    <s v="TRUE"/>
    <n v="0.8"/>
  </r>
  <r>
    <s v="FL250258"/>
    <s v="Carrie Little"/>
    <x v="0"/>
    <s v="44"/>
    <x v="14"/>
    <s v="English"/>
    <s v="Web Development"/>
    <s v="21"/>
    <n v="100"/>
    <n v="2.9"/>
    <s v="FALSE"/>
    <n v="0.83"/>
  </r>
  <r>
    <s v="FL250259"/>
    <s v="Steven Jackson"/>
    <x v="1"/>
    <s v="37"/>
    <x v="11"/>
    <s v="Portuguese"/>
    <s v="UI/UX Design"/>
    <s v="17"/>
    <n v="20"/>
    <n v="0"/>
    <s v="TRUE"/>
    <n v="0.87"/>
  </r>
  <r>
    <s v="FL250260"/>
    <s v="Mark Perry"/>
    <x v="1"/>
    <s v="50"/>
    <x v="6"/>
    <s v="Turkish"/>
    <s v="Data Analysis"/>
    <s v="9"/>
    <n v="30"/>
    <n v="3"/>
    <s v="FALSE"/>
    <n v="0.76"/>
  </r>
  <r>
    <s v="FL250261"/>
    <s v="Cameron Spencer"/>
    <x v="1"/>
    <s v="50"/>
    <x v="20"/>
    <s v="Spanish"/>
    <s v="UI/UX Design"/>
    <s v="2"/>
    <n v="50"/>
    <n v="1.6"/>
    <s v="FALSE"/>
    <n v="0.89"/>
  </r>
  <r>
    <s v="FL250262"/>
    <s v="Jennifer Holmes"/>
    <x v="0"/>
    <s v="28"/>
    <x v="15"/>
    <s v="French"/>
    <s v="Graphic Design"/>
    <s v="1"/>
    <n v="20"/>
    <n v="3.6"/>
    <s v="TRUE"/>
    <n v="0.94"/>
  </r>
  <r>
    <s v="FL250263"/>
    <s v="Jacob Joseph"/>
    <x v="1"/>
    <s v="48"/>
    <x v="0"/>
    <s v="Italian"/>
    <s v="Web Development"/>
    <s v="23"/>
    <n v="50"/>
    <n v="2.1"/>
    <s v="FALSE"/>
    <n v="0.68"/>
  </r>
  <r>
    <s v="FL250264"/>
    <s v="Jeffery Tucker"/>
    <x v="1"/>
    <s v="42"/>
    <x v="2"/>
    <s v="German"/>
    <s v="DevOps"/>
    <s v="8"/>
    <n v="30"/>
    <n v="3.6"/>
    <s v="TRUE"/>
    <n v="0.96"/>
  </r>
  <r>
    <s v="FL250265"/>
    <s v="Jacqueline Drake"/>
    <x v="0"/>
    <s v="37"/>
    <x v="14"/>
    <s v="English"/>
    <s v="Data Analysis"/>
    <s v="6"/>
    <n v="20"/>
    <n v="2.7"/>
    <s v="TRUE"/>
    <n v="0.91"/>
  </r>
  <r>
    <s v="FL250266"/>
    <s v="Brian Bautista"/>
    <x v="1"/>
    <s v="21"/>
    <x v="10"/>
    <s v="Hindi"/>
    <s v="Blockchain Development"/>
    <s v="1"/>
    <n v="100"/>
    <n v="2.1"/>
    <s v="TRUE"/>
    <n v="0.92"/>
  </r>
  <r>
    <s v="FL250267"/>
    <s v="Dakota Wells"/>
    <x v="1"/>
    <s v="50"/>
    <x v="12"/>
    <s v="Korean"/>
    <s v="Web Development"/>
    <s v="19"/>
    <n v="40"/>
    <n v="4.9000000000000004"/>
    <s v="TRUE"/>
    <n v="0.82"/>
  </r>
  <r>
    <s v="FL250268"/>
    <s v="Julie White"/>
    <x v="0"/>
    <s v="22"/>
    <x v="8"/>
    <s v="Spanish"/>
    <s v="AI"/>
    <s v="2"/>
    <n v="30"/>
    <n v="2.1"/>
    <s v="TRUE"/>
    <n v="0.75"/>
  </r>
  <r>
    <s v="FL250269"/>
    <s v="Barbara Keith"/>
    <x v="0"/>
    <s v="39"/>
    <x v="9"/>
    <s v="Japanese"/>
    <s v="Web Development"/>
    <s v="21"/>
    <n v="100"/>
    <n v="0"/>
    <s v="FALSE"/>
    <n v="0.91"/>
  </r>
  <r>
    <s v="FL250270"/>
    <s v="Heather Camacho"/>
    <x v="0"/>
    <s v="25"/>
    <x v="9"/>
    <s v="Japanese"/>
    <s v="Machine Learning"/>
    <s v="3"/>
    <n v="50"/>
    <n v="2.8"/>
    <s v="TRUE"/>
    <n v="0.86"/>
  </r>
  <r>
    <s v="FL250271"/>
    <s v="Melanie Harris"/>
    <x v="0"/>
    <s v="47"/>
    <x v="17"/>
    <s v="Afrikaans"/>
    <s v="Mobile Apps"/>
    <s v="14"/>
    <n v="50"/>
    <n v="2.6"/>
    <s v="TRUE"/>
    <n v="0.69"/>
  </r>
  <r>
    <s v="FL250272"/>
    <s v="Jacqueline Peterson"/>
    <x v="0"/>
    <s v="35"/>
    <x v="17"/>
    <s v="Afrikaans"/>
    <s v="UI/UX Design"/>
    <s v="10"/>
    <n v="100"/>
    <n v="4.7"/>
    <s v="TRUE"/>
    <n v="0.84"/>
  </r>
  <r>
    <s v="FL250273"/>
    <s v="Nancy Long"/>
    <x v="0"/>
    <s v="Unknown"/>
    <x v="7"/>
    <s v="English"/>
    <s v="Cybersecurity"/>
    <s v="5"/>
    <n v="100"/>
    <n v="1.3"/>
    <s v="FALSE"/>
    <n v="0.6"/>
  </r>
  <r>
    <s v="FL250274"/>
    <s v="Juan Mitchell"/>
    <x v="1"/>
    <s v="35"/>
    <x v="3"/>
    <s v="Dutch"/>
    <s v="Blockchain Development"/>
    <s v="6"/>
    <n v="75"/>
    <n v="1.6"/>
    <s v="TRUE"/>
    <n v="0.97"/>
  </r>
  <r>
    <s v="FL250275"/>
    <s v="William Gaines"/>
    <x v="1"/>
    <s v="59"/>
    <x v="15"/>
    <s v="French"/>
    <s v="Web Development"/>
    <s v="21"/>
    <n v="100"/>
    <n v="0"/>
    <s v="TRUE"/>
    <n v="0.7"/>
  </r>
  <r>
    <s v="FL250276"/>
    <s v="Haley Yates"/>
    <x v="0"/>
    <s v="26"/>
    <x v="18"/>
    <s v="Mandarin"/>
    <s v="UI/UX Design"/>
    <s v="4"/>
    <n v="100"/>
    <n v="3.6"/>
    <s v="FALSE"/>
    <n v="0.81"/>
  </r>
  <r>
    <s v="FL250277"/>
    <s v="Richard Mcguire"/>
    <x v="1"/>
    <s v="44"/>
    <x v="13"/>
    <s v="Russian"/>
    <s v="Machine Learning"/>
    <s v="18"/>
    <n v="20"/>
    <n v="4.7"/>
    <s v="TRUE"/>
    <n v="0.88"/>
  </r>
  <r>
    <s v="FL250278"/>
    <s v="Stephanie Fisher"/>
    <x v="0"/>
    <s v="31"/>
    <x v="17"/>
    <s v="Afrikaans"/>
    <s v="UI/UX Design"/>
    <s v="12"/>
    <n v="40"/>
    <n v="2.6"/>
    <s v="TRUE"/>
    <n v="1"/>
  </r>
  <r>
    <s v="FL250279"/>
    <s v="Anthony Goodwin Dds"/>
    <x v="1"/>
    <s v="60"/>
    <x v="6"/>
    <s v="Turkish"/>
    <s v="Data Analysis"/>
    <s v="6"/>
    <n v="50"/>
    <n v="3.2"/>
    <s v="FALSE"/>
    <n v="0.95"/>
  </r>
  <r>
    <s v="FL250280"/>
    <s v="Meagan Walters"/>
    <x v="0"/>
    <s v="23"/>
    <x v="7"/>
    <s v="English"/>
    <s v="Blockchain Development"/>
    <s v="4"/>
    <n v="20"/>
    <n v="2.6"/>
    <s v="FALSE"/>
    <n v="0.71"/>
  </r>
  <r>
    <s v="FL250281"/>
    <s v="David Powell"/>
    <x v="1"/>
    <s v="42"/>
    <x v="4"/>
    <s v="Indonesian"/>
    <s v="UI/UX Design"/>
    <s v="13"/>
    <n v="20"/>
    <n v="4.7"/>
    <s v="FALSE"/>
    <n v="0.85"/>
  </r>
  <r>
    <s v="FL250282"/>
    <s v="Kelly Jones"/>
    <x v="0"/>
    <s v="48"/>
    <x v="10"/>
    <s v="Hindi"/>
    <s v="Mobile Apps"/>
    <s v="6"/>
    <n v="30"/>
    <n v="2.6"/>
    <s v="FALSE"/>
    <n v="0.96"/>
  </r>
  <r>
    <s v="FL250283"/>
    <s v="Dr. Michael Aguilar"/>
    <x v="1"/>
    <s v="42"/>
    <x v="3"/>
    <s v="Dutch"/>
    <s v="Graphic Design"/>
    <s v="10"/>
    <n v="20"/>
    <n v="2.4"/>
    <s v="TRUE"/>
    <n v="0.92"/>
  </r>
  <r>
    <s v="FL250284"/>
    <s v="Alex Novak"/>
    <x v="1"/>
    <s v="52"/>
    <x v="12"/>
    <s v="Korean"/>
    <s v="Cybersecurity"/>
    <s v="20"/>
    <n v="50"/>
    <n v="2.6"/>
    <s v="TRUE"/>
    <n v="0.79"/>
  </r>
  <r>
    <s v="FL250285"/>
    <s v="Ann Contreras"/>
    <x v="0"/>
    <s v="55"/>
    <x v="9"/>
    <s v="Japanese"/>
    <s v="Web Development"/>
    <s v="20"/>
    <n v="75"/>
    <n v="2.9"/>
    <s v="TRUE"/>
    <n v="0.75"/>
  </r>
  <r>
    <s v="FL250286"/>
    <s v="Mary Reed"/>
    <x v="0"/>
    <s v="58"/>
    <x v="17"/>
    <s v="Afrikaans"/>
    <s v="Cybersecurity"/>
    <s v="11"/>
    <n v="50"/>
    <n v="0"/>
    <s v="FALSE"/>
    <n v="0.75"/>
  </r>
  <r>
    <s v="FL250287"/>
    <s v="Lauren Ross"/>
    <x v="0"/>
    <s v="46"/>
    <x v="12"/>
    <s v="Korean"/>
    <s v="Machine Learning"/>
    <s v="12"/>
    <n v="20"/>
    <n v="0"/>
    <s v="TRUE"/>
    <n v="0.89"/>
  </r>
  <r>
    <s v="FL250288"/>
    <s v="Candice Wise"/>
    <x v="0"/>
    <s v="45"/>
    <x v="20"/>
    <s v="Spanish"/>
    <s v="Machine Learning"/>
    <s v="1"/>
    <n v="100"/>
    <n v="1.5"/>
    <s v="TRUE"/>
    <n v="1"/>
  </r>
  <r>
    <s v="FL250289"/>
    <s v="Joyce Humphrey"/>
    <x v="0"/>
    <s v="56"/>
    <x v="10"/>
    <s v="Hindi"/>
    <s v="Machine Learning"/>
    <s v="2"/>
    <n v="30"/>
    <n v="1.9"/>
    <s v="TRUE"/>
    <n v="0.81"/>
  </r>
  <r>
    <s v="FL250290"/>
    <s v="James Carr"/>
    <x v="1"/>
    <s v="44"/>
    <x v="7"/>
    <s v="English"/>
    <s v="Blockchain Development"/>
    <s v="13"/>
    <n v="100"/>
    <n v="3.1"/>
    <s v="TRUE"/>
    <n v="0.95"/>
  </r>
  <r>
    <s v="FL250291"/>
    <s v="Joseph Mendoza"/>
    <x v="1"/>
    <s v="46"/>
    <x v="4"/>
    <s v="Indonesian"/>
    <s v="UI/UX Design"/>
    <s v="0"/>
    <n v="50"/>
    <n v="1.8"/>
    <s v="FALSE"/>
    <n v="0.88"/>
  </r>
  <r>
    <s v="FL250292"/>
    <s v="Cathy Baldwin"/>
    <x v="0"/>
    <s v="27"/>
    <x v="9"/>
    <s v="Japanese"/>
    <s v="Web Development"/>
    <s v="7"/>
    <n v="30"/>
    <n v="2.4"/>
    <s v="TRUE"/>
    <n v="0.66"/>
  </r>
  <r>
    <s v="FL250293"/>
    <s v="Christine Hart"/>
    <x v="0"/>
    <s v="49"/>
    <x v="10"/>
    <s v="Hindi"/>
    <s v="Blockchain Development"/>
    <s v="13"/>
    <n v="100"/>
    <n v="4.2"/>
    <s v="TRUE"/>
    <n v="0.84"/>
  </r>
  <r>
    <s v="FL250294"/>
    <s v="Mike Stanley"/>
    <x v="1"/>
    <s v="53"/>
    <x v="19"/>
    <s v="Spanish"/>
    <s v="Web Development"/>
    <s v="21"/>
    <n v="50"/>
    <n v="1.4"/>
    <s v="FALSE"/>
    <n v="0.75"/>
  </r>
  <r>
    <s v="FL250295"/>
    <s v="Jeffrey Edwards"/>
    <x v="1"/>
    <s v="56"/>
    <x v="1"/>
    <s v="English"/>
    <s v="Web Development"/>
    <s v="19"/>
    <n v="40"/>
    <n v="1.2"/>
    <s v="TRUE"/>
    <n v="0.82"/>
  </r>
  <r>
    <s v="FL250296"/>
    <s v="Amy Lee"/>
    <x v="0"/>
    <s v="56"/>
    <x v="7"/>
    <s v="English"/>
    <s v="DevOps"/>
    <s v="34"/>
    <n v="50"/>
    <n v="2.1"/>
    <s v="TRUE"/>
    <n v="0.84"/>
  </r>
  <r>
    <s v="FL250297"/>
    <s v="Mark Thompson"/>
    <x v="1"/>
    <s v="38"/>
    <x v="17"/>
    <s v="Afrikaans"/>
    <s v="Data Analysis"/>
    <s v="3"/>
    <n v="100"/>
    <n v="1.4"/>
    <s v="TRUE"/>
    <n v="0.73"/>
  </r>
  <r>
    <s v="FL250298"/>
    <s v="Alex Wilson"/>
    <x v="1"/>
    <s v="20"/>
    <x v="12"/>
    <s v="Korean"/>
    <s v="Mobile Apps"/>
    <s v="0"/>
    <n v="30"/>
    <n v="3.8"/>
    <s v="TRUE"/>
    <n v="0.93"/>
  </r>
  <r>
    <s v="FL250299"/>
    <s v="Nancy Mendez"/>
    <x v="0"/>
    <s v="38"/>
    <x v="14"/>
    <s v="English"/>
    <s v="Machine Learning"/>
    <s v="20"/>
    <n v="50"/>
    <n v="0"/>
    <s v="TRUE"/>
    <n v="0.64"/>
  </r>
  <r>
    <s v="FL250300"/>
    <s v="Beth Crane"/>
    <x v="0"/>
    <s v="Unknown"/>
    <x v="3"/>
    <s v="Dutch"/>
    <s v="Mobile Apps"/>
    <s v="6"/>
    <n v="40"/>
    <n v="3.5"/>
    <s v="FALSE"/>
    <n v="0.76"/>
  </r>
  <r>
    <s v="FL250301"/>
    <s v="Miguel Rogers"/>
    <x v="1"/>
    <s v="46"/>
    <x v="10"/>
    <s v="Hindi"/>
    <s v="Machine Learning"/>
    <s v="13"/>
    <n v="100"/>
    <n v="0"/>
    <s v="TRUE"/>
    <n v="0.97"/>
  </r>
  <r>
    <s v="FL250302"/>
    <s v="Thomas Robles"/>
    <x v="1"/>
    <s v="36"/>
    <x v="17"/>
    <s v="Afrikaans"/>
    <s v="Data Analysis"/>
    <s v="9"/>
    <n v="75"/>
    <n v="2.2000000000000002"/>
    <s v="FALSE"/>
    <n v="0.95"/>
  </r>
  <r>
    <s v="FL250303"/>
    <s v="Joel Brown Iii"/>
    <x v="1"/>
    <s v="33"/>
    <x v="13"/>
    <s v="Russian"/>
    <s v="Web Development"/>
    <s v="2"/>
    <n v="75"/>
    <n v="2.5"/>
    <s v="TRUE"/>
    <n v="0.65"/>
  </r>
  <r>
    <s v="FL250304"/>
    <s v="Olivia Schultz"/>
    <x v="0"/>
    <s v="37"/>
    <x v="14"/>
    <s v="English"/>
    <s v="Graphic Design"/>
    <s v="0"/>
    <n v="50"/>
    <n v="4.7"/>
    <s v="FALSE"/>
    <n v="0.77"/>
  </r>
  <r>
    <s v="FL250305"/>
    <s v="Clayton Pena"/>
    <x v="1"/>
    <s v="20"/>
    <x v="16"/>
    <s v="Arabic"/>
    <s v="Data Analysis"/>
    <s v="0"/>
    <n v="20"/>
    <n v="3.9"/>
    <s v="TRUE"/>
    <n v="0.75"/>
  </r>
  <r>
    <s v="FL250306"/>
    <s v="Ashley Salazar"/>
    <x v="0"/>
    <s v="48"/>
    <x v="18"/>
    <s v="Mandarin"/>
    <s v="Data Analysis"/>
    <s v="2"/>
    <n v="75"/>
    <n v="1.6"/>
    <s v="FALSE"/>
    <n v="0.67"/>
  </r>
  <r>
    <s v="FL250307"/>
    <s v="Robert Lucas"/>
    <x v="1"/>
    <s v="27"/>
    <x v="15"/>
    <s v="French"/>
    <s v="Cybersecurity"/>
    <s v="2"/>
    <n v="50"/>
    <n v="2.6"/>
    <s v="FALSE"/>
    <n v="0.84"/>
  </r>
  <r>
    <s v="FL250308"/>
    <s v="David Cox"/>
    <x v="1"/>
    <s v="34"/>
    <x v="12"/>
    <s v="Korean"/>
    <s v="Mobile Apps"/>
    <s v="1"/>
    <n v="30"/>
    <n v="3.6"/>
    <s v="TRUE"/>
    <n v="0.87"/>
  </r>
  <r>
    <s v="FL250309"/>
    <s v="Christian Campbell"/>
    <x v="1"/>
    <s v="55"/>
    <x v="11"/>
    <s v="Portuguese"/>
    <s v="Machine Learning"/>
    <s v="14"/>
    <n v="30"/>
    <n v="1.2"/>
    <s v="TRUE"/>
    <n v="0.91"/>
  </r>
  <r>
    <s v="FL250310"/>
    <s v="Angela Ward"/>
    <x v="0"/>
    <s v="44"/>
    <x v="17"/>
    <s v="Afrikaans"/>
    <s v="Machine Learning"/>
    <s v="14"/>
    <n v="75"/>
    <n v="3"/>
    <s v="FALSE"/>
    <n v="0.78"/>
  </r>
  <r>
    <s v="FL250311"/>
    <s v="Lucas Chen"/>
    <x v="1"/>
    <s v="31"/>
    <x v="3"/>
    <s v="Dutch"/>
    <s v="UI/UX Design"/>
    <s v="2"/>
    <n v="50"/>
    <n v="3.9"/>
    <s v="FALSE"/>
    <n v="0.75"/>
  </r>
  <r>
    <s v="FL250312"/>
    <s v="Ruben Nelson"/>
    <x v="1"/>
    <s v="34"/>
    <x v="1"/>
    <s v="English"/>
    <s v="DevOps"/>
    <s v="1"/>
    <n v="40"/>
    <n v="1.7"/>
    <s v="TRUE"/>
    <n v="0.74"/>
  </r>
  <r>
    <s v="FL250313"/>
    <s v="Brenda Briggs"/>
    <x v="0"/>
    <s v="47"/>
    <x v="11"/>
    <s v="Portuguese"/>
    <s v="DevOps"/>
    <s v="13"/>
    <n v="20"/>
    <n v="4.5"/>
    <s v="TRUE"/>
    <n v="0.91"/>
  </r>
  <r>
    <s v="FL250314"/>
    <s v="Ronald Smith"/>
    <x v="1"/>
    <s v="50"/>
    <x v="5"/>
    <s v="English"/>
    <s v="Graphic Design"/>
    <s v="23"/>
    <n v="40"/>
    <n v="3.6"/>
    <s v="TRUE"/>
    <n v="0.71"/>
  </r>
  <r>
    <s v="FL250315"/>
    <s v="Dakota Giles"/>
    <x v="1"/>
    <s v="39"/>
    <x v="2"/>
    <s v="German"/>
    <s v="Cybersecurity"/>
    <s v="Unknown"/>
    <n v="75"/>
    <n v="3.6"/>
    <s v="TRUE"/>
    <n v="0.87"/>
  </r>
  <r>
    <s v="FL250316"/>
    <s v="Angela Castillo"/>
    <x v="0"/>
    <s v="26"/>
    <x v="8"/>
    <s v="Spanish"/>
    <s v="Blockchain Development"/>
    <s v="3"/>
    <n v="100"/>
    <n v="2.8"/>
    <s v="TRUE"/>
    <n v="0.61"/>
  </r>
  <r>
    <s v="FL250317"/>
    <s v="Allen Lee"/>
    <x v="1"/>
    <s v="Unknown"/>
    <x v="3"/>
    <s v="Dutch"/>
    <s v="DevOps"/>
    <s v="0"/>
    <n v="100"/>
    <n v="5"/>
    <s v="FALSE"/>
    <n v="0.75"/>
  </r>
  <r>
    <s v="FL250318"/>
    <s v="Michael Rogers"/>
    <x v="1"/>
    <s v="32"/>
    <x v="2"/>
    <s v="German"/>
    <s v="Graphic Design"/>
    <s v="0"/>
    <n v="100"/>
    <n v="1.4"/>
    <s v="TRUE"/>
    <n v="0.81"/>
  </r>
  <r>
    <s v="FL250319"/>
    <s v="Danielle Costa"/>
    <x v="0"/>
    <s v="55"/>
    <x v="13"/>
    <s v="Russian"/>
    <s v="Data Analysis"/>
    <s v="17"/>
    <n v="30"/>
    <n v="2.6"/>
    <s v="TRUE"/>
    <n v="0.75"/>
  </r>
  <r>
    <s v="FL250320"/>
    <s v="William Nunez"/>
    <x v="1"/>
    <s v="32"/>
    <x v="8"/>
    <s v="Spanish"/>
    <s v="Machine Learning"/>
    <s v="9"/>
    <n v="40"/>
    <n v="4.5999999999999996"/>
    <s v="TRUE"/>
    <n v="0.84"/>
  </r>
  <r>
    <s v="FL250321"/>
    <s v="Christopher Riggs"/>
    <x v="1"/>
    <s v="30"/>
    <x v="12"/>
    <s v="Korean"/>
    <s v="Blockchain Development"/>
    <s v="4"/>
    <n v="20"/>
    <n v="3.3"/>
    <s v="FALSE"/>
    <n v="0.75"/>
  </r>
  <r>
    <s v="FL250322"/>
    <s v="Kathryn Myers"/>
    <x v="0"/>
    <s v="37"/>
    <x v="14"/>
    <s v="English"/>
    <s v="Cybersecurity"/>
    <s v="0"/>
    <n v="40"/>
    <n v="3.7"/>
    <s v="TRUE"/>
    <n v="0.75"/>
  </r>
  <r>
    <s v="FL250323"/>
    <s v="Robert Walls"/>
    <x v="1"/>
    <s v="52"/>
    <x v="11"/>
    <s v="Portuguese"/>
    <s v="Graphic Design"/>
    <s v="33"/>
    <n v="50"/>
    <n v="0"/>
    <s v="TRUE"/>
    <n v="0.6"/>
  </r>
  <r>
    <s v="FL250324"/>
    <s v="Justin Johnson"/>
    <x v="1"/>
    <s v="48"/>
    <x v="10"/>
    <s v="Hindi"/>
    <s v="Cybersecurity"/>
    <s v="18"/>
    <n v="50"/>
    <n v="0"/>
    <s v="TRUE"/>
    <n v="0.64"/>
  </r>
  <r>
    <s v="FL250325"/>
    <s v="Paula Stevens"/>
    <x v="0"/>
    <s v="28"/>
    <x v="9"/>
    <s v="Japanese"/>
    <s v="Mobile Apps"/>
    <s v="9"/>
    <n v="40"/>
    <n v="2.6"/>
    <s v="TRUE"/>
    <n v="0.64"/>
  </r>
  <r>
    <s v="FL250326"/>
    <s v="Jennifer Allen"/>
    <x v="0"/>
    <s v="58"/>
    <x v="20"/>
    <s v="Spanish"/>
    <s v="Data Analysis"/>
    <s v="40"/>
    <n v="75"/>
    <n v="3.4"/>
    <s v="TRUE"/>
    <n v="1"/>
  </r>
  <r>
    <s v="FL250327"/>
    <s v="Mark Hudson"/>
    <x v="1"/>
    <s v="30"/>
    <x v="8"/>
    <s v="Spanish"/>
    <s v="Web Development"/>
    <s v="1"/>
    <n v="40"/>
    <n v="1.6"/>
    <s v="TRUE"/>
    <n v="1"/>
  </r>
  <r>
    <s v="FL250328"/>
    <s v="Jessica Smith"/>
    <x v="0"/>
    <s v="47"/>
    <x v="18"/>
    <s v="Mandarin"/>
    <s v="Mobile Apps"/>
    <s v="5"/>
    <n v="20"/>
    <n v="1.9"/>
    <s v="FALSE"/>
    <n v="0.75"/>
  </r>
  <r>
    <s v="FL250329"/>
    <s v="Mike Dean"/>
    <x v="1"/>
    <s v="44"/>
    <x v="8"/>
    <s v="Spanish"/>
    <s v="AI"/>
    <s v="4"/>
    <n v="50"/>
    <n v="0"/>
    <s v="TRUE"/>
    <n v="0.83"/>
  </r>
  <r>
    <s v="FL250330"/>
    <s v="Jose Wilson"/>
    <x v="1"/>
    <s v="56"/>
    <x v="0"/>
    <s v="Italian"/>
    <s v="Machine Learning"/>
    <s v="13"/>
    <n v="40"/>
    <n v="2.6"/>
    <s v="TRUE"/>
    <n v="0.87"/>
  </r>
  <r>
    <s v="FL250331"/>
    <s v="Tammy Hill"/>
    <x v="0"/>
    <s v="53"/>
    <x v="5"/>
    <s v="English"/>
    <s v="Mobile Apps"/>
    <s v="33"/>
    <n v="100"/>
    <n v="2.6"/>
    <s v="FALSE"/>
    <n v="0.75"/>
  </r>
  <r>
    <s v="FL250332"/>
    <s v="Nathaniel Flores"/>
    <x v="1"/>
    <s v="59"/>
    <x v="7"/>
    <s v="English"/>
    <s v="Mobile Apps"/>
    <s v="22"/>
    <n v="40"/>
    <n v="1.1000000000000001"/>
    <s v="TRUE"/>
    <n v="0.61"/>
  </r>
  <r>
    <s v="FL250333"/>
    <s v="Edwin Carter"/>
    <x v="1"/>
    <s v="60"/>
    <x v="5"/>
    <s v="English"/>
    <s v="DevOps"/>
    <s v="34"/>
    <n v="50"/>
    <n v="2.5"/>
    <s v="TRUE"/>
    <n v="0.93"/>
  </r>
  <r>
    <s v="FL250334"/>
    <s v="Patricia Miller"/>
    <x v="0"/>
    <s v="33"/>
    <x v="2"/>
    <s v="German"/>
    <s v="Mobile Apps"/>
    <s v="8"/>
    <n v="30"/>
    <n v="3.6"/>
    <s v="TRUE"/>
    <n v="0.75"/>
  </r>
  <r>
    <s v="FL250335"/>
    <s v="Rebecca Schneider"/>
    <x v="0"/>
    <s v="21"/>
    <x v="8"/>
    <s v="Spanish"/>
    <s v="Web Development"/>
    <s v="1"/>
    <n v="20"/>
    <n v="2.6"/>
    <s v="TRUE"/>
    <n v="0.99"/>
  </r>
  <r>
    <s v="FL250336"/>
    <s v="John Greene"/>
    <x v="1"/>
    <s v="54"/>
    <x v="7"/>
    <s v="English"/>
    <s v="UI/UX Design"/>
    <s v="20"/>
    <n v="50"/>
    <n v="4.4000000000000004"/>
    <s v="FALSE"/>
    <n v="0.73"/>
  </r>
  <r>
    <s v="FL250337"/>
    <s v="Brittany Mcdowell"/>
    <x v="0"/>
    <s v="33"/>
    <x v="5"/>
    <s v="English"/>
    <s v="Graphic Design"/>
    <s v="11"/>
    <n v="75"/>
    <n v="2.1"/>
    <s v="FALSE"/>
    <n v="0.96"/>
  </r>
  <r>
    <s v="FL250338"/>
    <s v="Lori Miller"/>
    <x v="0"/>
    <s v="57"/>
    <x v="6"/>
    <s v="Turkish"/>
    <s v="Data Analysis"/>
    <s v="2"/>
    <n v="40"/>
    <n v="0"/>
    <s v="TRUE"/>
    <n v="0.6"/>
  </r>
  <r>
    <s v="FL250339"/>
    <s v="Joseph Robinson"/>
    <x v="1"/>
    <s v="36"/>
    <x v="12"/>
    <s v="Korean"/>
    <s v="Graphic Design"/>
    <s v="6"/>
    <n v="20"/>
    <n v="1"/>
    <s v="TRUE"/>
    <n v="0.64"/>
  </r>
  <r>
    <s v="FL250340"/>
    <s v="Aaron Pruitt"/>
    <x v="1"/>
    <s v="50"/>
    <x v="2"/>
    <s v="German"/>
    <s v="Blockchain Development"/>
    <s v="20"/>
    <n v="30"/>
    <n v="0"/>
    <s v="FALSE"/>
    <n v="0.75"/>
  </r>
  <r>
    <s v="FL250341"/>
    <s v="Victoria Miller"/>
    <x v="0"/>
    <s v="37"/>
    <x v="14"/>
    <s v="English"/>
    <s v="DevOps"/>
    <s v="Unknown"/>
    <n v="20"/>
    <n v="4.9000000000000004"/>
    <s v="FALSE"/>
    <n v="0.75"/>
  </r>
  <r>
    <s v="FL250342"/>
    <s v="Clarence Vega"/>
    <x v="1"/>
    <s v="53"/>
    <x v="0"/>
    <s v="Italian"/>
    <s v="AI"/>
    <s v="4"/>
    <n v="30"/>
    <n v="4.7"/>
    <s v="FALSE"/>
    <n v="0.99"/>
  </r>
  <r>
    <s v="FL250343"/>
    <s v="Deborah Day"/>
    <x v="0"/>
    <s v="22"/>
    <x v="0"/>
    <s v="Italian"/>
    <s v="Blockchain Development"/>
    <s v="3"/>
    <n v="40"/>
    <n v="2.1"/>
    <s v="FALSE"/>
    <n v="0.75"/>
  </r>
  <r>
    <s v="FL250344"/>
    <s v="Nicole Rocha"/>
    <x v="0"/>
    <s v="55"/>
    <x v="3"/>
    <s v="Dutch"/>
    <s v="Mobile Apps"/>
    <s v="33"/>
    <n v="40"/>
    <n v="1.5"/>
    <s v="TRUE"/>
    <n v="0.71"/>
  </r>
  <r>
    <s v="FL250345"/>
    <s v="Elijah Green"/>
    <x v="1"/>
    <s v="22"/>
    <x v="1"/>
    <s v="English"/>
    <s v="Cybersecurity"/>
    <s v="1"/>
    <n v="50"/>
    <n v="2.6"/>
    <s v="FALSE"/>
    <n v="0.72"/>
  </r>
  <r>
    <s v="FL250346"/>
    <s v="Emily Johnson"/>
    <x v="0"/>
    <s v="45"/>
    <x v="6"/>
    <s v="Turkish"/>
    <s v="Web Development"/>
    <s v="23"/>
    <n v="50"/>
    <n v="0"/>
    <s v="FALSE"/>
    <n v="0.66"/>
  </r>
  <r>
    <s v="FL250347"/>
    <s v="Richard Velasquez Jr."/>
    <x v="1"/>
    <s v="36"/>
    <x v="15"/>
    <s v="French"/>
    <s v="Data Analysis"/>
    <s v="13"/>
    <n v="40"/>
    <n v="2.6"/>
    <s v="FALSE"/>
    <n v="0.78"/>
  </r>
  <r>
    <s v="FL250348"/>
    <s v="Kurt Wilson"/>
    <x v="1"/>
    <s v="23"/>
    <x v="1"/>
    <s v="English"/>
    <s v="DevOps"/>
    <s v="1"/>
    <n v="20"/>
    <n v="4"/>
    <s v="TRUE"/>
    <n v="1"/>
  </r>
  <r>
    <s v="FL250349"/>
    <s v="Jeremiah Rodriguez"/>
    <x v="1"/>
    <s v="55"/>
    <x v="0"/>
    <s v="Italian"/>
    <s v="DevOps"/>
    <s v="15"/>
    <n v="40"/>
    <n v="4.5"/>
    <s v="TRUE"/>
    <n v="0.75"/>
  </r>
  <r>
    <s v="FL250350"/>
    <s v="Lauren Lang"/>
    <x v="0"/>
    <s v="50"/>
    <x v="11"/>
    <s v="Portuguese"/>
    <s v="Mobile Apps"/>
    <s v="18"/>
    <n v="75"/>
    <n v="3.8"/>
    <s v="FALSE"/>
    <n v="0.67"/>
  </r>
  <r>
    <s v="FL250351"/>
    <s v="Matthew Phillips"/>
    <x v="1"/>
    <s v="48"/>
    <x v="5"/>
    <s v="English"/>
    <s v="Machine Learning"/>
    <s v="21"/>
    <n v="50"/>
    <n v="4"/>
    <s v="FALSE"/>
    <n v="0.78"/>
  </r>
  <r>
    <s v="FL250352"/>
    <s v="Michael Andersen"/>
    <x v="1"/>
    <s v="23"/>
    <x v="3"/>
    <s v="Dutch"/>
    <s v="DevOps"/>
    <s v="1"/>
    <n v="40"/>
    <n v="4.9000000000000004"/>
    <s v="TRUE"/>
    <n v="0.78"/>
  </r>
  <r>
    <s v="FL250353"/>
    <s v="Amanda Mayo"/>
    <x v="0"/>
    <s v="49"/>
    <x v="14"/>
    <s v="English"/>
    <s v="Web Development"/>
    <s v="25"/>
    <n v="30"/>
    <n v="3.4"/>
    <s v="FALSE"/>
    <n v="0.75"/>
  </r>
  <r>
    <s v="FL250354"/>
    <s v="Jessica Vance"/>
    <x v="0"/>
    <s v="47"/>
    <x v="0"/>
    <s v="Italian"/>
    <s v="Cybersecurity"/>
    <s v="12"/>
    <n v="50"/>
    <n v="2.1"/>
    <s v="TRUE"/>
    <n v="0.67"/>
  </r>
  <r>
    <s v="FL250355"/>
    <s v="Alexa Gallegos"/>
    <x v="0"/>
    <s v="56"/>
    <x v="9"/>
    <s v="Japanese"/>
    <s v="Graphic Design"/>
    <s v="32"/>
    <n v="40"/>
    <n v="0"/>
    <s v="TRUE"/>
    <n v="0.86"/>
  </r>
  <r>
    <s v="FL250356"/>
    <s v="Charles Pratt"/>
    <x v="1"/>
    <s v="58"/>
    <x v="8"/>
    <s v="Spanish"/>
    <s v="UI/UX Design"/>
    <s v="Unknown"/>
    <n v="100"/>
    <n v="4.5"/>
    <s v="FALSE"/>
    <n v="0.77"/>
  </r>
  <r>
    <s v="FL250357"/>
    <s v="Brian Baker"/>
    <x v="1"/>
    <s v="32"/>
    <x v="12"/>
    <s v="Korean"/>
    <s v="UI/UX Design"/>
    <s v="10"/>
    <n v="30"/>
    <n v="3.8"/>
    <s v="FALSE"/>
    <n v="0.61"/>
  </r>
  <r>
    <s v="FL250358"/>
    <s v="Christina Norman"/>
    <x v="0"/>
    <s v="52"/>
    <x v="10"/>
    <s v="Hindi"/>
    <s v="UI/UX Design"/>
    <s v="0"/>
    <n v="50"/>
    <n v="4.3"/>
    <s v="FALSE"/>
    <n v="0.9"/>
  </r>
  <r>
    <s v="FL250359"/>
    <s v="Laura Kelly"/>
    <x v="0"/>
    <s v="22"/>
    <x v="18"/>
    <s v="Mandarin"/>
    <s v="Data Analysis"/>
    <s v="1"/>
    <n v="50"/>
    <n v="0"/>
    <s v="TRUE"/>
    <n v="0.98"/>
  </r>
  <r>
    <s v="FL250360"/>
    <s v="John Webb"/>
    <x v="1"/>
    <s v="20"/>
    <x v="10"/>
    <s v="Hindi"/>
    <s v="Cybersecurity"/>
    <s v="2"/>
    <n v="30"/>
    <n v="2.6"/>
    <s v="TRUE"/>
    <n v="0.99"/>
  </r>
  <r>
    <s v="FL250361"/>
    <s v="Christopher Burton"/>
    <x v="1"/>
    <s v="56"/>
    <x v="3"/>
    <s v="Dutch"/>
    <s v="Data Analysis"/>
    <s v="9"/>
    <n v="40"/>
    <n v="2.6"/>
    <s v="FALSE"/>
    <n v="0.61"/>
  </r>
  <r>
    <s v="FL250362"/>
    <s v="Bradley Aguilar"/>
    <x v="1"/>
    <s v="41"/>
    <x v="9"/>
    <s v="Japanese"/>
    <s v="Data Analysis"/>
    <s v="22"/>
    <n v="50"/>
    <n v="1.6"/>
    <s v="TRUE"/>
    <n v="0.61"/>
  </r>
  <r>
    <s v="FL250363"/>
    <s v="Arthur Vasquez"/>
    <x v="1"/>
    <s v="25"/>
    <x v="8"/>
    <s v="Spanish"/>
    <s v="Blockchain Development"/>
    <s v="5"/>
    <n v="30"/>
    <n v="2.2999999999999998"/>
    <s v="FALSE"/>
    <n v="0.91"/>
  </r>
  <r>
    <s v="FL250364"/>
    <s v="Angela Castro"/>
    <x v="0"/>
    <s v="44"/>
    <x v="14"/>
    <s v="English"/>
    <s v="Cybersecurity"/>
    <s v="6"/>
    <n v="75"/>
    <n v="4.5999999999999996"/>
    <s v="TRUE"/>
    <n v="0.72"/>
  </r>
  <r>
    <s v="FL250365"/>
    <s v="Summer Yoder"/>
    <x v="0"/>
    <s v="46"/>
    <x v="1"/>
    <s v="English"/>
    <s v="Web Development"/>
    <s v="26"/>
    <n v="100"/>
    <n v="2.1"/>
    <s v="TRUE"/>
    <n v="0.75"/>
  </r>
  <r>
    <s v="FL250366"/>
    <s v="Jackie Allen"/>
    <x v="0"/>
    <s v="40"/>
    <x v="12"/>
    <s v="Korean"/>
    <s v="Blockchain Development"/>
    <s v="Unknown"/>
    <n v="40"/>
    <n v="1.5"/>
    <s v="TRUE"/>
    <n v="0.96"/>
  </r>
  <r>
    <s v="FL250367"/>
    <s v="Brandon Williams"/>
    <x v="1"/>
    <s v="Unknown"/>
    <x v="18"/>
    <s v="Mandarin"/>
    <s v="AI"/>
    <s v="9"/>
    <n v="40"/>
    <n v="1.7"/>
    <s v="TRUE"/>
    <n v="0.72"/>
  </r>
  <r>
    <s v="FL250368"/>
    <s v="Manuel Torres"/>
    <x v="1"/>
    <s v="31"/>
    <x v="9"/>
    <s v="Japanese"/>
    <s v="Data Analysis"/>
    <s v="11"/>
    <n v="50"/>
    <n v="3.3"/>
    <s v="FALSE"/>
    <n v="0.75"/>
  </r>
  <r>
    <s v="FL250369"/>
    <s v="Scott Keller"/>
    <x v="1"/>
    <s v="33"/>
    <x v="12"/>
    <s v="Korean"/>
    <s v="Machine Learning"/>
    <s v="Unknown"/>
    <n v="40"/>
    <n v="4.3"/>
    <s v="TRUE"/>
    <n v="0.63"/>
  </r>
  <r>
    <s v="FL250370"/>
    <s v="Deborah Brown"/>
    <x v="0"/>
    <s v="31"/>
    <x v="11"/>
    <s v="Portuguese"/>
    <s v="Machine Learning"/>
    <s v="3"/>
    <n v="20"/>
    <n v="2.6"/>
    <s v="FALSE"/>
    <n v="0.75"/>
  </r>
  <r>
    <s v="FL250371"/>
    <s v="Jennifer Lara"/>
    <x v="0"/>
    <s v="49"/>
    <x v="0"/>
    <s v="Italian"/>
    <s v="Data Analysis"/>
    <s v="15"/>
    <n v="75"/>
    <n v="2.6"/>
    <s v="FALSE"/>
    <n v="0.83"/>
  </r>
  <r>
    <s v="FL250372"/>
    <s v="Jason Scott"/>
    <x v="1"/>
    <s v="35"/>
    <x v="19"/>
    <s v="Spanish"/>
    <s v="Graphic Design"/>
    <s v="12"/>
    <n v="20"/>
    <n v="4.0999999999999996"/>
    <s v="TRUE"/>
    <n v="0.94"/>
  </r>
  <r>
    <s v="FL250373"/>
    <s v="Gregory Garrison"/>
    <x v="1"/>
    <s v="45"/>
    <x v="10"/>
    <s v="Hindi"/>
    <s v="Data Analysis"/>
    <s v="19"/>
    <n v="40"/>
    <n v="2.2000000000000002"/>
    <s v="TRUE"/>
    <n v="0.78"/>
  </r>
  <r>
    <s v="FL250374"/>
    <s v="Chelsea Anderson"/>
    <x v="0"/>
    <s v="39"/>
    <x v="3"/>
    <s v="Dutch"/>
    <s v="Data Analysis"/>
    <s v="13"/>
    <n v="30"/>
    <n v="1.1000000000000001"/>
    <s v="TRUE"/>
    <n v="0.75"/>
  </r>
  <r>
    <s v="FL250375"/>
    <s v="Gerald Johnson"/>
    <x v="1"/>
    <s v="Unknown"/>
    <x v="8"/>
    <s v="Spanish"/>
    <s v="Blockchain Development"/>
    <s v="Unknown"/>
    <n v="50"/>
    <n v="2.1"/>
    <s v="TRUE"/>
    <n v="0.82"/>
  </r>
  <r>
    <s v="FL250376"/>
    <s v="Kevin Ellis"/>
    <x v="1"/>
    <s v="24"/>
    <x v="2"/>
    <s v="German"/>
    <s v="Cybersecurity"/>
    <s v="3"/>
    <n v="30"/>
    <n v="2.2999999999999998"/>
    <s v="TRUE"/>
    <n v="0.66"/>
  </r>
  <r>
    <s v="FL250377"/>
    <s v="Mitchell Keller"/>
    <x v="1"/>
    <s v="50"/>
    <x v="1"/>
    <s v="English"/>
    <s v="Graphic Design"/>
    <s v="26"/>
    <n v="50"/>
    <n v="3.6"/>
    <s v="TRUE"/>
    <n v="0.82"/>
  </r>
  <r>
    <s v="FL250378"/>
    <s v="Mary Brown"/>
    <x v="0"/>
    <s v="23"/>
    <x v="2"/>
    <s v="German"/>
    <s v="Machine Learning"/>
    <s v="4"/>
    <n v="20"/>
    <n v="4.7"/>
    <s v="TRUE"/>
    <n v="0.84"/>
  </r>
  <r>
    <s v="FL250379"/>
    <s v="Ronald Walls"/>
    <x v="1"/>
    <s v="27"/>
    <x v="14"/>
    <s v="English"/>
    <s v="Cybersecurity"/>
    <s v="8"/>
    <n v="20"/>
    <n v="4.8"/>
    <s v="FALSE"/>
    <n v="0.81"/>
  </r>
  <r>
    <s v="FL250380"/>
    <s v="Anthony Avila"/>
    <x v="1"/>
    <s v="58"/>
    <x v="17"/>
    <s v="Afrikaans"/>
    <s v="AI"/>
    <s v="10"/>
    <n v="75"/>
    <n v="4.2"/>
    <s v="FALSE"/>
    <n v="0.71"/>
  </r>
  <r>
    <s v="FL250381"/>
    <s v="Douglas Goodwin"/>
    <x v="1"/>
    <s v="37"/>
    <x v="0"/>
    <s v="Italian"/>
    <s v="Machine Learning"/>
    <s v="5"/>
    <n v="50"/>
    <n v="4.8"/>
    <s v="TRUE"/>
    <n v="0.61"/>
  </r>
  <r>
    <s v="FL250382"/>
    <s v="James Mills"/>
    <x v="1"/>
    <s v="39"/>
    <x v="20"/>
    <s v="Spanish"/>
    <s v="Blockchain Development"/>
    <s v="18"/>
    <n v="75"/>
    <n v="4"/>
    <s v="TRUE"/>
    <n v="0.66"/>
  </r>
  <r>
    <s v="FL250383"/>
    <s v="Nicole Marks"/>
    <x v="0"/>
    <s v="46"/>
    <x v="16"/>
    <s v="Arabic"/>
    <s v="Data Analysis"/>
    <s v="10"/>
    <n v="20"/>
    <n v="2.5"/>
    <s v="TRUE"/>
    <n v="0.97"/>
  </r>
  <r>
    <s v="FL250384"/>
    <s v="Phyllis Dawson"/>
    <x v="0"/>
    <s v="Unknown"/>
    <x v="7"/>
    <s v="English"/>
    <s v="UI/UX Design"/>
    <s v="0"/>
    <n v="20"/>
    <n v="4.8"/>
    <s v="FALSE"/>
    <n v="0.74"/>
  </r>
  <r>
    <s v="FL250385"/>
    <s v="Renee Arnold"/>
    <x v="0"/>
    <s v="39"/>
    <x v="19"/>
    <s v="Spanish"/>
    <s v="Blockchain Development"/>
    <s v="21"/>
    <n v="30"/>
    <n v="4.7"/>
    <s v="TRUE"/>
    <n v="0.61"/>
  </r>
  <r>
    <s v="FL250386"/>
    <s v="Eric Robinson"/>
    <x v="1"/>
    <s v="59"/>
    <x v="16"/>
    <s v="Arabic"/>
    <s v="Blockchain Development"/>
    <s v="25"/>
    <n v="20"/>
    <n v="4"/>
    <s v="FALSE"/>
    <n v="0.9"/>
  </r>
  <r>
    <s v="FL250387"/>
    <s v="Paul Brown"/>
    <x v="1"/>
    <s v="21"/>
    <x v="3"/>
    <s v="Dutch"/>
    <s v="DevOps"/>
    <s v="0"/>
    <n v="40"/>
    <n v="4.0999999999999996"/>
    <s v="TRUE"/>
    <n v="0.97"/>
  </r>
  <r>
    <s v="FL250388"/>
    <s v="Sarah Proctor"/>
    <x v="0"/>
    <s v="23"/>
    <x v="14"/>
    <s v="English"/>
    <s v="DevOps"/>
    <s v="5"/>
    <n v="100"/>
    <n v="3.2"/>
    <s v="TRUE"/>
    <n v="0.75"/>
  </r>
  <r>
    <s v="FL250389"/>
    <s v="Matthew Hicks"/>
    <x v="1"/>
    <s v="27"/>
    <x v="16"/>
    <s v="Arabic"/>
    <s v="Web Development"/>
    <s v="1"/>
    <n v="20"/>
    <n v="4.3"/>
    <s v="FALSE"/>
    <n v="0.76"/>
  </r>
  <r>
    <s v="FL250390"/>
    <s v="Christopher Black"/>
    <x v="1"/>
    <s v="27"/>
    <x v="18"/>
    <s v="Mandarin"/>
    <s v="Cybersecurity"/>
    <s v="4"/>
    <n v="40"/>
    <n v="4.4000000000000004"/>
    <s v="FALSE"/>
    <n v="0.92"/>
  </r>
  <r>
    <s v="FL250391"/>
    <s v="Joanne Reyes"/>
    <x v="0"/>
    <s v="48"/>
    <x v="17"/>
    <s v="Afrikaans"/>
    <s v="Data Analysis"/>
    <s v="21"/>
    <n v="40"/>
    <n v="2.2999999999999998"/>
    <s v="FALSE"/>
    <n v="0.75"/>
  </r>
  <r>
    <s v="FL250392"/>
    <s v="Isaac Gray"/>
    <x v="1"/>
    <s v="21"/>
    <x v="17"/>
    <s v="Afrikaans"/>
    <s v="AI"/>
    <s v="1"/>
    <n v="20"/>
    <n v="2.4"/>
    <s v="TRUE"/>
    <n v="0.66"/>
  </r>
  <r>
    <s v="FL250393"/>
    <s v="Joshua Roberts"/>
    <x v="1"/>
    <s v="37"/>
    <x v="0"/>
    <s v="Italian"/>
    <s v="DevOps"/>
    <s v="Unknown"/>
    <n v="50"/>
    <n v="4.5999999999999996"/>
    <s v="FALSE"/>
    <n v="0.83"/>
  </r>
  <r>
    <s v="FL250394"/>
    <s v="Elizabeth Estrada"/>
    <x v="0"/>
    <s v="31"/>
    <x v="2"/>
    <s v="German"/>
    <s v="UI/UX Design"/>
    <s v="10"/>
    <n v="50"/>
    <n v="0"/>
    <s v="FALSE"/>
    <n v="0.75"/>
  </r>
  <r>
    <s v="FL250395"/>
    <s v="Lori Malone"/>
    <x v="0"/>
    <s v="41"/>
    <x v="16"/>
    <s v="Arabic"/>
    <s v="Blockchain Development"/>
    <s v="21"/>
    <n v="50"/>
    <n v="0"/>
    <s v="TRUE"/>
    <n v="0.75"/>
  </r>
  <r>
    <s v="FL250396"/>
    <s v="Anthony Huynh Md"/>
    <x v="1"/>
    <s v="31"/>
    <x v="13"/>
    <s v="Russian"/>
    <s v="Cybersecurity"/>
    <s v="0"/>
    <n v="20"/>
    <n v="4.2"/>
    <s v="TRUE"/>
    <n v="0.82"/>
  </r>
  <r>
    <s v="FL250397"/>
    <s v="Mindy York"/>
    <x v="0"/>
    <s v="58"/>
    <x v="8"/>
    <s v="Spanish"/>
    <s v="Data Analysis"/>
    <s v="0"/>
    <n v="50"/>
    <n v="2.2999999999999998"/>
    <s v="FALSE"/>
    <n v="0.77"/>
  </r>
  <r>
    <s v="FL250398"/>
    <s v="Christine Cherry"/>
    <x v="0"/>
    <s v="45"/>
    <x v="3"/>
    <s v="Dutch"/>
    <s v="Data Analysis"/>
    <s v="17"/>
    <n v="50"/>
    <n v="4.7"/>
    <s v="TRUE"/>
    <n v="0.73"/>
  </r>
  <r>
    <s v="FL250399"/>
    <s v="Daniel Foster"/>
    <x v="1"/>
    <s v="51"/>
    <x v="12"/>
    <s v="Korean"/>
    <s v="Cybersecurity"/>
    <s v="5"/>
    <n v="50"/>
    <n v="3"/>
    <s v="TRUE"/>
    <n v="0.88"/>
  </r>
  <r>
    <s v="FL250400"/>
    <s v="David Valencia"/>
    <x v="1"/>
    <s v="54"/>
    <x v="5"/>
    <s v="English"/>
    <s v="UI/UX Design"/>
    <s v="3"/>
    <n v="30"/>
    <n v="2.4"/>
    <s v="FALSE"/>
    <n v="0.81"/>
  </r>
  <r>
    <s v="FL250401"/>
    <s v="Ethan Adams"/>
    <x v="1"/>
    <s v="22"/>
    <x v="13"/>
    <s v="Russian"/>
    <s v="Data Analysis"/>
    <s v="1"/>
    <n v="20"/>
    <n v="1.7"/>
    <s v="FALSE"/>
    <n v="0.78"/>
  </r>
  <r>
    <s v="FL250402"/>
    <s v="Brett Moore"/>
    <x v="1"/>
    <s v="36"/>
    <x v="6"/>
    <s v="Turkish"/>
    <s v="Cybersecurity"/>
    <s v="2"/>
    <n v="75"/>
    <n v="0"/>
    <s v="TRUE"/>
    <n v="0.92"/>
  </r>
  <r>
    <s v="FL250403"/>
    <s v="Phillip Griffin"/>
    <x v="1"/>
    <s v="50"/>
    <x v="2"/>
    <s v="German"/>
    <s v="DevOps"/>
    <s v="32"/>
    <n v="30"/>
    <n v="2.6"/>
    <s v="FALSE"/>
    <n v="0.64"/>
  </r>
  <r>
    <s v="FL250404"/>
    <s v="Stacie Wall"/>
    <x v="0"/>
    <s v="41"/>
    <x v="1"/>
    <s v="English"/>
    <s v="Blockchain Development"/>
    <s v="14"/>
    <n v="30"/>
    <n v="0"/>
    <s v="TRUE"/>
    <n v="0.78"/>
  </r>
  <r>
    <s v="FL250405"/>
    <s v="Jacob Austin"/>
    <x v="1"/>
    <s v="Unknown"/>
    <x v="17"/>
    <s v="Afrikaans"/>
    <s v="Web Development"/>
    <s v="10"/>
    <n v="20"/>
    <n v="1.8"/>
    <s v="TRUE"/>
    <n v="0.85"/>
  </r>
  <r>
    <s v="FL250406"/>
    <s v="Sabrina Davidson"/>
    <x v="0"/>
    <s v="51"/>
    <x v="3"/>
    <s v="Dutch"/>
    <s v="Cybersecurity"/>
    <s v="27"/>
    <n v="50"/>
    <n v="0"/>
    <s v="FALSE"/>
    <n v="0.78"/>
  </r>
  <r>
    <s v="FL250407"/>
    <s v="Dustin Douglas"/>
    <x v="1"/>
    <s v="21"/>
    <x v="15"/>
    <s v="French"/>
    <s v="AI"/>
    <s v="2"/>
    <n v="30"/>
    <n v="3.8"/>
    <s v="TRUE"/>
    <n v="0.98"/>
  </r>
  <r>
    <s v="FL250408"/>
    <s v="Steven Norris"/>
    <x v="1"/>
    <s v="51"/>
    <x v="9"/>
    <s v="Japanese"/>
    <s v="AI"/>
    <s v="33"/>
    <n v="40"/>
    <n v="0"/>
    <s v="TRUE"/>
    <n v="0.63"/>
  </r>
  <r>
    <s v="FL250409"/>
    <s v="Mindy Sullivan"/>
    <x v="0"/>
    <s v="37"/>
    <x v="4"/>
    <s v="Indonesian"/>
    <s v="Graphic Design"/>
    <s v="11"/>
    <n v="40"/>
    <n v="3.6"/>
    <s v="FALSE"/>
    <n v="0.73"/>
  </r>
  <r>
    <s v="FL250410"/>
    <s v="Elizabeth Stone"/>
    <x v="0"/>
    <s v="20"/>
    <x v="20"/>
    <s v="Spanish"/>
    <s v="Graphic Design"/>
    <s v="2"/>
    <n v="30"/>
    <n v="0"/>
    <s v="FALSE"/>
    <n v="0.94"/>
  </r>
  <r>
    <s v="FL250411"/>
    <s v="Diane Flores"/>
    <x v="0"/>
    <s v="50"/>
    <x v="1"/>
    <s v="English"/>
    <s v="Web Development"/>
    <s v="31"/>
    <n v="50"/>
    <n v="4.0999999999999996"/>
    <s v="TRUE"/>
    <n v="0.81"/>
  </r>
  <r>
    <s v="FL250412"/>
    <s v="Jessica Erickson"/>
    <x v="0"/>
    <s v="58"/>
    <x v="6"/>
    <s v="Turkish"/>
    <s v="Graphic Design"/>
    <s v="17"/>
    <n v="50"/>
    <n v="2.6"/>
    <s v="TRUE"/>
    <n v="0.61"/>
  </r>
  <r>
    <s v="FL250413"/>
    <s v="Sara Moses"/>
    <x v="0"/>
    <s v="40"/>
    <x v="11"/>
    <s v="Portuguese"/>
    <s v="UI/UX Design"/>
    <s v="2"/>
    <n v="100"/>
    <n v="0"/>
    <s v="FALSE"/>
    <n v="0.75"/>
  </r>
  <r>
    <s v="FL250414"/>
    <s v="Allison Henderson"/>
    <x v="0"/>
    <s v="26"/>
    <x v="16"/>
    <s v="Arabic"/>
    <s v="Web Development"/>
    <s v="2"/>
    <n v="20"/>
    <n v="1.3"/>
    <s v="FALSE"/>
    <n v="0.83"/>
  </r>
  <r>
    <s v="FL250415"/>
    <s v="Susan Dixon"/>
    <x v="0"/>
    <s v="44"/>
    <x v="12"/>
    <s v="Korean"/>
    <s v="Cybersecurity"/>
    <s v="22"/>
    <n v="30"/>
    <n v="4.0999999999999996"/>
    <s v="TRUE"/>
    <n v="0.75"/>
  </r>
  <r>
    <s v="FL250416"/>
    <s v="David Morrison"/>
    <x v="1"/>
    <s v="42"/>
    <x v="19"/>
    <s v="Spanish"/>
    <s v="Machine Learning"/>
    <s v="8"/>
    <n v="50"/>
    <n v="2.4"/>
    <s v="FALSE"/>
    <n v="0.68"/>
  </r>
  <r>
    <s v="FL250417"/>
    <s v="Jason Carter"/>
    <x v="1"/>
    <s v="38"/>
    <x v="19"/>
    <s v="Spanish"/>
    <s v="Data Analysis"/>
    <s v="9"/>
    <n v="50"/>
    <n v="0"/>
    <s v="FALSE"/>
    <n v="0.74"/>
  </r>
  <r>
    <s v="FL250418"/>
    <s v="James Jacobs"/>
    <x v="1"/>
    <s v="51"/>
    <x v="16"/>
    <s v="Arabic"/>
    <s v="Web Development"/>
    <s v="32"/>
    <n v="100"/>
    <n v="4.4000000000000004"/>
    <s v="TRUE"/>
    <n v="0.91"/>
  </r>
  <r>
    <s v="FL250419"/>
    <s v="Kathleen Quinn"/>
    <x v="0"/>
    <s v="36"/>
    <x v="15"/>
    <s v="French"/>
    <s v="AI"/>
    <s v="8"/>
    <n v="100"/>
    <n v="2.2000000000000002"/>
    <s v="TRUE"/>
    <n v="0.97"/>
  </r>
  <r>
    <s v="FL250420"/>
    <s v="Natalie Frank Md"/>
    <x v="0"/>
    <s v="37"/>
    <x v="1"/>
    <s v="English"/>
    <s v="Mobile Apps"/>
    <s v="10"/>
    <n v="30"/>
    <n v="0"/>
    <s v="FALSE"/>
    <n v="0.96"/>
  </r>
  <r>
    <s v="FL250421"/>
    <s v="Michael Reed"/>
    <x v="1"/>
    <s v="31"/>
    <x v="17"/>
    <s v="Afrikaans"/>
    <s v="DevOps"/>
    <s v="0"/>
    <n v="50"/>
    <n v="1.1000000000000001"/>
    <s v="TRUE"/>
    <n v="0.73"/>
  </r>
  <r>
    <s v="FL250422"/>
    <s v="Sheila Smith"/>
    <x v="0"/>
    <s v="47"/>
    <x v="10"/>
    <s v="Hindi"/>
    <s v="Cybersecurity"/>
    <s v="22"/>
    <n v="50"/>
    <n v="1.4"/>
    <s v="TRUE"/>
    <n v="0.72"/>
  </r>
  <r>
    <s v="FL250423"/>
    <s v="Morgan Ford"/>
    <x v="0"/>
    <s v="60"/>
    <x v="19"/>
    <s v="Spanish"/>
    <s v="UI/UX Design"/>
    <s v="34"/>
    <n v="100"/>
    <n v="0"/>
    <s v="TRUE"/>
    <n v="0.74"/>
  </r>
  <r>
    <s v="FL250424"/>
    <s v="Linda Schultz"/>
    <x v="0"/>
    <s v="48"/>
    <x v="8"/>
    <s v="Spanish"/>
    <s v="Mobile Apps"/>
    <s v="5"/>
    <n v="30"/>
    <n v="1.5"/>
    <s v="FALSE"/>
    <n v="0.75"/>
  </r>
  <r>
    <s v="FL250425"/>
    <s v="Regina Daniel"/>
    <x v="0"/>
    <s v="24"/>
    <x v="10"/>
    <s v="Hindi"/>
    <s v="AI"/>
    <s v="3"/>
    <n v="20"/>
    <n v="0"/>
    <s v="TRUE"/>
    <n v="0.75"/>
  </r>
  <r>
    <s v="FL250426"/>
    <s v="Allison Perkins"/>
    <x v="0"/>
    <s v="35"/>
    <x v="3"/>
    <s v="Dutch"/>
    <s v="Machine Learning"/>
    <s v="10"/>
    <n v="75"/>
    <n v="0"/>
    <s v="TRUE"/>
    <n v="0.74"/>
  </r>
  <r>
    <s v="FL250427"/>
    <s v="Bradley Weaver"/>
    <x v="1"/>
    <s v="35"/>
    <x v="5"/>
    <s v="English"/>
    <s v="DevOps"/>
    <s v="Unknown"/>
    <n v="100"/>
    <n v="3.5"/>
    <s v="TRUE"/>
    <n v="0.71"/>
  </r>
  <r>
    <s v="FL250428"/>
    <s v="Sarah Hall"/>
    <x v="0"/>
    <s v="29"/>
    <x v="3"/>
    <s v="Dutch"/>
    <s v="UI/UX Design"/>
    <s v="6"/>
    <n v="50"/>
    <n v="4.8"/>
    <s v="FALSE"/>
    <n v="0.83"/>
  </r>
  <r>
    <s v="FL250429"/>
    <s v="Diana Walton"/>
    <x v="0"/>
    <s v="36"/>
    <x v="0"/>
    <s v="Italian"/>
    <s v="Machine Learning"/>
    <s v="1"/>
    <n v="75"/>
    <n v="2.6"/>
    <s v="TRUE"/>
    <n v="0.63"/>
  </r>
  <r>
    <s v="FL250430"/>
    <s v="Donna Davis"/>
    <x v="0"/>
    <s v="44"/>
    <x v="14"/>
    <s v="English"/>
    <s v="AI"/>
    <s v="0"/>
    <n v="50"/>
    <n v="4.8"/>
    <s v="TRUE"/>
    <n v="0.84"/>
  </r>
  <r>
    <s v="FL250431"/>
    <s v="Christopher Mcclain"/>
    <x v="1"/>
    <s v="44"/>
    <x v="17"/>
    <s v="Afrikaans"/>
    <s v="Web Development"/>
    <s v="Unknown"/>
    <n v="50"/>
    <n v="1.4"/>
    <s v="FALSE"/>
    <n v="0.93"/>
  </r>
  <r>
    <s v="FL250432"/>
    <s v="Dr. Paul Williamson"/>
    <x v="1"/>
    <s v="40"/>
    <x v="10"/>
    <s v="Hindi"/>
    <s v="AI"/>
    <s v="13"/>
    <n v="100"/>
    <n v="1.1000000000000001"/>
    <s v="TRUE"/>
    <n v="0.75"/>
  </r>
  <r>
    <s v="FL250433"/>
    <s v="Barbara Brown"/>
    <x v="0"/>
    <s v="53"/>
    <x v="3"/>
    <s v="Dutch"/>
    <s v="Machine Learning"/>
    <s v="13"/>
    <n v="50"/>
    <n v="3.3"/>
    <s v="TRUE"/>
    <n v="0.93"/>
  </r>
  <r>
    <s v="FL250434"/>
    <s v="Kimberly Allen"/>
    <x v="0"/>
    <s v="35"/>
    <x v="2"/>
    <s v="German"/>
    <s v="Blockchain Development"/>
    <s v="0"/>
    <n v="30"/>
    <n v="4.5999999999999996"/>
    <s v="TRUE"/>
    <n v="0.97"/>
  </r>
  <r>
    <s v="FL250435"/>
    <s v="Elizabeth Edwards"/>
    <x v="0"/>
    <s v="27"/>
    <x v="8"/>
    <s v="Spanish"/>
    <s v="Machine Learning"/>
    <s v="7"/>
    <n v="75"/>
    <n v="2.8"/>
    <s v="TRUE"/>
    <n v="0.92"/>
  </r>
  <r>
    <s v="FL250436"/>
    <s v="Anthony Downs"/>
    <x v="1"/>
    <s v="34"/>
    <x v="1"/>
    <s v="English"/>
    <s v="DevOps"/>
    <s v="6"/>
    <n v="50"/>
    <n v="5"/>
    <s v="TRUE"/>
    <n v="0.92"/>
  </r>
  <r>
    <s v="FL250437"/>
    <s v="Jack Ortega"/>
    <x v="1"/>
    <s v="24"/>
    <x v="10"/>
    <s v="Hindi"/>
    <s v="Cybersecurity"/>
    <s v="2"/>
    <n v="75"/>
    <n v="4.7"/>
    <s v="FALSE"/>
    <n v="0.68"/>
  </r>
  <r>
    <s v="FL250438"/>
    <s v="Marvin Moore"/>
    <x v="1"/>
    <s v="57"/>
    <x v="5"/>
    <s v="English"/>
    <s v="UI/UX Design"/>
    <s v="13"/>
    <n v="100"/>
    <n v="3.5"/>
    <s v="FALSE"/>
    <n v="0.95"/>
  </r>
  <r>
    <s v="FL250439"/>
    <s v="Tony French"/>
    <x v="1"/>
    <s v="28"/>
    <x v="12"/>
    <s v="Korean"/>
    <s v="UI/UX Design"/>
    <s v="7"/>
    <n v="100"/>
    <n v="4.3"/>
    <s v="TRUE"/>
    <n v="0.76"/>
  </r>
  <r>
    <s v="FL250440"/>
    <s v="Stacy Hudson"/>
    <x v="0"/>
    <s v="26"/>
    <x v="0"/>
    <s v="Italian"/>
    <s v="DevOps"/>
    <s v="7"/>
    <n v="100"/>
    <n v="3.3"/>
    <s v="TRUE"/>
    <n v="0.66"/>
  </r>
  <r>
    <s v="FL250441"/>
    <s v="Scott Washington"/>
    <x v="1"/>
    <s v="34"/>
    <x v="8"/>
    <s v="Spanish"/>
    <s v="Mobile Apps"/>
    <s v="15"/>
    <n v="75"/>
    <n v="2.6"/>
    <s v="FALSE"/>
    <n v="0.73"/>
  </r>
  <r>
    <s v="FL250442"/>
    <s v="Timothy Wright"/>
    <x v="1"/>
    <s v="43"/>
    <x v="9"/>
    <s v="Japanese"/>
    <s v="AI"/>
    <s v="Unknown"/>
    <n v="20"/>
    <n v="2.8"/>
    <s v="TRUE"/>
    <n v="0.99"/>
  </r>
  <r>
    <s v="FL250443"/>
    <s v="Joseph Gonzalez"/>
    <x v="1"/>
    <s v="31"/>
    <x v="18"/>
    <s v="Mandarin"/>
    <s v="Graphic Design"/>
    <s v="5"/>
    <n v="50"/>
    <n v="2.7"/>
    <s v="TRUE"/>
    <n v="0.94"/>
  </r>
  <r>
    <s v="FL250444"/>
    <s v="Andrea Perez"/>
    <x v="0"/>
    <s v="34"/>
    <x v="18"/>
    <s v="Mandarin"/>
    <s v="Blockchain Development"/>
    <s v="Unknown"/>
    <n v="50"/>
    <n v="0"/>
    <s v="TRUE"/>
    <n v="0.84"/>
  </r>
  <r>
    <s v="FL250445"/>
    <s v="Angel Collins"/>
    <x v="0"/>
    <s v="32"/>
    <x v="13"/>
    <s v="Russian"/>
    <s v="Cybersecurity"/>
    <s v="10"/>
    <n v="20"/>
    <n v="2.6"/>
    <s v="TRUE"/>
    <n v="0.92"/>
  </r>
  <r>
    <s v="FL250446"/>
    <s v="Daniel Terry"/>
    <x v="1"/>
    <s v="24"/>
    <x v="16"/>
    <s v="Arabic"/>
    <s v="DevOps"/>
    <s v="6"/>
    <n v="75"/>
    <n v="4.3"/>
    <s v="TRUE"/>
    <n v="0.75"/>
  </r>
  <r>
    <s v="FL250447"/>
    <s v="Steven Whitaker"/>
    <x v="1"/>
    <s v="35"/>
    <x v="7"/>
    <s v="English"/>
    <s v="AI"/>
    <s v="8"/>
    <n v="50"/>
    <n v="2.6"/>
    <s v="FALSE"/>
    <n v="0.9"/>
  </r>
  <r>
    <s v="FL250448"/>
    <s v="Denise Neal"/>
    <x v="0"/>
    <s v="22"/>
    <x v="1"/>
    <s v="English"/>
    <s v="Mobile Apps"/>
    <s v="4"/>
    <n v="20"/>
    <n v="2.6"/>
    <s v="FALSE"/>
    <n v="0.73"/>
  </r>
  <r>
    <s v="FL250449"/>
    <s v="Amanda Jacobs"/>
    <x v="0"/>
    <s v="55"/>
    <x v="16"/>
    <s v="Arabic"/>
    <s v="AI"/>
    <s v="3"/>
    <n v="100"/>
    <n v="2.6"/>
    <s v="TRUE"/>
    <n v="0.73"/>
  </r>
  <r>
    <s v="FL250450"/>
    <s v="Karen Mercer"/>
    <x v="0"/>
    <s v="54"/>
    <x v="8"/>
    <s v="Spanish"/>
    <s v="Machine Learning"/>
    <s v="Unknown"/>
    <n v="30"/>
    <n v="2.9"/>
    <s v="TRUE"/>
    <n v="0.78"/>
  </r>
  <r>
    <s v="FL250451"/>
    <s v="Lindsay Hudson"/>
    <x v="0"/>
    <s v="36"/>
    <x v="3"/>
    <s v="Dutch"/>
    <s v="Cybersecurity"/>
    <s v="11"/>
    <n v="30"/>
    <n v="0"/>
    <s v="TRUE"/>
    <n v="0.63"/>
  </r>
  <r>
    <s v="FL250452"/>
    <s v="Stephanie Armstrong"/>
    <x v="0"/>
    <s v="36"/>
    <x v="3"/>
    <s v="Dutch"/>
    <s v="AI"/>
    <s v="17"/>
    <n v="50"/>
    <n v="1.3"/>
    <s v="TRUE"/>
    <n v="0.64"/>
  </r>
  <r>
    <s v="FL250453"/>
    <s v="Dr. Jessica Campbell"/>
    <x v="0"/>
    <s v="25"/>
    <x v="8"/>
    <s v="Spanish"/>
    <s v="Web Development"/>
    <s v="1"/>
    <n v="75"/>
    <n v="0"/>
    <s v="TRUE"/>
    <n v="0.75"/>
  </r>
  <r>
    <s v="FL250454"/>
    <s v="Curtis Maxwell"/>
    <x v="1"/>
    <s v="46"/>
    <x v="4"/>
    <s v="Indonesian"/>
    <s v="AI"/>
    <s v="16"/>
    <n v="20"/>
    <n v="4.8"/>
    <s v="TRUE"/>
    <n v="0.86"/>
  </r>
  <r>
    <s v="FL250455"/>
    <s v="Adam Kelly Phd"/>
    <x v="1"/>
    <s v="41"/>
    <x v="8"/>
    <s v="Spanish"/>
    <s v="Machine Learning"/>
    <s v="11"/>
    <n v="40"/>
    <n v="2.4"/>
    <s v="TRUE"/>
    <n v="0.75"/>
  </r>
  <r>
    <s v="FL250456"/>
    <s v="Julie Becker"/>
    <x v="0"/>
    <s v="21"/>
    <x v="13"/>
    <s v="Russian"/>
    <s v="Mobile Apps"/>
    <s v="3"/>
    <n v="100"/>
    <n v="4.7"/>
    <s v="FALSE"/>
    <n v="0.96"/>
  </r>
  <r>
    <s v="FL250457"/>
    <s v="James Moore"/>
    <x v="1"/>
    <s v="29"/>
    <x v="5"/>
    <s v="English"/>
    <s v="Graphic Design"/>
    <s v="Unknown"/>
    <n v="75"/>
    <n v="2"/>
    <s v="FALSE"/>
    <n v="0.75"/>
  </r>
  <r>
    <s v="FL250458"/>
    <s v="Danielle Barrera"/>
    <x v="0"/>
    <s v="44"/>
    <x v="5"/>
    <s v="English"/>
    <s v="Mobile Apps"/>
    <s v="3"/>
    <n v="50"/>
    <n v="2.2000000000000002"/>
    <s v="FALSE"/>
    <n v="0.77"/>
  </r>
  <r>
    <s v="FL250459"/>
    <s v="David Sanchez"/>
    <x v="1"/>
    <s v="40"/>
    <x v="14"/>
    <s v="English"/>
    <s v="Machine Learning"/>
    <s v="1"/>
    <n v="100"/>
    <n v="2.1"/>
    <s v="TRUE"/>
    <n v="0.75"/>
  </r>
  <r>
    <s v="FL250460"/>
    <s v="Tiffany Bowman"/>
    <x v="0"/>
    <s v="27"/>
    <x v="16"/>
    <s v="Arabic"/>
    <s v="Data Analysis"/>
    <s v="1"/>
    <n v="30"/>
    <n v="1.7"/>
    <s v="TRUE"/>
    <n v="0.65"/>
  </r>
  <r>
    <s v="FL250461"/>
    <s v="Jesus Quinn"/>
    <x v="1"/>
    <s v="53"/>
    <x v="15"/>
    <s v="French"/>
    <s v="Mobile Apps"/>
    <s v="35"/>
    <n v="50"/>
    <n v="5"/>
    <s v="TRUE"/>
    <n v="0.62"/>
  </r>
  <r>
    <s v="FL250462"/>
    <s v="Danny Morris Dds"/>
    <x v="1"/>
    <s v="20"/>
    <x v="6"/>
    <s v="Turkish"/>
    <s v="Data Analysis"/>
    <s v="1"/>
    <n v="50"/>
    <n v="2.9"/>
    <s v="FALSE"/>
    <n v="0.81"/>
  </r>
  <r>
    <s v="FL250463"/>
    <s v="Nicole York"/>
    <x v="0"/>
    <s v="Unknown"/>
    <x v="9"/>
    <s v="Japanese"/>
    <s v="DevOps"/>
    <s v="12"/>
    <n v="50"/>
    <n v="4.0999999999999996"/>
    <s v="TRUE"/>
    <n v="0.62"/>
  </r>
  <r>
    <s v="FL250464"/>
    <s v="John Mathis"/>
    <x v="1"/>
    <s v="26"/>
    <x v="19"/>
    <s v="Spanish"/>
    <s v="Web Development"/>
    <s v="8"/>
    <n v="40"/>
    <n v="4.9000000000000004"/>
    <s v="FALSE"/>
    <n v="0.87"/>
  </r>
  <r>
    <s v="FL250465"/>
    <s v="Julie Barnett"/>
    <x v="0"/>
    <s v="49"/>
    <x v="11"/>
    <s v="Portuguese"/>
    <s v="Machine Learning"/>
    <s v="13"/>
    <n v="100"/>
    <n v="2.5"/>
    <s v="TRUE"/>
    <n v="0.75"/>
  </r>
  <r>
    <s v="FL250466"/>
    <s v="Jasmine Harris"/>
    <x v="0"/>
    <s v="20"/>
    <x v="16"/>
    <s v="Arabic"/>
    <s v="Data Analysis"/>
    <s v="0"/>
    <n v="30"/>
    <n v="0"/>
    <s v="TRUE"/>
    <n v="0.76"/>
  </r>
  <r>
    <s v="FL250467"/>
    <s v="Mary Henry"/>
    <x v="0"/>
    <s v="39"/>
    <x v="18"/>
    <s v="Mandarin"/>
    <s v="Blockchain Development"/>
    <s v="11"/>
    <n v="100"/>
    <n v="2.8"/>
    <s v="TRUE"/>
    <n v="0.7"/>
  </r>
  <r>
    <s v="FL250468"/>
    <s v="Judith Riggs"/>
    <x v="0"/>
    <s v="41"/>
    <x v="18"/>
    <s v="Mandarin"/>
    <s v="Machine Learning"/>
    <s v="19"/>
    <n v="100"/>
    <n v="3.8"/>
    <s v="TRUE"/>
    <n v="0.71"/>
  </r>
  <r>
    <s v="FL250469"/>
    <s v="Justin Ruiz"/>
    <x v="1"/>
    <s v="59"/>
    <x v="14"/>
    <s v="English"/>
    <s v="Mobile Apps"/>
    <s v="30"/>
    <n v="30"/>
    <n v="4.3"/>
    <s v="TRUE"/>
    <n v="0.83"/>
  </r>
  <r>
    <s v="FL250470"/>
    <s v="Jennifer Sullivan"/>
    <x v="0"/>
    <s v="45"/>
    <x v="1"/>
    <s v="English"/>
    <s v="Blockchain Development"/>
    <s v="8"/>
    <n v="40"/>
    <n v="0"/>
    <s v="FALSE"/>
    <n v="0.78"/>
  </r>
  <r>
    <s v="FL250471"/>
    <s v="Jesse Moran"/>
    <x v="1"/>
    <s v="22"/>
    <x v="4"/>
    <s v="Indonesian"/>
    <s v="Cybersecurity"/>
    <s v="0"/>
    <n v="40"/>
    <n v="1.3"/>
    <s v="TRUE"/>
    <n v="0.78"/>
  </r>
  <r>
    <s v="FL250472"/>
    <s v="Monica Smith"/>
    <x v="0"/>
    <s v="48"/>
    <x v="10"/>
    <s v="Hindi"/>
    <s v="Mobile Apps"/>
    <s v="7"/>
    <n v="50"/>
    <n v="4.7"/>
    <s v="TRUE"/>
    <n v="0.6"/>
  </r>
  <r>
    <s v="FL250473"/>
    <s v="Ian May"/>
    <x v="1"/>
    <s v="36"/>
    <x v="15"/>
    <s v="French"/>
    <s v="Blockchain Development"/>
    <s v="11"/>
    <n v="40"/>
    <n v="1.3"/>
    <s v="TRUE"/>
    <n v="0.75"/>
  </r>
  <r>
    <s v="FL250474"/>
    <s v="Kayla Meyers"/>
    <x v="0"/>
    <s v="57"/>
    <x v="18"/>
    <s v="Mandarin"/>
    <s v="Blockchain Development"/>
    <s v="Unknown"/>
    <n v="75"/>
    <n v="4.8"/>
    <s v="TRUE"/>
    <n v="0.75"/>
  </r>
  <r>
    <s v="FL250475"/>
    <s v="John Bray"/>
    <x v="1"/>
    <s v="42"/>
    <x v="5"/>
    <s v="English"/>
    <s v="UI/UX Design"/>
    <s v="14"/>
    <n v="30"/>
    <n v="1.3"/>
    <s v="FALSE"/>
    <n v="0.94"/>
  </r>
  <r>
    <s v="FL250476"/>
    <s v="James Smith"/>
    <x v="1"/>
    <s v="31"/>
    <x v="4"/>
    <s v="Indonesian"/>
    <s v="Cybersecurity"/>
    <s v="11"/>
    <n v="50"/>
    <n v="4.3"/>
    <s v="FALSE"/>
    <n v="0.62"/>
  </r>
  <r>
    <s v="FL250477"/>
    <s v="Mark Duncan"/>
    <x v="1"/>
    <s v="52"/>
    <x v="20"/>
    <s v="Spanish"/>
    <s v="Cybersecurity"/>
    <s v="31"/>
    <n v="30"/>
    <n v="2.6"/>
    <s v="TRUE"/>
    <n v="0.75"/>
  </r>
  <r>
    <s v="FL250478"/>
    <s v="Matthew Gay"/>
    <x v="1"/>
    <s v="56"/>
    <x v="3"/>
    <s v="Dutch"/>
    <s v="DevOps"/>
    <s v="16"/>
    <n v="30"/>
    <n v="0"/>
    <s v="TRUE"/>
    <n v="0.75"/>
  </r>
  <r>
    <s v="FL250479"/>
    <s v="Cheryl Freeman"/>
    <x v="0"/>
    <s v="24"/>
    <x v="3"/>
    <s v="Dutch"/>
    <s v="DevOps"/>
    <s v="6"/>
    <n v="30"/>
    <n v="0"/>
    <s v="TRUE"/>
    <n v="0.84"/>
  </r>
  <r>
    <s v="FL250480"/>
    <s v="Patrick Welch"/>
    <x v="1"/>
    <s v="48"/>
    <x v="14"/>
    <s v="English"/>
    <s v="DevOps"/>
    <s v="21"/>
    <n v="75"/>
    <n v="2.7"/>
    <s v="TRUE"/>
    <n v="0.75"/>
  </r>
  <r>
    <s v="FL250481"/>
    <s v="Craig Levine"/>
    <x v="1"/>
    <s v="59"/>
    <x v="15"/>
    <s v="French"/>
    <s v="Cybersecurity"/>
    <s v="13"/>
    <n v="40"/>
    <n v="2.4"/>
    <s v="FALSE"/>
    <n v="0.65"/>
  </r>
  <r>
    <s v="FL250482"/>
    <s v="Richard Harvey"/>
    <x v="1"/>
    <s v="Unknown"/>
    <x v="7"/>
    <s v="English"/>
    <s v="Web Development"/>
    <s v="Unknown"/>
    <n v="40"/>
    <n v="1.9"/>
    <s v="TRUE"/>
    <n v="0.94"/>
  </r>
  <r>
    <s v="FL250483"/>
    <s v="Bonnie Sherman"/>
    <x v="0"/>
    <s v="Unknown"/>
    <x v="3"/>
    <s v="Dutch"/>
    <s v="Mobile Apps"/>
    <s v="11"/>
    <n v="20"/>
    <n v="3.6"/>
    <s v="FALSE"/>
    <n v="0.69"/>
  </r>
  <r>
    <s v="FL250484"/>
    <s v="Keith Trujillo"/>
    <x v="1"/>
    <s v="25"/>
    <x v="3"/>
    <s v="Dutch"/>
    <s v="Mobile Apps"/>
    <s v="0"/>
    <n v="50"/>
    <n v="2.9"/>
    <s v="TRUE"/>
    <n v="0.65"/>
  </r>
  <r>
    <s v="FL250485"/>
    <s v="Corey Combs"/>
    <x v="1"/>
    <s v="31"/>
    <x v="16"/>
    <s v="Arabic"/>
    <s v="Mobile Apps"/>
    <s v="2"/>
    <n v="75"/>
    <n v="2.8"/>
    <s v="TRUE"/>
    <n v="0.6"/>
  </r>
  <r>
    <s v="FL250486"/>
    <s v="Antonio King"/>
    <x v="1"/>
    <s v="40"/>
    <x v="6"/>
    <s v="Turkish"/>
    <s v="DevOps"/>
    <s v="12"/>
    <n v="75"/>
    <n v="2.6"/>
    <s v="TRUE"/>
    <n v="0.75"/>
  </r>
  <r>
    <s v="FL250487"/>
    <s v="Amy Lee"/>
    <x v="0"/>
    <s v="48"/>
    <x v="13"/>
    <s v="Russian"/>
    <s v="Blockchain Development"/>
    <s v="13"/>
    <n v="100"/>
    <n v="2.7"/>
    <s v="TRUE"/>
    <n v="0.62"/>
  </r>
  <r>
    <s v="FL250488"/>
    <s v="Jennifer Rogers"/>
    <x v="0"/>
    <s v="24"/>
    <x v="17"/>
    <s v="Afrikaans"/>
    <s v="Mobile Apps"/>
    <s v="6"/>
    <n v="30"/>
    <n v="1.1000000000000001"/>
    <s v="TRUE"/>
    <n v="0.75"/>
  </r>
  <r>
    <s v="FL250489"/>
    <s v="Jeffrey Cooper"/>
    <x v="1"/>
    <s v="33"/>
    <x v="4"/>
    <s v="Indonesian"/>
    <s v="Web Development"/>
    <s v="10"/>
    <n v="30"/>
    <n v="0"/>
    <s v="TRUE"/>
    <n v="0.89"/>
  </r>
  <r>
    <s v="FL250490"/>
    <s v="Allison Williams"/>
    <x v="0"/>
    <s v="43"/>
    <x v="11"/>
    <s v="Portuguese"/>
    <s v="UI/UX Design"/>
    <s v="2"/>
    <n v="40"/>
    <n v="0"/>
    <s v="TRUE"/>
    <n v="0.89"/>
  </r>
  <r>
    <s v="FL250491"/>
    <s v="Raymond Sherman"/>
    <x v="1"/>
    <s v="43"/>
    <x v="20"/>
    <s v="Spanish"/>
    <s v="Blockchain Development"/>
    <s v="4"/>
    <n v="50"/>
    <n v="0"/>
    <s v="TRUE"/>
    <n v="1"/>
  </r>
  <r>
    <s v="FL250492"/>
    <s v="Jennifer Nelson"/>
    <x v="0"/>
    <s v="33"/>
    <x v="1"/>
    <s v="English"/>
    <s v="Web Development"/>
    <s v="11"/>
    <n v="50"/>
    <n v="4.5999999999999996"/>
    <s v="TRUE"/>
    <n v="0.75"/>
  </r>
  <r>
    <s v="FL250493"/>
    <s v="Jennifer Carter"/>
    <x v="0"/>
    <s v="49"/>
    <x v="13"/>
    <s v="Russian"/>
    <s v="UI/UX Design"/>
    <s v="14"/>
    <n v="40"/>
    <n v="1.5"/>
    <s v="TRUE"/>
    <n v="0.6"/>
  </r>
  <r>
    <s v="FL250494"/>
    <s v="Todd Williams"/>
    <x v="1"/>
    <s v="55"/>
    <x v="14"/>
    <s v="English"/>
    <s v="UI/UX Design"/>
    <s v="10"/>
    <n v="40"/>
    <n v="2"/>
    <s v="FALSE"/>
    <n v="0.85"/>
  </r>
  <r>
    <s v="FL250495"/>
    <s v="Emily Horton"/>
    <x v="0"/>
    <s v="33"/>
    <x v="12"/>
    <s v="Korean"/>
    <s v="Graphic Design"/>
    <s v="3"/>
    <n v="40"/>
    <n v="1.6"/>
    <s v="TRUE"/>
    <n v="0.83"/>
  </r>
  <r>
    <s v="FL250496"/>
    <s v="Lance Lester"/>
    <x v="1"/>
    <s v="32"/>
    <x v="8"/>
    <s v="Spanish"/>
    <s v="AI"/>
    <s v="3"/>
    <n v="30"/>
    <n v="1.5"/>
    <s v="FALSE"/>
    <n v="0.96"/>
  </r>
  <r>
    <s v="FL250497"/>
    <s v="Kevin Flores"/>
    <x v="1"/>
    <s v="58"/>
    <x v="3"/>
    <s v="Dutch"/>
    <s v="Blockchain Development"/>
    <s v="33"/>
    <n v="50"/>
    <n v="4.0999999999999996"/>
    <s v="TRUE"/>
    <n v="0.83"/>
  </r>
  <r>
    <s v="FL250498"/>
    <s v="Aaron Stewart Phd"/>
    <x v="1"/>
    <s v="49"/>
    <x v="4"/>
    <s v="Indonesian"/>
    <s v="Data Analysis"/>
    <s v="24"/>
    <n v="100"/>
    <n v="4.7"/>
    <s v="FALSE"/>
    <n v="0.6"/>
  </r>
  <r>
    <s v="FL250499"/>
    <s v="Robin Moore"/>
    <x v="0"/>
    <s v="22"/>
    <x v="13"/>
    <s v="Russian"/>
    <s v="UI/UX Design"/>
    <s v="3"/>
    <n v="100"/>
    <n v="3.6"/>
    <s v="TRUE"/>
    <n v="0.78"/>
  </r>
  <r>
    <s v="FL250500"/>
    <s v="Suzanne Ingram"/>
    <x v="0"/>
    <s v="40"/>
    <x v="16"/>
    <s v="Arabic"/>
    <s v="Web Development"/>
    <s v="11"/>
    <n v="20"/>
    <n v="1.8"/>
    <s v="TRUE"/>
    <n v="0.9"/>
  </r>
  <r>
    <s v="FL250501"/>
    <s v="Jacob Mclaughlin"/>
    <x v="1"/>
    <s v="55"/>
    <x v="1"/>
    <s v="English"/>
    <s v="Data Analysis"/>
    <s v="7"/>
    <n v="100"/>
    <n v="2.1"/>
    <s v="FALSE"/>
    <n v="0.66"/>
  </r>
  <r>
    <s v="FL250502"/>
    <s v="Michael Nunez"/>
    <x v="1"/>
    <s v="32"/>
    <x v="19"/>
    <s v="Spanish"/>
    <s v="DevOps"/>
    <s v="1"/>
    <n v="50"/>
    <n v="2.6"/>
    <s v="TRUE"/>
    <n v="0.7"/>
  </r>
  <r>
    <s v="FL250503"/>
    <s v="Isabel Brown"/>
    <x v="0"/>
    <s v="21"/>
    <x v="9"/>
    <s v="Japanese"/>
    <s v="UI/UX Design"/>
    <s v="0"/>
    <n v="30"/>
    <n v="4.2"/>
    <s v="TRUE"/>
    <n v="0.79"/>
  </r>
  <r>
    <s v="FL250504"/>
    <s v="Michael Stein"/>
    <x v="1"/>
    <s v="23"/>
    <x v="12"/>
    <s v="Korean"/>
    <s v="Blockchain Development"/>
    <s v="1"/>
    <n v="40"/>
    <n v="0"/>
    <s v="FALSE"/>
    <n v="0.64"/>
  </r>
  <r>
    <s v="FL250505"/>
    <s v="Robert Stone"/>
    <x v="1"/>
    <s v="21"/>
    <x v="7"/>
    <s v="English"/>
    <s v="Mobile Apps"/>
    <s v="1"/>
    <n v="30"/>
    <n v="1"/>
    <s v="FALSE"/>
    <n v="0.81"/>
  </r>
  <r>
    <s v="FL250506"/>
    <s v="Dillon Henry"/>
    <x v="1"/>
    <s v="31"/>
    <x v="8"/>
    <s v="Spanish"/>
    <s v="AI"/>
    <s v="7"/>
    <n v="75"/>
    <n v="4.4000000000000004"/>
    <s v="FALSE"/>
    <n v="0.83"/>
  </r>
  <r>
    <s v="FL250507"/>
    <s v="James Todd"/>
    <x v="1"/>
    <s v="21"/>
    <x v="19"/>
    <s v="Spanish"/>
    <s v="Blockchain Development"/>
    <s v="Unknown"/>
    <n v="40"/>
    <n v="4"/>
    <s v="FALSE"/>
    <n v="0.91"/>
  </r>
  <r>
    <s v="FL250508"/>
    <s v="Clifford Moore Md"/>
    <x v="1"/>
    <s v="33"/>
    <x v="7"/>
    <s v="English"/>
    <s v="Cybersecurity"/>
    <s v="6"/>
    <n v="50"/>
    <n v="3.1"/>
    <s v="FALSE"/>
    <n v="0.75"/>
  </r>
  <r>
    <s v="FL250509"/>
    <s v="John Rios"/>
    <x v="1"/>
    <s v="57"/>
    <x v="11"/>
    <s v="Portuguese"/>
    <s v="Web Development"/>
    <s v="5"/>
    <n v="75"/>
    <n v="1.1000000000000001"/>
    <s v="TRUE"/>
    <n v="0.77"/>
  </r>
  <r>
    <s v="FL250510"/>
    <s v="Anthony Gaines"/>
    <x v="1"/>
    <s v="52"/>
    <x v="5"/>
    <s v="English"/>
    <s v="DevOps"/>
    <s v="17"/>
    <n v="75"/>
    <n v="0"/>
    <s v="FALSE"/>
    <n v="0.94"/>
  </r>
  <r>
    <s v="FL250511"/>
    <s v="Kristi Brown Dvm"/>
    <x v="0"/>
    <s v="21"/>
    <x v="2"/>
    <s v="German"/>
    <s v="Web Development"/>
    <s v="0"/>
    <n v="20"/>
    <n v="3.8"/>
    <s v="TRUE"/>
    <n v="0.61"/>
  </r>
  <r>
    <s v="FL250512"/>
    <s v="Ashley Odonnell"/>
    <x v="0"/>
    <s v="36"/>
    <x v="8"/>
    <s v="Spanish"/>
    <s v="UI/UX Design"/>
    <s v="8"/>
    <n v="100"/>
    <n v="1.7"/>
    <s v="FALSE"/>
    <n v="0.68"/>
  </r>
  <r>
    <s v="FL250513"/>
    <s v="Ronald Elliott"/>
    <x v="1"/>
    <s v="33"/>
    <x v="20"/>
    <s v="Spanish"/>
    <s v="Machine Learning"/>
    <s v="13"/>
    <n v="50"/>
    <n v="2.2000000000000002"/>
    <s v="FALSE"/>
    <n v="0.7"/>
  </r>
  <r>
    <s v="FL250514"/>
    <s v="Lorraine Lowery"/>
    <x v="0"/>
    <s v="54"/>
    <x v="7"/>
    <s v="English"/>
    <s v="Data Analysis"/>
    <s v="15"/>
    <n v="40"/>
    <n v="4.0999999999999996"/>
    <s v="TRUE"/>
    <n v="0.71"/>
  </r>
  <r>
    <s v="FL250515"/>
    <s v="Victoria Chapman"/>
    <x v="0"/>
    <s v="33"/>
    <x v="5"/>
    <s v="English"/>
    <s v="Blockchain Development"/>
    <s v="2"/>
    <n v="100"/>
    <n v="3.8"/>
    <s v="TRUE"/>
    <n v="0.75"/>
  </r>
  <r>
    <s v="FL250516"/>
    <s v="Heather Davis"/>
    <x v="0"/>
    <s v="36"/>
    <x v="9"/>
    <s v="Japanese"/>
    <s v="Machine Learning"/>
    <s v="9"/>
    <n v="30"/>
    <n v="0"/>
    <s v="TRUE"/>
    <n v="0.78"/>
  </r>
  <r>
    <s v="FL250517"/>
    <s v="Diana Chase"/>
    <x v="0"/>
    <s v="36"/>
    <x v="6"/>
    <s v="Turkish"/>
    <s v="AI"/>
    <s v="3"/>
    <n v="50"/>
    <n v="0"/>
    <s v="FALSE"/>
    <n v="0.75"/>
  </r>
  <r>
    <s v="FL250518"/>
    <s v="Danielle Adkins"/>
    <x v="0"/>
    <s v="43"/>
    <x v="18"/>
    <s v="Mandarin"/>
    <s v="AI"/>
    <s v="15"/>
    <n v="20"/>
    <n v="4.2"/>
    <s v="TRUE"/>
    <n v="0.91"/>
  </r>
  <r>
    <s v="FL250519"/>
    <s v="Kenneth Arias"/>
    <x v="1"/>
    <s v="52"/>
    <x v="7"/>
    <s v="English"/>
    <s v="Data Analysis"/>
    <s v="21"/>
    <n v="75"/>
    <n v="2.2000000000000002"/>
    <s v="TRUE"/>
    <n v="0.66"/>
  </r>
  <r>
    <s v="FL250520"/>
    <s v="Victoria Owen"/>
    <x v="0"/>
    <s v="28"/>
    <x v="4"/>
    <s v="Indonesian"/>
    <s v="Cybersecurity"/>
    <s v="2"/>
    <n v="75"/>
    <n v="1.5"/>
    <s v="TRUE"/>
    <n v="0.68"/>
  </r>
  <r>
    <s v="FL250521"/>
    <s v="Christina King"/>
    <x v="0"/>
    <s v="47"/>
    <x v="18"/>
    <s v="Mandarin"/>
    <s v="Cybersecurity"/>
    <s v="21"/>
    <n v="100"/>
    <n v="0"/>
    <s v="FALSE"/>
    <n v="0.75"/>
  </r>
  <r>
    <s v="FL250522"/>
    <s v="Samantha King"/>
    <x v="0"/>
    <s v="30"/>
    <x v="15"/>
    <s v="French"/>
    <s v="DevOps"/>
    <s v="0"/>
    <n v="100"/>
    <n v="4.0999999999999996"/>
    <s v="FALSE"/>
    <n v="0.62"/>
  </r>
  <r>
    <s v="FL250523"/>
    <s v="Scott Compton"/>
    <x v="1"/>
    <s v="36"/>
    <x v="16"/>
    <s v="Arabic"/>
    <s v="Blockchain Development"/>
    <s v="4"/>
    <n v="40"/>
    <n v="2.6"/>
    <s v="FALSE"/>
    <n v="0.9"/>
  </r>
  <r>
    <s v="FL250524"/>
    <s v="Monica West"/>
    <x v="0"/>
    <s v="45"/>
    <x v="5"/>
    <s v="English"/>
    <s v="UI/UX Design"/>
    <s v="23"/>
    <n v="100"/>
    <n v="2.4"/>
    <s v="TRUE"/>
    <n v="0.96"/>
  </r>
  <r>
    <s v="FL250525"/>
    <s v="Theresa Stewart"/>
    <x v="0"/>
    <s v="51"/>
    <x v="5"/>
    <s v="English"/>
    <s v="Blockchain Development"/>
    <s v="25"/>
    <n v="50"/>
    <n v="1.4"/>
    <s v="TRUE"/>
    <n v="0.6"/>
  </r>
  <r>
    <s v="FL250526"/>
    <s v="Steven Kim"/>
    <x v="1"/>
    <s v="46"/>
    <x v="6"/>
    <s v="Turkish"/>
    <s v="Mobile Apps"/>
    <s v="10"/>
    <n v="50"/>
    <n v="4.5999999999999996"/>
    <s v="TRUE"/>
    <n v="0.62"/>
  </r>
  <r>
    <s v="FL250527"/>
    <s v="Kristi Knight"/>
    <x v="0"/>
    <s v="38"/>
    <x v="0"/>
    <s v="Italian"/>
    <s v="Data Analysis"/>
    <s v="18"/>
    <n v="40"/>
    <n v="4.9000000000000004"/>
    <s v="TRUE"/>
    <n v="0.74"/>
  </r>
  <r>
    <s v="FL250528"/>
    <s v="Jason Bryant"/>
    <x v="1"/>
    <s v="26"/>
    <x v="20"/>
    <s v="Spanish"/>
    <s v="Blockchain Development"/>
    <s v="1"/>
    <n v="20"/>
    <n v="0"/>
    <s v="TRUE"/>
    <n v="0.75"/>
  </r>
  <r>
    <s v="FL250529"/>
    <s v="Maureen Keith"/>
    <x v="0"/>
    <s v="40"/>
    <x v="7"/>
    <s v="English"/>
    <s v="DevOps"/>
    <s v="12"/>
    <n v="30"/>
    <n v="3.5"/>
    <s v="TRUE"/>
    <n v="0.98"/>
  </r>
  <r>
    <s v="FL250530"/>
    <s v="Shawn Hogan"/>
    <x v="1"/>
    <s v="37"/>
    <x v="2"/>
    <s v="German"/>
    <s v="Machine Learning"/>
    <s v="Unknown"/>
    <n v="50"/>
    <n v="1.7"/>
    <s v="TRUE"/>
    <n v="0.63"/>
  </r>
  <r>
    <s v="FL250531"/>
    <s v="William Davis"/>
    <x v="1"/>
    <s v="28"/>
    <x v="14"/>
    <s v="English"/>
    <s v="Blockchain Development"/>
    <s v="5"/>
    <n v="50"/>
    <n v="0"/>
    <s v="TRUE"/>
    <n v="0.96"/>
  </r>
  <r>
    <s v="FL250532"/>
    <s v="Stacy Bailey"/>
    <x v="0"/>
    <s v="48"/>
    <x v="10"/>
    <s v="Hindi"/>
    <s v="Mobile Apps"/>
    <s v="28"/>
    <n v="20"/>
    <n v="0"/>
    <s v="FALSE"/>
    <n v="0.88"/>
  </r>
  <r>
    <s v="FL250533"/>
    <s v="Thomas Dixon"/>
    <x v="1"/>
    <s v="22"/>
    <x v="10"/>
    <s v="Hindi"/>
    <s v="AI"/>
    <s v="0"/>
    <n v="50"/>
    <n v="4.5999999999999996"/>
    <s v="TRUE"/>
    <n v="0.75"/>
  </r>
  <r>
    <s v="FL250534"/>
    <s v="Maria Hall"/>
    <x v="0"/>
    <s v="41"/>
    <x v="2"/>
    <s v="German"/>
    <s v="Web Development"/>
    <s v="14"/>
    <n v="40"/>
    <n v="1.1000000000000001"/>
    <s v="TRUE"/>
    <n v="0.73"/>
  </r>
  <r>
    <s v="FL250535"/>
    <s v="Tony Lee"/>
    <x v="1"/>
    <s v="38"/>
    <x v="5"/>
    <s v="English"/>
    <s v="Graphic Design"/>
    <s v="15"/>
    <n v="50"/>
    <n v="4.2"/>
    <s v="FALSE"/>
    <n v="0.88"/>
  </r>
  <r>
    <s v="FL250536"/>
    <s v="Catherine Mccoy Md"/>
    <x v="0"/>
    <s v="31"/>
    <x v="17"/>
    <s v="Afrikaans"/>
    <s v="UI/UX Design"/>
    <s v="9"/>
    <n v="50"/>
    <n v="0"/>
    <s v="TRUE"/>
    <n v="0.91"/>
  </r>
  <r>
    <s v="FL250537"/>
    <s v="Maria Benitez"/>
    <x v="0"/>
    <s v="30"/>
    <x v="18"/>
    <s v="Mandarin"/>
    <s v="Mobile Apps"/>
    <s v="9"/>
    <n v="30"/>
    <n v="3.9"/>
    <s v="FALSE"/>
    <n v="0.65"/>
  </r>
  <r>
    <s v="FL250538"/>
    <s v="Joshua Chambers"/>
    <x v="1"/>
    <s v="51"/>
    <x v="19"/>
    <s v="Spanish"/>
    <s v="UI/UX Design"/>
    <s v="22"/>
    <n v="20"/>
    <n v="3.4"/>
    <s v="TRUE"/>
    <n v="0.9"/>
  </r>
  <r>
    <s v="FL250539"/>
    <s v="Janice Daniels"/>
    <x v="0"/>
    <s v="21"/>
    <x v="2"/>
    <s v="German"/>
    <s v="DevOps"/>
    <s v="0"/>
    <n v="20"/>
    <n v="2.6"/>
    <s v="FALSE"/>
    <n v="0.72"/>
  </r>
  <r>
    <s v="FL250540"/>
    <s v="Carla Wood"/>
    <x v="0"/>
    <s v="20"/>
    <x v="0"/>
    <s v="Italian"/>
    <s v="DevOps"/>
    <s v="1"/>
    <n v="40"/>
    <n v="2.2999999999999998"/>
    <s v="TRUE"/>
    <n v="0.72"/>
  </r>
  <r>
    <s v="FL250541"/>
    <s v="Kenneth Vasquez"/>
    <x v="1"/>
    <s v="30"/>
    <x v="9"/>
    <s v="Japanese"/>
    <s v="Blockchain Development"/>
    <s v="5"/>
    <n v="30"/>
    <n v="4.8"/>
    <s v="FALSE"/>
    <n v="0.75"/>
  </r>
  <r>
    <s v="FL250542"/>
    <s v="Kevin Smith"/>
    <x v="1"/>
    <s v="41"/>
    <x v="18"/>
    <s v="Mandarin"/>
    <s v="Data Analysis"/>
    <s v="0"/>
    <n v="40"/>
    <n v="4.5"/>
    <s v="FALSE"/>
    <n v="0.68"/>
  </r>
  <r>
    <s v="FL250543"/>
    <s v="Thomas Kim"/>
    <x v="1"/>
    <s v="22"/>
    <x v="20"/>
    <s v="Spanish"/>
    <s v="Blockchain Development"/>
    <s v="0"/>
    <n v="30"/>
    <n v="0"/>
    <s v="FALSE"/>
    <n v="0.87"/>
  </r>
  <r>
    <s v="FL250544"/>
    <s v="Sean Park"/>
    <x v="1"/>
    <s v="45"/>
    <x v="19"/>
    <s v="Spanish"/>
    <s v="Cybersecurity"/>
    <s v="19"/>
    <n v="75"/>
    <n v="0"/>
    <s v="FALSE"/>
    <n v="0.72"/>
  </r>
  <r>
    <s v="FL250545"/>
    <s v="Judith Poole"/>
    <x v="0"/>
    <s v="22"/>
    <x v="1"/>
    <s v="English"/>
    <s v="Data Analysis"/>
    <s v="2"/>
    <n v="40"/>
    <n v="1.1000000000000001"/>
    <s v="FALSE"/>
    <n v="0.76"/>
  </r>
  <r>
    <s v="FL250546"/>
    <s v="Melanie Baird"/>
    <x v="0"/>
    <s v="20"/>
    <x v="6"/>
    <s v="Turkish"/>
    <s v="Mobile Apps"/>
    <s v="0"/>
    <n v="100"/>
    <n v="0"/>
    <s v="FALSE"/>
    <n v="0.63"/>
  </r>
  <r>
    <s v="FL250547"/>
    <s v="Erika Mitchell"/>
    <x v="0"/>
    <s v="20"/>
    <x v="14"/>
    <s v="English"/>
    <s v="Data Analysis"/>
    <s v="2"/>
    <n v="40"/>
    <n v="2.6"/>
    <s v="TRUE"/>
    <n v="0.91"/>
  </r>
  <r>
    <s v="FL250548"/>
    <s v="Ricky Martinez"/>
    <x v="1"/>
    <s v="21"/>
    <x v="7"/>
    <s v="English"/>
    <s v="AI"/>
    <s v="0"/>
    <n v="100"/>
    <n v="2.6"/>
    <s v="FALSE"/>
    <n v="0.73"/>
  </r>
  <r>
    <s v="FL250549"/>
    <s v="John Christian"/>
    <x v="1"/>
    <s v="22"/>
    <x v="3"/>
    <s v="Dutch"/>
    <s v="Cybersecurity"/>
    <s v="1"/>
    <n v="40"/>
    <n v="0"/>
    <s v="FALSE"/>
    <n v="0.63"/>
  </r>
  <r>
    <s v="FL250550"/>
    <s v="Nancy Smith"/>
    <x v="0"/>
    <s v="28"/>
    <x v="7"/>
    <s v="English"/>
    <s v="DevOps"/>
    <s v="3"/>
    <n v="20"/>
    <n v="2.6"/>
    <s v="TRUE"/>
    <n v="0.79"/>
  </r>
  <r>
    <s v="FL250551"/>
    <s v="Cassandra Stephens"/>
    <x v="0"/>
    <s v="59"/>
    <x v="8"/>
    <s v="Spanish"/>
    <s v="AI"/>
    <s v="Unknown"/>
    <n v="20"/>
    <n v="4.0999999999999996"/>
    <s v="FALSE"/>
    <n v="0.75"/>
  </r>
  <r>
    <s v="FL250552"/>
    <s v="Miss Janet Donovan Md"/>
    <x v="0"/>
    <s v="28"/>
    <x v="15"/>
    <s v="French"/>
    <s v="Web Development"/>
    <s v="1"/>
    <n v="50"/>
    <n v="0"/>
    <s v="FALSE"/>
    <n v="0.7"/>
  </r>
  <r>
    <s v="FL250553"/>
    <s v="Kristina Williams"/>
    <x v="0"/>
    <s v="40"/>
    <x v="1"/>
    <s v="English"/>
    <s v="DevOps"/>
    <s v="0"/>
    <n v="100"/>
    <n v="1.2"/>
    <s v="TRUE"/>
    <n v="0.87"/>
  </r>
  <r>
    <s v="FL250554"/>
    <s v="Wayne Barnes"/>
    <x v="1"/>
    <s v="57"/>
    <x v="0"/>
    <s v="Italian"/>
    <s v="Blockchain Development"/>
    <s v="7"/>
    <n v="30"/>
    <n v="1.6"/>
    <s v="FALSE"/>
    <n v="0.75"/>
  </r>
  <r>
    <s v="FL250555"/>
    <s v="James Hinton"/>
    <x v="1"/>
    <s v="47"/>
    <x v="6"/>
    <s v="Turkish"/>
    <s v="DevOps"/>
    <s v="1"/>
    <n v="50"/>
    <n v="3.9"/>
    <s v="TRUE"/>
    <n v="0.88"/>
  </r>
  <r>
    <s v="FL250556"/>
    <s v="David Spence"/>
    <x v="1"/>
    <s v="48"/>
    <x v="12"/>
    <s v="Korean"/>
    <s v="Cybersecurity"/>
    <s v="21"/>
    <n v="40"/>
    <n v="0"/>
    <s v="TRUE"/>
    <n v="0.75"/>
  </r>
  <r>
    <s v="FL250557"/>
    <s v="Tyler Cooper"/>
    <x v="1"/>
    <s v="28"/>
    <x v="5"/>
    <s v="English"/>
    <s v="UI/UX Design"/>
    <s v="1"/>
    <n v="20"/>
    <n v="4.7"/>
    <s v="TRUE"/>
    <n v="0.93"/>
  </r>
  <r>
    <s v="FL250558"/>
    <s v="Sean Martinez"/>
    <x v="1"/>
    <s v="41"/>
    <x v="6"/>
    <s v="Turkish"/>
    <s v="Graphic Design"/>
    <s v="15"/>
    <n v="50"/>
    <n v="3.8"/>
    <s v="TRUE"/>
    <n v="0.75"/>
  </r>
  <r>
    <s v="FL250559"/>
    <s v="Janet Barron"/>
    <x v="0"/>
    <s v="57"/>
    <x v="17"/>
    <s v="Afrikaans"/>
    <s v="Cybersecurity"/>
    <s v="33"/>
    <n v="100"/>
    <n v="3.5"/>
    <s v="FALSE"/>
    <n v="0.74"/>
  </r>
  <r>
    <s v="FL250560"/>
    <s v="Rodney Wilson"/>
    <x v="1"/>
    <s v="60"/>
    <x v="8"/>
    <s v="Spanish"/>
    <s v="Graphic Design"/>
    <s v="39"/>
    <n v="75"/>
    <n v="4"/>
    <s v="TRUE"/>
    <n v="0.7"/>
  </r>
  <r>
    <s v="FL250561"/>
    <s v="Kimberly Fitzgerald"/>
    <x v="0"/>
    <s v="48"/>
    <x v="16"/>
    <s v="Arabic"/>
    <s v="Graphic Design"/>
    <s v="21"/>
    <n v="30"/>
    <n v="1.6"/>
    <s v="TRUE"/>
    <n v="0.67"/>
  </r>
  <r>
    <s v="FL250562"/>
    <s v="Nicole Davis"/>
    <x v="0"/>
    <s v="24"/>
    <x v="15"/>
    <s v="French"/>
    <s v="Cybersecurity"/>
    <s v="5"/>
    <n v="40"/>
    <n v="3"/>
    <s v="FALSE"/>
    <n v="0.86"/>
  </r>
  <r>
    <s v="FL250563"/>
    <s v="Elizabeth Hayes"/>
    <x v="0"/>
    <s v="33"/>
    <x v="19"/>
    <s v="Spanish"/>
    <s v="DevOps"/>
    <s v="11"/>
    <n v="50"/>
    <n v="5"/>
    <s v="TRUE"/>
    <n v="0.69"/>
  </r>
  <r>
    <s v="FL250564"/>
    <s v="Kathy Faulkner"/>
    <x v="0"/>
    <s v="20"/>
    <x v="6"/>
    <s v="Turkish"/>
    <s v="Graphic Design"/>
    <s v="0"/>
    <n v="30"/>
    <n v="4.8"/>
    <s v="TRUE"/>
    <n v="0.68"/>
  </r>
  <r>
    <s v="FL250565"/>
    <s v="John Gonzales"/>
    <x v="1"/>
    <s v="59"/>
    <x v="7"/>
    <s v="English"/>
    <s v="DevOps"/>
    <s v="15"/>
    <n v="50"/>
    <n v="2.6"/>
    <s v="FALSE"/>
    <n v="0.75"/>
  </r>
  <r>
    <s v="FL250566"/>
    <s v="Shannon Luna"/>
    <x v="0"/>
    <s v="42"/>
    <x v="18"/>
    <s v="Mandarin"/>
    <s v="DevOps"/>
    <s v="22"/>
    <n v="50"/>
    <n v="2.9"/>
    <s v="FALSE"/>
    <n v="0.61"/>
  </r>
  <r>
    <s v="FL250567"/>
    <s v="Stephanie Burton"/>
    <x v="0"/>
    <s v="22"/>
    <x v="6"/>
    <s v="Turkish"/>
    <s v="UI/UX Design"/>
    <s v="3"/>
    <n v="50"/>
    <n v="3"/>
    <s v="TRUE"/>
    <n v="0.96"/>
  </r>
  <r>
    <s v="FL250568"/>
    <s v="Kevin Gonzales"/>
    <x v="1"/>
    <s v="41"/>
    <x v="14"/>
    <s v="English"/>
    <s v="Cybersecurity"/>
    <s v="11"/>
    <n v="50"/>
    <n v="3.5"/>
    <s v="TRUE"/>
    <n v="0.68"/>
  </r>
  <r>
    <s v="FL250569"/>
    <s v="Dawn Hardy"/>
    <x v="0"/>
    <s v="25"/>
    <x v="8"/>
    <s v="Spanish"/>
    <s v="Web Development"/>
    <s v="5"/>
    <n v="40"/>
    <n v="2.6"/>
    <s v="TRUE"/>
    <n v="0.75"/>
  </r>
  <r>
    <s v="FL250570"/>
    <s v="Margaret Perkins"/>
    <x v="0"/>
    <s v="38"/>
    <x v="14"/>
    <s v="English"/>
    <s v="UI/UX Design"/>
    <s v="3"/>
    <n v="40"/>
    <n v="4.7"/>
    <s v="FALSE"/>
    <n v="0.69"/>
  </r>
  <r>
    <s v="FL250571"/>
    <s v="Amanda Vargas"/>
    <x v="0"/>
    <s v="43"/>
    <x v="5"/>
    <s v="English"/>
    <s v="DevOps"/>
    <s v="1"/>
    <n v="50"/>
    <n v="2.9"/>
    <s v="FALSE"/>
    <n v="0.78"/>
  </r>
  <r>
    <s v="FL250572"/>
    <s v="Tonya Gonzalez"/>
    <x v="0"/>
    <s v="54"/>
    <x v="19"/>
    <s v="Spanish"/>
    <s v="AI"/>
    <s v="1"/>
    <n v="75"/>
    <n v="4.4000000000000004"/>
    <s v="TRUE"/>
    <n v="0.75"/>
  </r>
  <r>
    <s v="FL250573"/>
    <s v="Elizabeth Bowman"/>
    <x v="0"/>
    <s v="31"/>
    <x v="4"/>
    <s v="Indonesian"/>
    <s v="Mobile Apps"/>
    <s v="2"/>
    <n v="40"/>
    <n v="2.2999999999999998"/>
    <s v="FALSE"/>
    <n v="0.98"/>
  </r>
  <r>
    <s v="FL250574"/>
    <s v="Ariana Pittman"/>
    <x v="0"/>
    <s v="56"/>
    <x v="19"/>
    <s v="Spanish"/>
    <s v="AI"/>
    <s v="3"/>
    <n v="30"/>
    <n v="3.7"/>
    <s v="TRUE"/>
    <n v="0.83"/>
  </r>
  <r>
    <s v="FL250575"/>
    <s v="Antonio Johnson"/>
    <x v="1"/>
    <s v="46"/>
    <x v="19"/>
    <s v="Spanish"/>
    <s v="Graphic Design"/>
    <s v="11"/>
    <n v="50"/>
    <n v="1.8"/>
    <s v="TRUE"/>
    <n v="0.91"/>
  </r>
  <r>
    <s v="FL250576"/>
    <s v="Justin Lang"/>
    <x v="1"/>
    <s v="60"/>
    <x v="16"/>
    <s v="Arabic"/>
    <s v="AI"/>
    <s v="Unknown"/>
    <n v="100"/>
    <n v="0"/>
    <s v="TRUE"/>
    <n v="0.96"/>
  </r>
  <r>
    <s v="FL250577"/>
    <s v="Kelli Ramirez"/>
    <x v="0"/>
    <s v="28"/>
    <x v="12"/>
    <s v="Korean"/>
    <s v="Graphic Design"/>
    <s v="2"/>
    <n v="50"/>
    <n v="2.6"/>
    <s v="TRUE"/>
    <n v="0.85"/>
  </r>
  <r>
    <s v="FL250578"/>
    <s v="Deborah Torres"/>
    <x v="0"/>
    <s v="43"/>
    <x v="4"/>
    <s v="Indonesian"/>
    <s v="Web Development"/>
    <s v="20"/>
    <n v="30"/>
    <n v="2.7"/>
    <s v="TRUE"/>
    <n v="0.72"/>
  </r>
  <r>
    <s v="FL250579"/>
    <s v="Joseph Horn"/>
    <x v="1"/>
    <s v="41"/>
    <x v="15"/>
    <s v="French"/>
    <s v="Web Development"/>
    <s v="11"/>
    <n v="20"/>
    <n v="4.7"/>
    <s v="TRUE"/>
    <n v="0.69"/>
  </r>
  <r>
    <s v="FL250580"/>
    <s v="Christopher Robinson"/>
    <x v="1"/>
    <s v="41"/>
    <x v="7"/>
    <s v="English"/>
    <s v="DevOps"/>
    <s v="0"/>
    <n v="20"/>
    <n v="3.1"/>
    <s v="FALSE"/>
    <n v="0.9"/>
  </r>
  <r>
    <s v="FL250581"/>
    <s v="Sandra Mccormick"/>
    <x v="0"/>
    <s v="40"/>
    <x v="7"/>
    <s v="English"/>
    <s v="Mobile Apps"/>
    <s v="20"/>
    <n v="20"/>
    <n v="2.2999999999999998"/>
    <s v="FALSE"/>
    <n v="0.92"/>
  </r>
  <r>
    <s v="FL250582"/>
    <s v="Michael Holland"/>
    <x v="1"/>
    <s v="45"/>
    <x v="2"/>
    <s v="German"/>
    <s v="DevOps"/>
    <s v="3"/>
    <n v="20"/>
    <n v="1.3"/>
    <s v="TRUE"/>
    <n v="0.91"/>
  </r>
  <r>
    <s v="FL250583"/>
    <s v="Kenneth Stevenson"/>
    <x v="1"/>
    <s v="47"/>
    <x v="16"/>
    <s v="Arabic"/>
    <s v="DevOps"/>
    <s v="28"/>
    <n v="50"/>
    <n v="2.9"/>
    <s v="TRUE"/>
    <n v="0.75"/>
  </r>
  <r>
    <s v="FL250584"/>
    <s v="Timothy Bennett"/>
    <x v="1"/>
    <s v="34"/>
    <x v="10"/>
    <s v="Hindi"/>
    <s v="Data Analysis"/>
    <s v="0"/>
    <n v="40"/>
    <n v="3.3"/>
    <s v="FALSE"/>
    <n v="0.98"/>
  </r>
  <r>
    <s v="FL250585"/>
    <s v="Gregory Randall"/>
    <x v="1"/>
    <s v="47"/>
    <x v="5"/>
    <s v="English"/>
    <s v="UI/UX Design"/>
    <s v="4"/>
    <n v="20"/>
    <n v="4.2"/>
    <s v="TRUE"/>
    <n v="0.82"/>
  </r>
  <r>
    <s v="FL250586"/>
    <s v="Charles Martinez"/>
    <x v="1"/>
    <s v="32"/>
    <x v="19"/>
    <s v="Spanish"/>
    <s v="UI/UX Design"/>
    <s v="9"/>
    <n v="40"/>
    <n v="1.3"/>
    <s v="TRUE"/>
    <n v="0.83"/>
  </r>
  <r>
    <s v="FL250587"/>
    <s v="James Hall"/>
    <x v="1"/>
    <s v="28"/>
    <x v="7"/>
    <s v="English"/>
    <s v="Mobile Apps"/>
    <s v="2"/>
    <n v="100"/>
    <n v="4.4000000000000004"/>
    <s v="TRUE"/>
    <n v="0.75"/>
  </r>
  <r>
    <s v="FL250588"/>
    <s v="Michael Garcia"/>
    <x v="1"/>
    <s v="32"/>
    <x v="1"/>
    <s v="English"/>
    <s v="DevOps"/>
    <s v="1"/>
    <n v="100"/>
    <n v="3.4"/>
    <s v="TRUE"/>
    <n v="0.75"/>
  </r>
  <r>
    <s v="FL250589"/>
    <s v="Michele Duran"/>
    <x v="0"/>
    <s v="49"/>
    <x v="3"/>
    <s v="Dutch"/>
    <s v="AI"/>
    <s v="2"/>
    <n v="100"/>
    <n v="3.4"/>
    <s v="TRUE"/>
    <n v="0.85"/>
  </r>
  <r>
    <s v="FL250590"/>
    <s v="Jessica Gray"/>
    <x v="0"/>
    <s v="36"/>
    <x v="8"/>
    <s v="Spanish"/>
    <s v="Mobile Apps"/>
    <s v="16"/>
    <n v="20"/>
    <n v="3.2"/>
    <s v="TRUE"/>
    <n v="0.75"/>
  </r>
  <r>
    <s v="FL250591"/>
    <s v="Keith Shaffer"/>
    <x v="1"/>
    <s v="59"/>
    <x v="19"/>
    <s v="Spanish"/>
    <s v="Blockchain Development"/>
    <s v="22"/>
    <n v="20"/>
    <n v="3.6"/>
    <s v="FALSE"/>
    <n v="0.63"/>
  </r>
  <r>
    <s v="FL250592"/>
    <s v="Jessica Decker"/>
    <x v="0"/>
    <s v="52"/>
    <x v="14"/>
    <s v="English"/>
    <s v="Cybersecurity"/>
    <s v="22"/>
    <n v="20"/>
    <n v="0"/>
    <s v="FALSE"/>
    <n v="0.75"/>
  </r>
  <r>
    <s v="FL250593"/>
    <s v="Brianna Pittman"/>
    <x v="0"/>
    <s v="24"/>
    <x v="18"/>
    <s v="Mandarin"/>
    <s v="Blockchain Development"/>
    <s v="5"/>
    <n v="40"/>
    <n v="1.8"/>
    <s v="TRUE"/>
    <n v="0.86"/>
  </r>
  <r>
    <s v="FL250594"/>
    <s v="Kimberly Hunter"/>
    <x v="0"/>
    <s v="26"/>
    <x v="1"/>
    <s v="English"/>
    <s v="Graphic Design"/>
    <s v="2"/>
    <n v="75"/>
    <n v="2.5"/>
    <s v="TRUE"/>
    <n v="0.6"/>
  </r>
  <r>
    <s v="FL250595"/>
    <s v="Daniel Martin"/>
    <x v="1"/>
    <s v="55"/>
    <x v="14"/>
    <s v="English"/>
    <s v="Cybersecurity"/>
    <s v="24"/>
    <n v="40"/>
    <n v="2"/>
    <s v="TRUE"/>
    <n v="0.88"/>
  </r>
  <r>
    <s v="FL250596"/>
    <s v="Rachel Smith"/>
    <x v="0"/>
    <s v="56"/>
    <x v="0"/>
    <s v="Italian"/>
    <s v="Mobile Apps"/>
    <s v="37"/>
    <n v="40"/>
    <n v="0"/>
    <s v="FALSE"/>
    <n v="0.7"/>
  </r>
  <r>
    <s v="FL250597"/>
    <s v="Michael Miller"/>
    <x v="1"/>
    <s v="36"/>
    <x v="15"/>
    <s v="French"/>
    <s v="Graphic Design"/>
    <s v="3"/>
    <n v="50"/>
    <n v="1.3"/>
    <s v="TRUE"/>
    <n v="0.77"/>
  </r>
  <r>
    <s v="FL250598"/>
    <s v="Willie Clark"/>
    <x v="1"/>
    <s v="48"/>
    <x v="8"/>
    <s v="Spanish"/>
    <s v="Web Development"/>
    <s v="18"/>
    <n v="75"/>
    <n v="0"/>
    <s v="FALSE"/>
    <n v="0.8"/>
  </r>
  <r>
    <s v="FL250599"/>
    <s v="Jeremy Hernandez"/>
    <x v="1"/>
    <s v="55"/>
    <x v="16"/>
    <s v="Arabic"/>
    <s v="Machine Learning"/>
    <s v="6"/>
    <n v="40"/>
    <n v="3.6"/>
    <s v="TRUE"/>
    <n v="0.75"/>
  </r>
  <r>
    <s v="FL250600"/>
    <s v="Tina Shelton"/>
    <x v="0"/>
    <s v="56"/>
    <x v="20"/>
    <s v="Spanish"/>
    <s v="DevOps"/>
    <s v="17"/>
    <n v="50"/>
    <n v="1.3"/>
    <s v="TRUE"/>
    <n v="0.87"/>
  </r>
  <r>
    <s v="FL250601"/>
    <s v="Dr. Pamela Larson"/>
    <x v="0"/>
    <s v="28"/>
    <x v="14"/>
    <s v="English"/>
    <s v="Blockchain Development"/>
    <s v="1"/>
    <n v="75"/>
    <n v="2.7"/>
    <s v="TRUE"/>
    <n v="0.93"/>
  </r>
  <r>
    <s v="FL250602"/>
    <s v="Ryan Ewing"/>
    <x v="1"/>
    <s v="60"/>
    <x v="5"/>
    <s v="English"/>
    <s v="AI"/>
    <s v="39"/>
    <n v="100"/>
    <n v="1.5"/>
    <s v="TRUE"/>
    <n v="0.88"/>
  </r>
  <r>
    <s v="FL250603"/>
    <s v="Mark Cochran"/>
    <x v="1"/>
    <s v="34"/>
    <x v="12"/>
    <s v="Korean"/>
    <s v="Blockchain Development"/>
    <s v="15"/>
    <n v="20"/>
    <n v="0"/>
    <s v="FALSE"/>
    <n v="1"/>
  </r>
  <r>
    <s v="FL250604"/>
    <s v="Martha Carson"/>
    <x v="0"/>
    <s v="38"/>
    <x v="4"/>
    <s v="Indonesian"/>
    <s v="AI"/>
    <s v="13"/>
    <n v="40"/>
    <n v="0"/>
    <s v="TRUE"/>
    <n v="0.61"/>
  </r>
  <r>
    <s v="FL250605"/>
    <s v="Heather Jackson"/>
    <x v="0"/>
    <s v="51"/>
    <x v="12"/>
    <s v="Korean"/>
    <s v="Web Development"/>
    <s v="17"/>
    <n v="100"/>
    <n v="3"/>
    <s v="TRUE"/>
    <n v="0.79"/>
  </r>
  <r>
    <s v="FL250606"/>
    <s v="Megan Young"/>
    <x v="0"/>
    <s v="21"/>
    <x v="9"/>
    <s v="Japanese"/>
    <s v="Mobile Apps"/>
    <s v="1"/>
    <n v="30"/>
    <n v="1.2"/>
    <s v="TRUE"/>
    <n v="0.73"/>
  </r>
  <r>
    <s v="FL250607"/>
    <s v="Thomas Davis"/>
    <x v="1"/>
    <s v="35"/>
    <x v="0"/>
    <s v="Italian"/>
    <s v="UI/UX Design"/>
    <s v="16"/>
    <n v="50"/>
    <n v="1.3"/>
    <s v="TRUE"/>
    <n v="0.64"/>
  </r>
  <r>
    <s v="FL250608"/>
    <s v="Thomas Mooney"/>
    <x v="1"/>
    <s v="27"/>
    <x v="11"/>
    <s v="Portuguese"/>
    <s v="Web Development"/>
    <s v="9"/>
    <n v="100"/>
    <n v="2.6"/>
    <s v="TRUE"/>
    <n v="0.75"/>
  </r>
  <r>
    <s v="FL250609"/>
    <s v="Susan Smith"/>
    <x v="0"/>
    <s v="42"/>
    <x v="6"/>
    <s v="Turkish"/>
    <s v="Mobile Apps"/>
    <s v="20"/>
    <n v="50"/>
    <n v="3.8"/>
    <s v="FALSE"/>
    <n v="0.93"/>
  </r>
  <r>
    <s v="FL250610"/>
    <s v="Brianna Orr"/>
    <x v="0"/>
    <s v="52"/>
    <x v="14"/>
    <s v="English"/>
    <s v="Blockchain Development"/>
    <s v="29"/>
    <n v="30"/>
    <n v="3.8"/>
    <s v="FALSE"/>
    <n v="0.68"/>
  </r>
  <r>
    <s v="FL250611"/>
    <s v="Dustin Smith"/>
    <x v="1"/>
    <s v="53"/>
    <x v="12"/>
    <s v="Korean"/>
    <s v="Web Development"/>
    <s v="21"/>
    <n v="40"/>
    <n v="4.7"/>
    <s v="TRUE"/>
    <n v="0.62"/>
  </r>
  <r>
    <s v="FL250612"/>
    <s v="Sarah White"/>
    <x v="0"/>
    <s v="54"/>
    <x v="0"/>
    <s v="Italian"/>
    <s v="Mobile Apps"/>
    <s v="28"/>
    <n v="40"/>
    <n v="1.1000000000000001"/>
    <s v="FALSE"/>
    <n v="0.75"/>
  </r>
  <r>
    <s v="FL250613"/>
    <s v="Michael Davis"/>
    <x v="1"/>
    <s v="51"/>
    <x v="9"/>
    <s v="Japanese"/>
    <s v="Graphic Design"/>
    <s v="5"/>
    <n v="50"/>
    <n v="4.2"/>
    <s v="TRUE"/>
    <n v="0.82"/>
  </r>
  <r>
    <s v="FL250614"/>
    <s v="Jennifer Phillips"/>
    <x v="0"/>
    <s v="30"/>
    <x v="12"/>
    <s v="Korean"/>
    <s v="Web Development"/>
    <s v="0"/>
    <n v="50"/>
    <n v="0"/>
    <s v="FALSE"/>
    <n v="0.75"/>
  </r>
  <r>
    <s v="FL250615"/>
    <s v="Dana Sanders"/>
    <x v="0"/>
    <s v="45"/>
    <x v="3"/>
    <s v="Dutch"/>
    <s v="Machine Learning"/>
    <s v="27"/>
    <n v="75"/>
    <n v="0"/>
    <s v="TRUE"/>
    <n v="0.85"/>
  </r>
  <r>
    <s v="FL250616"/>
    <s v="Daniel Quinn"/>
    <x v="1"/>
    <s v="57"/>
    <x v="4"/>
    <s v="Indonesian"/>
    <s v="Graphic Design"/>
    <s v="26"/>
    <n v="100"/>
    <n v="2.4"/>
    <s v="TRUE"/>
    <n v="0.78"/>
  </r>
  <r>
    <s v="FL250617"/>
    <s v="Matthew Steele"/>
    <x v="1"/>
    <s v="38"/>
    <x v="6"/>
    <s v="Turkish"/>
    <s v="Blockchain Development"/>
    <s v="19"/>
    <n v="40"/>
    <n v="0"/>
    <s v="TRUE"/>
    <n v="0.86"/>
  </r>
  <r>
    <s v="FL250618"/>
    <s v="Michele Taylor"/>
    <x v="0"/>
    <s v="42"/>
    <x v="13"/>
    <s v="Russian"/>
    <s v="DevOps"/>
    <s v="24"/>
    <n v="40"/>
    <n v="2.6"/>
    <s v="TRUE"/>
    <n v="0.88"/>
  </r>
  <r>
    <s v="FL250619"/>
    <s v="Ashley Hammond"/>
    <x v="0"/>
    <s v="30"/>
    <x v="17"/>
    <s v="Afrikaans"/>
    <s v="DevOps"/>
    <s v="7"/>
    <n v="30"/>
    <n v="3.3"/>
    <s v="TRUE"/>
    <n v="0.68"/>
  </r>
  <r>
    <s v="FL250620"/>
    <s v="Nicole Taylor"/>
    <x v="0"/>
    <s v="43"/>
    <x v="1"/>
    <s v="English"/>
    <s v="Web Development"/>
    <s v="13"/>
    <n v="100"/>
    <n v="1.4"/>
    <s v="TRUE"/>
    <n v="0.97"/>
  </r>
  <r>
    <s v="FL250621"/>
    <s v="Casey Bush"/>
    <x v="1"/>
    <s v="22"/>
    <x v="16"/>
    <s v="Arabic"/>
    <s v="UI/UX Design"/>
    <s v="2"/>
    <n v="75"/>
    <n v="1.7"/>
    <s v="FALSE"/>
    <n v="0.91"/>
  </r>
  <r>
    <s v="FL250622"/>
    <s v="Samuel Patterson"/>
    <x v="1"/>
    <s v="57"/>
    <x v="19"/>
    <s v="Spanish"/>
    <s v="Machine Learning"/>
    <s v="37"/>
    <n v="30"/>
    <n v="4.8"/>
    <s v="TRUE"/>
    <n v="0.75"/>
  </r>
  <r>
    <s v="FL250623"/>
    <s v="Craig Dennis"/>
    <x v="1"/>
    <s v="44"/>
    <x v="7"/>
    <s v="English"/>
    <s v="Graphic Design"/>
    <s v="1"/>
    <n v="50"/>
    <n v="4.8"/>
    <s v="FALSE"/>
    <n v="0.97"/>
  </r>
  <r>
    <s v="FL250624"/>
    <s v="Heidi Dixon"/>
    <x v="0"/>
    <s v="46"/>
    <x v="18"/>
    <s v="Mandarin"/>
    <s v="DevOps"/>
    <s v="5"/>
    <n v="30"/>
    <n v="2"/>
    <s v="TRUE"/>
    <n v="0.64"/>
  </r>
  <r>
    <s v="FL250625"/>
    <s v="David Bishop"/>
    <x v="1"/>
    <s v="Unknown"/>
    <x v="20"/>
    <s v="Spanish"/>
    <s v="Blockchain Development"/>
    <s v="1"/>
    <n v="50"/>
    <n v="2.8"/>
    <s v="FALSE"/>
    <n v="0.87"/>
  </r>
  <r>
    <s v="FL250626"/>
    <s v="Laura Butler"/>
    <x v="0"/>
    <s v="34"/>
    <x v="1"/>
    <s v="English"/>
    <s v="Data Analysis"/>
    <s v="2"/>
    <n v="100"/>
    <n v="0"/>
    <s v="FALSE"/>
    <n v="0.86"/>
  </r>
  <r>
    <s v="FL250627"/>
    <s v="Denise Erickson"/>
    <x v="0"/>
    <s v="46"/>
    <x v="0"/>
    <s v="Italian"/>
    <s v="Mobile Apps"/>
    <s v="Unknown"/>
    <n v="100"/>
    <n v="4.4000000000000004"/>
    <s v="TRUE"/>
    <n v="0.97"/>
  </r>
  <r>
    <s v="FL250628"/>
    <s v="Nicole Austin"/>
    <x v="0"/>
    <s v="22"/>
    <x v="15"/>
    <s v="French"/>
    <s v="Blockchain Development"/>
    <s v="0"/>
    <n v="30"/>
    <n v="4.9000000000000004"/>
    <s v="TRUE"/>
    <n v="0.73"/>
  </r>
  <r>
    <s v="FL250629"/>
    <s v="Summer Williams"/>
    <x v="0"/>
    <s v="23"/>
    <x v="17"/>
    <s v="Afrikaans"/>
    <s v="AI"/>
    <s v="0"/>
    <n v="75"/>
    <n v="2.2999999999999998"/>
    <s v="TRUE"/>
    <n v="0.6"/>
  </r>
  <r>
    <s v="FL250630"/>
    <s v="Angela Blackwell"/>
    <x v="0"/>
    <s v="60"/>
    <x v="6"/>
    <s v="Turkish"/>
    <s v="Web Development"/>
    <s v="41"/>
    <n v="40"/>
    <n v="4.9000000000000004"/>
    <s v="TRUE"/>
    <n v="0.66"/>
  </r>
  <r>
    <s v="FL250631"/>
    <s v="Thomas Wall"/>
    <x v="1"/>
    <s v="20"/>
    <x v="14"/>
    <s v="English"/>
    <s v="DevOps"/>
    <s v="Unknown"/>
    <n v="75"/>
    <n v="4.3"/>
    <s v="FALSE"/>
    <n v="0.9"/>
  </r>
  <r>
    <s v="FL250632"/>
    <s v="Sarah Anderson"/>
    <x v="0"/>
    <s v="41"/>
    <x v="12"/>
    <s v="Korean"/>
    <s v="UI/UX Design"/>
    <s v="23"/>
    <n v="75"/>
    <n v="1.4"/>
    <s v="FALSE"/>
    <n v="0.75"/>
  </r>
  <r>
    <s v="FL250633"/>
    <s v="Christian Lane"/>
    <x v="1"/>
    <s v="24"/>
    <x v="15"/>
    <s v="French"/>
    <s v="Mobile Apps"/>
    <s v="0"/>
    <n v="100"/>
    <n v="2.6"/>
    <s v="FALSE"/>
    <n v="0.75"/>
  </r>
  <r>
    <s v="FL250634"/>
    <s v="Todd Casey"/>
    <x v="1"/>
    <s v="44"/>
    <x v="3"/>
    <s v="Dutch"/>
    <s v="Machine Learning"/>
    <s v="4"/>
    <n v="50"/>
    <n v="1.3"/>
    <s v="TRUE"/>
    <n v="0.77"/>
  </r>
  <r>
    <s v="FL250635"/>
    <s v="David Martinez"/>
    <x v="1"/>
    <s v="52"/>
    <x v="18"/>
    <s v="Mandarin"/>
    <s v="UI/UX Design"/>
    <s v="4"/>
    <n v="75"/>
    <n v="2.2999999999999998"/>
    <s v="TRUE"/>
    <n v="0.79"/>
  </r>
  <r>
    <s v="FL250636"/>
    <s v="Donald Salas"/>
    <x v="1"/>
    <s v="35"/>
    <x v="20"/>
    <s v="Spanish"/>
    <s v="Machine Learning"/>
    <s v="13"/>
    <n v="40"/>
    <n v="3.6"/>
    <s v="FALSE"/>
    <n v="0.83"/>
  </r>
  <r>
    <s v="FL250637"/>
    <s v="Emma Hicks"/>
    <x v="0"/>
    <s v="24"/>
    <x v="3"/>
    <s v="Dutch"/>
    <s v="DevOps"/>
    <s v="2"/>
    <n v="50"/>
    <n v="2.6"/>
    <s v="FALSE"/>
    <n v="0.64"/>
  </r>
  <r>
    <s v="FL250638"/>
    <s v="Alison Clark"/>
    <x v="0"/>
    <s v="46"/>
    <x v="1"/>
    <s v="English"/>
    <s v="Cybersecurity"/>
    <s v="25"/>
    <n v="100"/>
    <n v="1.3"/>
    <s v="FALSE"/>
    <n v="0.8"/>
  </r>
  <r>
    <s v="FL250639"/>
    <s v="Andrew Barnes"/>
    <x v="1"/>
    <s v="57"/>
    <x v="19"/>
    <s v="Spanish"/>
    <s v="Mobile Apps"/>
    <s v="18"/>
    <n v="30"/>
    <n v="1.1000000000000001"/>
    <s v="TRUE"/>
    <n v="0.9"/>
  </r>
  <r>
    <s v="FL250640"/>
    <s v="Gina Snyder"/>
    <x v="0"/>
    <s v="49"/>
    <x v="19"/>
    <s v="Spanish"/>
    <s v="Web Development"/>
    <s v="24"/>
    <n v="50"/>
    <n v="0"/>
    <s v="FALSE"/>
    <n v="0.94"/>
  </r>
  <r>
    <s v="FL250641"/>
    <s v="David Watson"/>
    <x v="1"/>
    <s v="41"/>
    <x v="9"/>
    <s v="Japanese"/>
    <s v="AI"/>
    <s v="7"/>
    <n v="40"/>
    <n v="1.8"/>
    <s v="TRUE"/>
    <n v="0.7"/>
  </r>
  <r>
    <s v="FL250642"/>
    <s v="John Davis"/>
    <x v="1"/>
    <s v="22"/>
    <x v="19"/>
    <s v="Spanish"/>
    <s v="Machine Learning"/>
    <s v="1"/>
    <n v="20"/>
    <n v="2.6"/>
    <s v="TRUE"/>
    <n v="0.75"/>
  </r>
  <r>
    <s v="FL250643"/>
    <s v="Joseph Thomas"/>
    <x v="1"/>
    <s v="50"/>
    <x v="1"/>
    <s v="English"/>
    <s v="Blockchain Development"/>
    <s v="17"/>
    <n v="75"/>
    <n v="3.3"/>
    <s v="TRUE"/>
    <n v="0.69"/>
  </r>
  <r>
    <s v="FL250644"/>
    <s v="Dean Finley"/>
    <x v="1"/>
    <s v="57"/>
    <x v="2"/>
    <s v="German"/>
    <s v="Graphic Design"/>
    <s v="4"/>
    <n v="30"/>
    <n v="4.2"/>
    <s v="FALSE"/>
    <n v="0.75"/>
  </r>
  <r>
    <s v="FL250645"/>
    <s v="Ashley Kemp"/>
    <x v="0"/>
    <s v="47"/>
    <x v="19"/>
    <s v="Spanish"/>
    <s v="AI"/>
    <s v="29"/>
    <n v="50"/>
    <n v="2.6"/>
    <s v="TRUE"/>
    <n v="0.79"/>
  </r>
  <r>
    <s v="FL250646"/>
    <s v="Kenneth Evans"/>
    <x v="1"/>
    <s v="24"/>
    <x v="17"/>
    <s v="Afrikaans"/>
    <s v="Data Analysis"/>
    <s v="2"/>
    <n v="100"/>
    <n v="3.8"/>
    <s v="TRUE"/>
    <n v="0.71"/>
  </r>
  <r>
    <s v="FL250647"/>
    <s v="Brandon Newman"/>
    <x v="1"/>
    <s v="Unknown"/>
    <x v="10"/>
    <s v="Hindi"/>
    <s v="Cybersecurity"/>
    <s v="9"/>
    <n v="100"/>
    <n v="4.8"/>
    <s v="TRUE"/>
    <n v="0.72"/>
  </r>
  <r>
    <s v="FL250648"/>
    <s v="Katie Hensley"/>
    <x v="0"/>
    <s v="50"/>
    <x v="2"/>
    <s v="German"/>
    <s v="DevOps"/>
    <s v="10"/>
    <n v="100"/>
    <n v="4.3"/>
    <s v="FALSE"/>
    <n v="0.93"/>
  </r>
  <r>
    <s v="FL250649"/>
    <s v="Joel Randolph"/>
    <x v="1"/>
    <s v="46"/>
    <x v="11"/>
    <s v="Portuguese"/>
    <s v="Machine Learning"/>
    <s v="20"/>
    <n v="50"/>
    <n v="4.8"/>
    <s v="TRUE"/>
    <n v="0.82"/>
  </r>
  <r>
    <s v="FL250650"/>
    <s v="Andrew Scott"/>
    <x v="1"/>
    <s v="51"/>
    <x v="1"/>
    <s v="English"/>
    <s v="Cybersecurity"/>
    <s v="9"/>
    <n v="40"/>
    <n v="2.6"/>
    <s v="FALSE"/>
    <n v="0.6"/>
  </r>
  <r>
    <s v="FL250651"/>
    <s v="Zachary Ochoa"/>
    <x v="1"/>
    <s v="51"/>
    <x v="7"/>
    <s v="English"/>
    <s v="AI"/>
    <s v="12"/>
    <n v="20"/>
    <n v="4"/>
    <s v="FALSE"/>
    <n v="0.93"/>
  </r>
  <r>
    <s v="FL250652"/>
    <s v="John Arroyo"/>
    <x v="1"/>
    <s v="27"/>
    <x v="7"/>
    <s v="English"/>
    <s v="AI"/>
    <s v="3"/>
    <n v="50"/>
    <n v="2.6"/>
    <s v="TRUE"/>
    <n v="0.75"/>
  </r>
  <r>
    <s v="FL250653"/>
    <s v="Matthew Fernandez"/>
    <x v="1"/>
    <s v="42"/>
    <x v="20"/>
    <s v="Spanish"/>
    <s v="Web Development"/>
    <s v="13"/>
    <n v="30"/>
    <n v="0"/>
    <s v="TRUE"/>
    <n v="0.74"/>
  </r>
  <r>
    <s v="FL250654"/>
    <s v="Benjamin Stark"/>
    <x v="1"/>
    <s v="25"/>
    <x v="2"/>
    <s v="German"/>
    <s v="UI/UX Design"/>
    <s v="4"/>
    <n v="40"/>
    <n v="2.2999999999999998"/>
    <s v="TRUE"/>
    <n v="0.73"/>
  </r>
  <r>
    <s v="FL250655"/>
    <s v="Tammy Greer"/>
    <x v="0"/>
    <s v="32"/>
    <x v="2"/>
    <s v="German"/>
    <s v="Data Analysis"/>
    <s v="9"/>
    <n v="75"/>
    <n v="2.6"/>
    <s v="FALSE"/>
    <n v="0.96"/>
  </r>
  <r>
    <s v="FL250656"/>
    <s v="Cynthia Mckinney"/>
    <x v="0"/>
    <s v="59"/>
    <x v="14"/>
    <s v="English"/>
    <s v="Graphic Design"/>
    <s v="14"/>
    <n v="30"/>
    <n v="3.8"/>
    <s v="TRUE"/>
    <n v="0.66"/>
  </r>
  <r>
    <s v="FL250657"/>
    <s v="Wendy Rice"/>
    <x v="0"/>
    <s v="59"/>
    <x v="15"/>
    <s v="French"/>
    <s v="Cybersecurity"/>
    <s v="37"/>
    <n v="30"/>
    <n v="4"/>
    <s v="TRUE"/>
    <n v="0.62"/>
  </r>
  <r>
    <s v="FL250658"/>
    <s v="Randy Bender"/>
    <x v="1"/>
    <s v="29"/>
    <x v="2"/>
    <s v="German"/>
    <s v="Graphic Design"/>
    <s v="2"/>
    <n v="75"/>
    <n v="2.2000000000000002"/>
    <s v="TRUE"/>
    <n v="0.85"/>
  </r>
  <r>
    <s v="FL250659"/>
    <s v="Richard Dominguez"/>
    <x v="1"/>
    <s v="58"/>
    <x v="18"/>
    <s v="Mandarin"/>
    <s v="AI"/>
    <s v="11"/>
    <n v="100"/>
    <n v="4.3"/>
    <s v="FALSE"/>
    <n v="0.66"/>
  </r>
  <r>
    <s v="FL250660"/>
    <s v="Melissa Maldonado"/>
    <x v="0"/>
    <s v="56"/>
    <x v="14"/>
    <s v="English"/>
    <s v="Cybersecurity"/>
    <s v="19"/>
    <n v="20"/>
    <n v="0"/>
    <s v="FALSE"/>
    <n v="0.87"/>
  </r>
  <r>
    <s v="FL250661"/>
    <s v="Leah Harris"/>
    <x v="0"/>
    <s v="36"/>
    <x v="5"/>
    <s v="English"/>
    <s v="Machine Learning"/>
    <s v="9"/>
    <n v="20"/>
    <n v="0"/>
    <s v="TRUE"/>
    <n v="0.68"/>
  </r>
  <r>
    <s v="FL250662"/>
    <s v="Lynn French"/>
    <x v="0"/>
    <s v="52"/>
    <x v="14"/>
    <s v="English"/>
    <s v="UI/UX Design"/>
    <s v="16"/>
    <n v="100"/>
    <n v="4"/>
    <s v="TRUE"/>
    <n v="0.75"/>
  </r>
  <r>
    <s v="FL250663"/>
    <s v="Angela Johnson"/>
    <x v="0"/>
    <s v="42"/>
    <x v="3"/>
    <s v="Dutch"/>
    <s v="Mobile Apps"/>
    <s v="8"/>
    <n v="50"/>
    <n v="2.6"/>
    <s v="TRUE"/>
    <n v="0.75"/>
  </r>
  <r>
    <s v="FL250664"/>
    <s v="Sarah Edwards"/>
    <x v="0"/>
    <s v="59"/>
    <x v="10"/>
    <s v="Hindi"/>
    <s v="Mobile Apps"/>
    <s v="34"/>
    <n v="100"/>
    <n v="2"/>
    <s v="TRUE"/>
    <n v="0.79"/>
  </r>
  <r>
    <s v="FL250665"/>
    <s v="Roy Collins"/>
    <x v="1"/>
    <s v="33"/>
    <x v="3"/>
    <s v="Dutch"/>
    <s v="Mobile Apps"/>
    <s v="5"/>
    <n v="50"/>
    <n v="4.7"/>
    <s v="TRUE"/>
    <n v="0.88"/>
  </r>
  <r>
    <s v="FL250666"/>
    <s v="Samantha Porter"/>
    <x v="0"/>
    <s v="55"/>
    <x v="14"/>
    <s v="English"/>
    <s v="Web Development"/>
    <s v="14"/>
    <n v="50"/>
    <n v="3.6"/>
    <s v="TRUE"/>
    <n v="0.81"/>
  </r>
  <r>
    <s v="FL250667"/>
    <s v="Juan Elliott"/>
    <x v="1"/>
    <s v="47"/>
    <x v="12"/>
    <s v="Korean"/>
    <s v="UI/UX Design"/>
    <s v="17"/>
    <n v="50"/>
    <n v="1.2"/>
    <s v="FALSE"/>
    <n v="0.75"/>
  </r>
  <r>
    <s v="FL250668"/>
    <s v="Elizabeth Phillips"/>
    <x v="0"/>
    <s v="29"/>
    <x v="19"/>
    <s v="Spanish"/>
    <s v="AI"/>
    <s v="10"/>
    <n v="50"/>
    <n v="4.4000000000000004"/>
    <s v="TRUE"/>
    <n v="0.67"/>
  </r>
  <r>
    <s v="FL250669"/>
    <s v="Laura Evans"/>
    <x v="0"/>
    <s v="30"/>
    <x v="7"/>
    <s v="English"/>
    <s v="DevOps"/>
    <s v="8"/>
    <n v="100"/>
    <n v="1.4"/>
    <s v="TRUE"/>
    <n v="0.62"/>
  </r>
  <r>
    <s v="FL250670"/>
    <s v="Amanda Mitchell"/>
    <x v="0"/>
    <s v="25"/>
    <x v="14"/>
    <s v="English"/>
    <s v="DevOps"/>
    <s v="1"/>
    <n v="30"/>
    <n v="3.2"/>
    <s v="FALSE"/>
    <n v="0.87"/>
  </r>
  <r>
    <s v="FL250671"/>
    <s v="Sandra Williams"/>
    <x v="0"/>
    <s v="28"/>
    <x v="16"/>
    <s v="Arabic"/>
    <s v="Cybersecurity"/>
    <s v="10"/>
    <n v="50"/>
    <n v="3.8"/>
    <s v="TRUE"/>
    <n v="0.98"/>
  </r>
  <r>
    <s v="FL250672"/>
    <s v="Eric Johnson"/>
    <x v="1"/>
    <s v="29"/>
    <x v="12"/>
    <s v="Korean"/>
    <s v="Blockchain Development"/>
    <s v="0"/>
    <n v="75"/>
    <n v="1.5"/>
    <s v="TRUE"/>
    <n v="0.64"/>
  </r>
  <r>
    <s v="FL250673"/>
    <s v="Javier Hobbs"/>
    <x v="1"/>
    <s v="30"/>
    <x v="20"/>
    <s v="Spanish"/>
    <s v="Graphic Design"/>
    <s v="4"/>
    <n v="50"/>
    <n v="2.8"/>
    <s v="TRUE"/>
    <n v="0.71"/>
  </r>
  <r>
    <s v="FL250674"/>
    <s v="Jacob Jones"/>
    <x v="1"/>
    <s v="47"/>
    <x v="16"/>
    <s v="Arabic"/>
    <s v="AI"/>
    <s v="2"/>
    <n v="50"/>
    <n v="2.7"/>
    <s v="FALSE"/>
    <n v="0.96"/>
  </r>
  <r>
    <s v="FL250675"/>
    <s v="Zachary Murphy"/>
    <x v="1"/>
    <s v="34"/>
    <x v="1"/>
    <s v="English"/>
    <s v="Blockchain Development"/>
    <s v="10"/>
    <n v="30"/>
    <n v="3.9"/>
    <s v="TRUE"/>
    <n v="0.75"/>
  </r>
  <r>
    <s v="FL250676"/>
    <s v="Joshua Owens"/>
    <x v="1"/>
    <s v="45"/>
    <x v="5"/>
    <s v="English"/>
    <s v="Graphic Design"/>
    <s v="16"/>
    <n v="100"/>
    <n v="4.5999999999999996"/>
    <s v="FALSE"/>
    <n v="0.78"/>
  </r>
  <r>
    <s v="FL250677"/>
    <s v="Dawn Mitchell"/>
    <x v="0"/>
    <s v="56"/>
    <x v="20"/>
    <s v="Spanish"/>
    <s v="Cybersecurity"/>
    <s v="27"/>
    <n v="20"/>
    <n v="2.2000000000000002"/>
    <s v="TRUE"/>
    <n v="0.7"/>
  </r>
  <r>
    <s v="FL250678"/>
    <s v="Regina Dunn"/>
    <x v="0"/>
    <s v="49"/>
    <x v="18"/>
    <s v="Mandarin"/>
    <s v="DevOps"/>
    <s v="20"/>
    <n v="50"/>
    <n v="2.5"/>
    <s v="FALSE"/>
    <n v="0.82"/>
  </r>
  <r>
    <s v="FL250679"/>
    <s v="Ernest Cole"/>
    <x v="1"/>
    <s v="48"/>
    <x v="15"/>
    <s v="French"/>
    <s v="AI"/>
    <s v="10"/>
    <n v="50"/>
    <n v="3.1"/>
    <s v="TRUE"/>
    <n v="0.75"/>
  </r>
  <r>
    <s v="FL250680"/>
    <s v="Hannah Sanders"/>
    <x v="0"/>
    <s v="29"/>
    <x v="12"/>
    <s v="Korean"/>
    <s v="Graphic Design"/>
    <s v="0"/>
    <n v="20"/>
    <n v="2.6"/>
    <s v="TRUE"/>
    <n v="0.99"/>
  </r>
  <r>
    <s v="FL250681"/>
    <s v="Ellen Bowman"/>
    <x v="0"/>
    <s v="49"/>
    <x v="3"/>
    <s v="Dutch"/>
    <s v="Web Development"/>
    <s v="11"/>
    <n v="75"/>
    <n v="3.8"/>
    <s v="TRUE"/>
    <n v="0.93"/>
  </r>
  <r>
    <s v="FL250682"/>
    <s v="Nancy Moore"/>
    <x v="0"/>
    <s v="22"/>
    <x v="18"/>
    <s v="Mandarin"/>
    <s v="Blockchain Development"/>
    <s v="1"/>
    <n v="100"/>
    <n v="4.8"/>
    <s v="TRUE"/>
    <n v="0.75"/>
  </r>
  <r>
    <s v="FL250683"/>
    <s v="Joseph Wood"/>
    <x v="1"/>
    <s v="52"/>
    <x v="19"/>
    <s v="Spanish"/>
    <s v="Graphic Design"/>
    <s v="30"/>
    <n v="100"/>
    <n v="2.5"/>
    <s v="TRUE"/>
    <n v="0.61"/>
  </r>
  <r>
    <s v="FL250684"/>
    <s v="Michael Harrell"/>
    <x v="1"/>
    <s v="60"/>
    <x v="14"/>
    <s v="English"/>
    <s v="Blockchain Development"/>
    <s v="7"/>
    <n v="30"/>
    <n v="0"/>
    <s v="FALSE"/>
    <n v="0.97"/>
  </r>
  <r>
    <s v="FL250685"/>
    <s v="Connie Mcclain"/>
    <x v="0"/>
    <s v="33"/>
    <x v="9"/>
    <s v="Japanese"/>
    <s v="UI/UX Design"/>
    <s v="0"/>
    <n v="100"/>
    <n v="1.7"/>
    <s v="TRUE"/>
    <n v="0.95"/>
  </r>
  <r>
    <s v="FL250686"/>
    <s v="Matthew Baldwin"/>
    <x v="1"/>
    <s v="52"/>
    <x v="12"/>
    <s v="Korean"/>
    <s v="Graphic Design"/>
    <s v="21"/>
    <n v="40"/>
    <n v="4"/>
    <s v="TRUE"/>
    <n v="0.69"/>
  </r>
  <r>
    <s v="FL250687"/>
    <s v="Danielle Nelson"/>
    <x v="0"/>
    <s v="25"/>
    <x v="2"/>
    <s v="German"/>
    <s v="DevOps"/>
    <s v="7"/>
    <n v="100"/>
    <n v="1.9"/>
    <s v="TRUE"/>
    <n v="0.63"/>
  </r>
  <r>
    <s v="FL250688"/>
    <s v="Steven Moore"/>
    <x v="1"/>
    <s v="33"/>
    <x v="9"/>
    <s v="Japanese"/>
    <s v="Cybersecurity"/>
    <s v="Unknown"/>
    <n v="30"/>
    <n v="4.4000000000000004"/>
    <s v="TRUE"/>
    <n v="0.65"/>
  </r>
  <r>
    <s v="FL250689"/>
    <s v="Megan Hudson"/>
    <x v="0"/>
    <s v="33"/>
    <x v="18"/>
    <s v="Mandarin"/>
    <s v="Mobile Apps"/>
    <s v="Unknown"/>
    <n v="50"/>
    <n v="4.2"/>
    <s v="TRUE"/>
    <n v="0.9"/>
  </r>
  <r>
    <s v="FL250690"/>
    <s v="Lisa Johnson"/>
    <x v="0"/>
    <s v="52"/>
    <x v="14"/>
    <s v="English"/>
    <s v="UI/UX Design"/>
    <s v="25"/>
    <n v="100"/>
    <n v="4.8"/>
    <s v="FALSE"/>
    <n v="0.75"/>
  </r>
  <r>
    <s v="FL250691"/>
    <s v="Tracy White"/>
    <x v="0"/>
    <s v="20"/>
    <x v="4"/>
    <s v="Indonesian"/>
    <s v="Web Development"/>
    <s v="1"/>
    <n v="30"/>
    <n v="2"/>
    <s v="FALSE"/>
    <n v="0.89"/>
  </r>
  <r>
    <s v="FL250692"/>
    <s v="Natalie Diaz"/>
    <x v="0"/>
    <s v="43"/>
    <x v="13"/>
    <s v="Russian"/>
    <s v="Data Analysis"/>
    <s v="7"/>
    <n v="50"/>
    <n v="2.6"/>
    <s v="TRUE"/>
    <n v="0.8"/>
  </r>
  <r>
    <s v="FL250693"/>
    <s v="Amanda Mitchell"/>
    <x v="0"/>
    <s v="31"/>
    <x v="15"/>
    <s v="French"/>
    <s v="Mobile Apps"/>
    <s v="Unknown"/>
    <n v="50"/>
    <n v="1.4"/>
    <s v="FALSE"/>
    <n v="0.8"/>
  </r>
  <r>
    <s v="FL250694"/>
    <s v="Karen Scott"/>
    <x v="0"/>
    <s v="29"/>
    <x v="2"/>
    <s v="German"/>
    <s v="Data Analysis"/>
    <s v="6"/>
    <n v="100"/>
    <n v="1.8"/>
    <s v="FALSE"/>
    <n v="0.75"/>
  </r>
  <r>
    <s v="FL250695"/>
    <s v="Mary Brown"/>
    <x v="0"/>
    <s v="53"/>
    <x v="17"/>
    <s v="Afrikaans"/>
    <s v="Graphic Design"/>
    <s v="35"/>
    <n v="50"/>
    <n v="0"/>
    <s v="TRUE"/>
    <n v="0.67"/>
  </r>
  <r>
    <s v="FL250696"/>
    <s v="Jon Jones"/>
    <x v="1"/>
    <s v="38"/>
    <x v="10"/>
    <s v="Hindi"/>
    <s v="Mobile Apps"/>
    <s v="1"/>
    <n v="40"/>
    <n v="0"/>
    <s v="FALSE"/>
    <n v="0.96"/>
  </r>
  <r>
    <s v="FL250697"/>
    <s v="Jason Phillips"/>
    <x v="1"/>
    <s v="29"/>
    <x v="20"/>
    <s v="Spanish"/>
    <s v="Graphic Design"/>
    <s v="Unknown"/>
    <n v="20"/>
    <n v="0"/>
    <s v="FALSE"/>
    <n v="0.9"/>
  </r>
  <r>
    <s v="FL250698"/>
    <s v="Eric Walsh"/>
    <x v="1"/>
    <s v="42"/>
    <x v="12"/>
    <s v="Korean"/>
    <s v="UI/UX Design"/>
    <s v="0"/>
    <n v="50"/>
    <n v="3.9"/>
    <s v="TRUE"/>
    <n v="0.62"/>
  </r>
  <r>
    <s v="FL250699"/>
    <s v="Carol Schneider"/>
    <x v="0"/>
    <s v="54"/>
    <x v="5"/>
    <s v="English"/>
    <s v="Machine Learning"/>
    <s v="9"/>
    <n v="100"/>
    <n v="2.6"/>
    <s v="FALSE"/>
    <n v="0.72"/>
  </r>
  <r>
    <s v="FL250700"/>
    <s v="Juan Hines"/>
    <x v="1"/>
    <s v="56"/>
    <x v="18"/>
    <s v="Mandarin"/>
    <s v="UI/UX Design"/>
    <s v="18"/>
    <n v="50"/>
    <n v="4.4000000000000004"/>
    <s v="TRUE"/>
    <n v="0.83"/>
  </r>
  <r>
    <s v="FL250701"/>
    <s v="Martha Sweeney"/>
    <x v="0"/>
    <s v="47"/>
    <x v="6"/>
    <s v="Turkish"/>
    <s v="Graphic Design"/>
    <s v="22"/>
    <n v="100"/>
    <n v="4.4000000000000004"/>
    <s v="FALSE"/>
    <n v="0.7"/>
  </r>
  <r>
    <s v="FL250702"/>
    <s v="Jason Weaver"/>
    <x v="1"/>
    <s v="45"/>
    <x v="13"/>
    <s v="Russian"/>
    <s v="Blockchain Development"/>
    <s v="25"/>
    <n v="50"/>
    <n v="0"/>
    <s v="FALSE"/>
    <n v="0.99"/>
  </r>
  <r>
    <s v="FL250703"/>
    <s v="Benjamin Stevens"/>
    <x v="1"/>
    <s v="45"/>
    <x v="18"/>
    <s v="Mandarin"/>
    <s v="Data Analysis"/>
    <s v="6"/>
    <n v="50"/>
    <n v="1.4"/>
    <s v="TRUE"/>
    <n v="0.97"/>
  </r>
  <r>
    <s v="FL250704"/>
    <s v="Daniel Lopez"/>
    <x v="1"/>
    <s v="35"/>
    <x v="14"/>
    <s v="English"/>
    <s v="Machine Learning"/>
    <s v="10"/>
    <n v="20"/>
    <n v="3.2"/>
    <s v="TRUE"/>
    <n v="0.77"/>
  </r>
  <r>
    <s v="FL250705"/>
    <s v="John Simpson"/>
    <x v="1"/>
    <s v="51"/>
    <x v="14"/>
    <s v="English"/>
    <s v="DevOps"/>
    <s v="4"/>
    <n v="50"/>
    <n v="2"/>
    <s v="FALSE"/>
    <n v="0.92"/>
  </r>
  <r>
    <s v="FL250706"/>
    <s v="Katrina Schultz"/>
    <x v="0"/>
    <s v="34"/>
    <x v="20"/>
    <s v="Spanish"/>
    <s v="Mobile Apps"/>
    <s v="11"/>
    <n v="50"/>
    <n v="3.3"/>
    <s v="TRUE"/>
    <n v="0.76"/>
  </r>
  <r>
    <s v="FL250707"/>
    <s v="Danielle Bell"/>
    <x v="0"/>
    <s v="51"/>
    <x v="4"/>
    <s v="Indonesian"/>
    <s v="Graphic Design"/>
    <s v="1"/>
    <n v="50"/>
    <n v="0"/>
    <s v="TRUE"/>
    <n v="0.97"/>
  </r>
  <r>
    <s v="FL250708"/>
    <s v="Jason Brady"/>
    <x v="1"/>
    <s v="58"/>
    <x v="16"/>
    <s v="Arabic"/>
    <s v="Graphic Design"/>
    <s v="35"/>
    <n v="100"/>
    <n v="2.2999999999999998"/>
    <s v="TRUE"/>
    <n v="0.75"/>
  </r>
  <r>
    <s v="FL250709"/>
    <s v="Megan Bright"/>
    <x v="0"/>
    <s v="36"/>
    <x v="3"/>
    <s v="Dutch"/>
    <s v="Web Development"/>
    <s v="17"/>
    <n v="20"/>
    <n v="0"/>
    <s v="TRUE"/>
    <n v="0.99"/>
  </r>
  <r>
    <s v="FL250710"/>
    <s v="David Griffin"/>
    <x v="1"/>
    <s v="Unknown"/>
    <x v="13"/>
    <s v="Russian"/>
    <s v="AI"/>
    <s v="12"/>
    <n v="30"/>
    <n v="2.6"/>
    <s v="TRUE"/>
    <n v="0.75"/>
  </r>
  <r>
    <s v="FL250711"/>
    <s v="Michael Clark"/>
    <x v="1"/>
    <s v="56"/>
    <x v="17"/>
    <s v="Afrikaans"/>
    <s v="Machine Learning"/>
    <s v="30"/>
    <n v="40"/>
    <n v="3.3"/>
    <s v="TRUE"/>
    <n v="0.82"/>
  </r>
  <r>
    <s v="FL250712"/>
    <s v="Rebecca Barker"/>
    <x v="0"/>
    <s v="58"/>
    <x v="14"/>
    <s v="English"/>
    <s v="Cybersecurity"/>
    <s v="20"/>
    <n v="75"/>
    <n v="3.6"/>
    <s v="TRUE"/>
    <n v="0.78"/>
  </r>
  <r>
    <s v="FL250713"/>
    <s v="Angela Smith"/>
    <x v="0"/>
    <s v="58"/>
    <x v="5"/>
    <s v="English"/>
    <s v="Cybersecurity"/>
    <s v="22"/>
    <n v="100"/>
    <n v="3.7"/>
    <s v="FALSE"/>
    <n v="0.75"/>
  </r>
  <r>
    <s v="FL250714"/>
    <s v="Christina Wright"/>
    <x v="0"/>
    <s v="54"/>
    <x v="7"/>
    <s v="English"/>
    <s v="AI"/>
    <s v="32"/>
    <n v="20"/>
    <n v="3.4"/>
    <s v="FALSE"/>
    <n v="0.75"/>
  </r>
  <r>
    <s v="FL250715"/>
    <s v="Todd Turner"/>
    <x v="1"/>
    <s v="53"/>
    <x v="1"/>
    <s v="English"/>
    <s v="UI/UX Design"/>
    <s v="9"/>
    <n v="50"/>
    <n v="4"/>
    <s v="TRUE"/>
    <n v="0.72"/>
  </r>
  <r>
    <s v="FL250716"/>
    <s v="Elizabeth Green"/>
    <x v="0"/>
    <s v="43"/>
    <x v="1"/>
    <s v="English"/>
    <s v="Web Development"/>
    <s v="22"/>
    <n v="40"/>
    <n v="4.5"/>
    <s v="TRUE"/>
    <n v="0.75"/>
  </r>
  <r>
    <s v="FL250717"/>
    <s v="Alex Smith"/>
    <x v="1"/>
    <s v="44"/>
    <x v="12"/>
    <s v="Korean"/>
    <s v="Machine Learning"/>
    <s v="1"/>
    <n v="75"/>
    <n v="4.3"/>
    <s v="TRUE"/>
    <n v="0.75"/>
  </r>
  <r>
    <s v="FL250718"/>
    <s v="Shane Hale"/>
    <x v="1"/>
    <s v="34"/>
    <x v="14"/>
    <s v="English"/>
    <s v="Cybersecurity"/>
    <s v="4"/>
    <n v="75"/>
    <n v="4"/>
    <s v="TRUE"/>
    <n v="0.75"/>
  </r>
  <r>
    <s v="FL250719"/>
    <s v="Kathy Grimes"/>
    <x v="0"/>
    <s v="27"/>
    <x v="11"/>
    <s v="Portuguese"/>
    <s v="Mobile Apps"/>
    <s v="8"/>
    <n v="50"/>
    <n v="1.6"/>
    <s v="TRUE"/>
    <n v="0.75"/>
  </r>
  <r>
    <s v="FL250720"/>
    <s v="David Cherry"/>
    <x v="1"/>
    <s v="50"/>
    <x v="9"/>
    <s v="Japanese"/>
    <s v="Data Analysis"/>
    <s v="3"/>
    <n v="100"/>
    <n v="0"/>
    <s v="TRUE"/>
    <n v="0.75"/>
  </r>
  <r>
    <s v="FL250721"/>
    <s v="Rachel Rogers"/>
    <x v="0"/>
    <s v="52"/>
    <x v="12"/>
    <s v="Korean"/>
    <s v="UI/UX Design"/>
    <s v="30"/>
    <n v="75"/>
    <n v="2.6"/>
    <s v="FALSE"/>
    <n v="0.94"/>
  </r>
  <r>
    <s v="FL250722"/>
    <s v="Travis Braun"/>
    <x v="1"/>
    <s v="57"/>
    <x v="20"/>
    <s v="Spanish"/>
    <s v="Blockchain Development"/>
    <s v="11"/>
    <n v="20"/>
    <n v="4.9000000000000004"/>
    <s v="TRUE"/>
    <n v="0.75"/>
  </r>
  <r>
    <s v="FL250723"/>
    <s v="Shawna Palmer"/>
    <x v="0"/>
    <s v="53"/>
    <x v="19"/>
    <s v="Spanish"/>
    <s v="DevOps"/>
    <s v="8"/>
    <n v="20"/>
    <n v="2.8"/>
    <s v="TRUE"/>
    <n v="0.75"/>
  </r>
  <r>
    <s v="FL250724"/>
    <s v="Bradley Gaines"/>
    <x v="1"/>
    <s v="51"/>
    <x v="6"/>
    <s v="Turkish"/>
    <s v="UI/UX Design"/>
    <s v="11"/>
    <n v="30"/>
    <n v="3.6"/>
    <s v="TRUE"/>
    <n v="0.77"/>
  </r>
  <r>
    <s v="FL250725"/>
    <s v="April Ford"/>
    <x v="0"/>
    <s v="37"/>
    <x v="14"/>
    <s v="English"/>
    <s v="Cybersecurity"/>
    <s v="9"/>
    <n v="50"/>
    <n v="2.6"/>
    <s v="TRUE"/>
    <n v="0.84"/>
  </r>
  <r>
    <s v="FL250726"/>
    <s v="James Gonzalez"/>
    <x v="1"/>
    <s v="40"/>
    <x v="20"/>
    <s v="Spanish"/>
    <s v="Web Development"/>
    <s v="7"/>
    <n v="40"/>
    <n v="4.5"/>
    <s v="TRUE"/>
    <n v="0.79"/>
  </r>
  <r>
    <s v="FL250727"/>
    <s v="John Castillo"/>
    <x v="1"/>
    <s v="60"/>
    <x v="9"/>
    <s v="Japanese"/>
    <s v="Data Analysis"/>
    <s v="24"/>
    <n v="40"/>
    <n v="3.1"/>
    <s v="FALSE"/>
    <n v="0.69"/>
  </r>
  <r>
    <s v="FL250728"/>
    <s v="Ian Hayes"/>
    <x v="1"/>
    <s v="60"/>
    <x v="15"/>
    <s v="French"/>
    <s v="UI/UX Design"/>
    <s v="0"/>
    <n v="40"/>
    <n v="4.9000000000000004"/>
    <s v="TRUE"/>
    <n v="0.68"/>
  </r>
  <r>
    <s v="FL250729"/>
    <s v="Christine Castro"/>
    <x v="0"/>
    <s v="53"/>
    <x v="12"/>
    <s v="Korean"/>
    <s v="UI/UX Design"/>
    <s v="21"/>
    <n v="30"/>
    <n v="4.2"/>
    <s v="TRUE"/>
    <n v="0.73"/>
  </r>
  <r>
    <s v="FL250730"/>
    <s v="Jessica Chaney"/>
    <x v="0"/>
    <s v="20"/>
    <x v="19"/>
    <s v="Spanish"/>
    <s v="Blockchain Development"/>
    <s v="0"/>
    <n v="75"/>
    <n v="3.2"/>
    <s v="TRUE"/>
    <n v="0.74"/>
  </r>
  <r>
    <s v="FL250731"/>
    <s v="John Gray"/>
    <x v="1"/>
    <s v="42"/>
    <x v="13"/>
    <s v="Russian"/>
    <s v="Web Development"/>
    <s v="7"/>
    <n v="20"/>
    <n v="2.6"/>
    <s v="TRUE"/>
    <n v="1"/>
  </r>
  <r>
    <s v="FL250732"/>
    <s v="Shane Booker"/>
    <x v="1"/>
    <s v="21"/>
    <x v="7"/>
    <s v="English"/>
    <s v="Mobile Apps"/>
    <s v="3"/>
    <n v="40"/>
    <n v="0"/>
    <s v="FALSE"/>
    <n v="0.87"/>
  </r>
  <r>
    <s v="FL250733"/>
    <s v="Kyle Hall"/>
    <x v="1"/>
    <s v="39"/>
    <x v="2"/>
    <s v="German"/>
    <s v="Web Development"/>
    <s v="21"/>
    <n v="100"/>
    <n v="2.2000000000000002"/>
    <s v="FALSE"/>
    <n v="0.79"/>
  </r>
  <r>
    <s v="FL250734"/>
    <s v="Ronald Munoz"/>
    <x v="1"/>
    <s v="32"/>
    <x v="10"/>
    <s v="Hindi"/>
    <s v="Blockchain Development"/>
    <s v="Unknown"/>
    <n v="30"/>
    <n v="1.5"/>
    <s v="FALSE"/>
    <n v="0.68"/>
  </r>
  <r>
    <s v="FL250735"/>
    <s v="Christopher Long"/>
    <x v="1"/>
    <s v="35"/>
    <x v="2"/>
    <s v="German"/>
    <s v="Data Analysis"/>
    <s v="Unknown"/>
    <n v="100"/>
    <n v="2.6"/>
    <s v="FALSE"/>
    <n v="0.84"/>
  </r>
  <r>
    <s v="FL250736"/>
    <s v="Sandra Ali"/>
    <x v="0"/>
    <s v="35"/>
    <x v="15"/>
    <s v="French"/>
    <s v="UI/UX Design"/>
    <s v="17"/>
    <n v="50"/>
    <n v="3.1"/>
    <s v="FALSE"/>
    <n v="0.71"/>
  </r>
  <r>
    <s v="FL250737"/>
    <s v="Jessica Garza"/>
    <x v="0"/>
    <s v="23"/>
    <x v="8"/>
    <s v="Spanish"/>
    <s v="UI/UX Design"/>
    <s v="0"/>
    <n v="75"/>
    <n v="0"/>
    <s v="FALSE"/>
    <n v="0.92"/>
  </r>
  <r>
    <s v="FL250738"/>
    <s v="Gregory Waters"/>
    <x v="1"/>
    <s v="26"/>
    <x v="3"/>
    <s v="Dutch"/>
    <s v="AI"/>
    <s v="6"/>
    <n v="100"/>
    <n v="2.6"/>
    <s v="FALSE"/>
    <n v="0.69"/>
  </r>
  <r>
    <s v="FL250739"/>
    <s v="Misty Adams"/>
    <x v="0"/>
    <s v="34"/>
    <x v="14"/>
    <s v="English"/>
    <s v="Machine Learning"/>
    <s v="3"/>
    <n v="50"/>
    <n v="0"/>
    <s v="TRUE"/>
    <n v="0.71"/>
  </r>
  <r>
    <s v="FL250740"/>
    <s v="Megan Brown"/>
    <x v="0"/>
    <s v="34"/>
    <x v="2"/>
    <s v="German"/>
    <s v="Blockchain Development"/>
    <s v="3"/>
    <n v="50"/>
    <n v="2.6"/>
    <s v="TRUE"/>
    <n v="0.77"/>
  </r>
  <r>
    <s v="FL250741"/>
    <s v="Gregory Brown"/>
    <x v="1"/>
    <s v="57"/>
    <x v="0"/>
    <s v="Italian"/>
    <s v="Web Development"/>
    <s v="31"/>
    <n v="50"/>
    <n v="3"/>
    <s v="TRUE"/>
    <n v="0.87"/>
  </r>
  <r>
    <s v="FL250742"/>
    <s v="Scott Alexander Md"/>
    <x v="1"/>
    <s v="46"/>
    <x v="14"/>
    <s v="English"/>
    <s v="Web Development"/>
    <s v="5"/>
    <n v="30"/>
    <n v="2.6"/>
    <s v="FALSE"/>
    <n v="0.76"/>
  </r>
  <r>
    <s v="FL250743"/>
    <s v="Eric Nguyen"/>
    <x v="1"/>
    <s v="55"/>
    <x v="10"/>
    <s v="Hindi"/>
    <s v="AI"/>
    <s v="37"/>
    <n v="75"/>
    <n v="4.0999999999999996"/>
    <s v="FALSE"/>
    <n v="0.75"/>
  </r>
  <r>
    <s v="FL250744"/>
    <s v="Wendy Boyer"/>
    <x v="0"/>
    <s v="32"/>
    <x v="1"/>
    <s v="English"/>
    <s v="DevOps"/>
    <s v="10"/>
    <n v="50"/>
    <n v="1.5"/>
    <s v="TRUE"/>
    <n v="0.65"/>
  </r>
  <r>
    <s v="FL250745"/>
    <s v="Mark Clark"/>
    <x v="1"/>
    <s v="53"/>
    <x v="4"/>
    <s v="Indonesian"/>
    <s v="AI"/>
    <s v="28"/>
    <n v="50"/>
    <n v="2.9"/>
    <s v="TRUE"/>
    <n v="0.82"/>
  </r>
  <r>
    <s v="FL250746"/>
    <s v="Carl Kline"/>
    <x v="1"/>
    <s v="59"/>
    <x v="19"/>
    <s v="Spanish"/>
    <s v="AI"/>
    <s v="0"/>
    <n v="100"/>
    <n v="0"/>
    <s v="TRUE"/>
    <n v="0.87"/>
  </r>
  <r>
    <s v="FL250747"/>
    <s v="Linda Williams"/>
    <x v="0"/>
    <s v="44"/>
    <x v="3"/>
    <s v="Dutch"/>
    <s v="Machine Learning"/>
    <s v="19"/>
    <n v="40"/>
    <n v="4.9000000000000004"/>
    <s v="FALSE"/>
    <n v="1"/>
  </r>
  <r>
    <s v="FL250748"/>
    <s v="Jason Edwards"/>
    <x v="1"/>
    <s v="35"/>
    <x v="16"/>
    <s v="Arabic"/>
    <s v="Blockchain Development"/>
    <s v="9"/>
    <n v="50"/>
    <n v="3"/>
    <s v="FALSE"/>
    <n v="0.71"/>
  </r>
  <r>
    <s v="FL250749"/>
    <s v="Madison Mcintosh"/>
    <x v="0"/>
    <s v="42"/>
    <x v="18"/>
    <s v="Mandarin"/>
    <s v="Machine Learning"/>
    <s v="5"/>
    <n v="30"/>
    <n v="4.9000000000000004"/>
    <s v="TRUE"/>
    <n v="0.87"/>
  </r>
  <r>
    <s v="FL250750"/>
    <s v="Desiree Winters"/>
    <x v="0"/>
    <s v="58"/>
    <x v="12"/>
    <s v="Korean"/>
    <s v="Blockchain Development"/>
    <s v="0"/>
    <n v="30"/>
    <n v="4.5999999999999996"/>
    <s v="FALSE"/>
    <n v="0.7"/>
  </r>
  <r>
    <s v="FL250751"/>
    <s v="Ryan Taylor"/>
    <x v="1"/>
    <s v="41"/>
    <x v="3"/>
    <s v="Dutch"/>
    <s v="AI"/>
    <s v="21"/>
    <n v="100"/>
    <n v="2.2000000000000002"/>
    <s v="TRUE"/>
    <n v="0.83"/>
  </r>
  <r>
    <s v="FL250752"/>
    <s v="Patricia Scott"/>
    <x v="0"/>
    <s v="Unknown"/>
    <x v="8"/>
    <s v="Spanish"/>
    <s v="Web Development"/>
    <s v="0"/>
    <n v="40"/>
    <n v="2.6"/>
    <s v="TRUE"/>
    <n v="0.74"/>
  </r>
  <r>
    <s v="FL250753"/>
    <s v="Erin Jimenez"/>
    <x v="0"/>
    <s v="23"/>
    <x v="14"/>
    <s v="English"/>
    <s v="Blockchain Development"/>
    <s v="0"/>
    <n v="30"/>
    <n v="1.1000000000000001"/>
    <s v="TRUE"/>
    <n v="0.86"/>
  </r>
  <r>
    <s v="FL250754"/>
    <s v="Anthony Krause"/>
    <x v="1"/>
    <s v="51"/>
    <x v="18"/>
    <s v="Mandarin"/>
    <s v="Blockchain Development"/>
    <s v="17"/>
    <n v="40"/>
    <n v="4.5"/>
    <s v="TRUE"/>
    <n v="0.72"/>
  </r>
  <r>
    <s v="FL250755"/>
    <s v="Diane Dean"/>
    <x v="0"/>
    <s v="42"/>
    <x v="15"/>
    <s v="French"/>
    <s v="AI"/>
    <s v="21"/>
    <n v="50"/>
    <n v="2.5"/>
    <s v="TRUE"/>
    <n v="0.73"/>
  </r>
  <r>
    <s v="FL250756"/>
    <s v="Stuart Mckinney"/>
    <x v="1"/>
    <s v="26"/>
    <x v="9"/>
    <s v="Japanese"/>
    <s v="Data Analysis"/>
    <s v="7"/>
    <n v="75"/>
    <n v="2.9"/>
    <s v="FALSE"/>
    <n v="0.78"/>
  </r>
  <r>
    <s v="FL250757"/>
    <s v="Kellie Le"/>
    <x v="0"/>
    <s v="49"/>
    <x v="4"/>
    <s v="Indonesian"/>
    <s v="AI"/>
    <s v="22"/>
    <n v="75"/>
    <n v="0"/>
    <s v="TRUE"/>
    <n v="0.75"/>
  </r>
  <r>
    <s v="FL250758"/>
    <s v="Lauren Henry"/>
    <x v="0"/>
    <s v="37"/>
    <x v="0"/>
    <s v="Italian"/>
    <s v="DevOps"/>
    <s v="Unknown"/>
    <n v="75"/>
    <n v="3.5"/>
    <s v="FALSE"/>
    <n v="0.75"/>
  </r>
  <r>
    <s v="FL250759"/>
    <s v="Brandon Fox"/>
    <x v="1"/>
    <s v="31"/>
    <x v="1"/>
    <s v="English"/>
    <s v="AI"/>
    <s v="1"/>
    <n v="40"/>
    <n v="4.5"/>
    <s v="FALSE"/>
    <n v="0.96"/>
  </r>
  <r>
    <s v="FL250760"/>
    <s v="Richard Smith"/>
    <x v="1"/>
    <s v="51"/>
    <x v="12"/>
    <s v="Korean"/>
    <s v="Mobile Apps"/>
    <s v="5"/>
    <n v="40"/>
    <n v="1.7"/>
    <s v="TRUE"/>
    <n v="0.61"/>
  </r>
  <r>
    <s v="FL250761"/>
    <s v="John White"/>
    <x v="1"/>
    <s v="60"/>
    <x v="18"/>
    <s v="Mandarin"/>
    <s v="DevOps"/>
    <s v="40"/>
    <n v="50"/>
    <n v="4.5999999999999996"/>
    <s v="TRUE"/>
    <n v="1"/>
  </r>
  <r>
    <s v="FL250762"/>
    <s v="Gilbert Mcintyre"/>
    <x v="1"/>
    <s v="51"/>
    <x v="14"/>
    <s v="English"/>
    <s v="Blockchain Development"/>
    <s v="19"/>
    <n v="50"/>
    <n v="2.6"/>
    <s v="TRUE"/>
    <n v="0.82"/>
  </r>
  <r>
    <s v="FL250763"/>
    <s v="Christopher Sparks"/>
    <x v="1"/>
    <s v="37"/>
    <x v="2"/>
    <s v="German"/>
    <s v="Graphic Design"/>
    <s v="12"/>
    <n v="50"/>
    <n v="4.9000000000000004"/>
    <s v="TRUE"/>
    <n v="0.8"/>
  </r>
  <r>
    <s v="FL250764"/>
    <s v="Aaron Hicks"/>
    <x v="1"/>
    <s v="52"/>
    <x v="10"/>
    <s v="Hindi"/>
    <s v="Blockchain Development"/>
    <s v="7"/>
    <n v="40"/>
    <n v="2.2000000000000002"/>
    <s v="TRUE"/>
    <n v="0.96"/>
  </r>
  <r>
    <s v="FL250765"/>
    <s v="Jose Patterson"/>
    <x v="1"/>
    <s v="27"/>
    <x v="4"/>
    <s v="Indonesian"/>
    <s v="Blockchain Development"/>
    <s v="4"/>
    <n v="20"/>
    <n v="2.6"/>
    <s v="FALSE"/>
    <n v="0.63"/>
  </r>
  <r>
    <s v="FL250766"/>
    <s v="Bryan Long"/>
    <x v="1"/>
    <s v="48"/>
    <x v="1"/>
    <s v="English"/>
    <s v="Graphic Design"/>
    <s v="24"/>
    <n v="40"/>
    <n v="2.2000000000000002"/>
    <s v="FALSE"/>
    <n v="0.67"/>
  </r>
  <r>
    <s v="FL250767"/>
    <s v="Tammy Gomez"/>
    <x v="0"/>
    <s v="22"/>
    <x v="9"/>
    <s v="Japanese"/>
    <s v="Data Analysis"/>
    <s v="1"/>
    <n v="30"/>
    <n v="3.3"/>
    <s v="TRUE"/>
    <n v="0.61"/>
  </r>
  <r>
    <s v="FL250768"/>
    <s v="Diana Raymond"/>
    <x v="0"/>
    <s v="48"/>
    <x v="2"/>
    <s v="German"/>
    <s v="Mobile Apps"/>
    <s v="28"/>
    <n v="30"/>
    <n v="4.9000000000000004"/>
    <s v="FALSE"/>
    <n v="0.77"/>
  </r>
  <r>
    <s v="FL250769"/>
    <s v="Jessica Armstrong"/>
    <x v="0"/>
    <s v="54"/>
    <x v="5"/>
    <s v="English"/>
    <s v="Mobile Apps"/>
    <s v="19"/>
    <n v="75"/>
    <n v="0"/>
    <s v="TRUE"/>
    <n v="0.75"/>
  </r>
  <r>
    <s v="FL250770"/>
    <s v="Amanda Martin"/>
    <x v="0"/>
    <s v="52"/>
    <x v="12"/>
    <s v="Korean"/>
    <s v="Data Analysis"/>
    <s v="4"/>
    <n v="50"/>
    <n v="2.6"/>
    <s v="FALSE"/>
    <n v="0.84"/>
  </r>
  <r>
    <s v="FL250771"/>
    <s v="Anne Hamilton"/>
    <x v="0"/>
    <s v="39"/>
    <x v="6"/>
    <s v="Turkish"/>
    <s v="Web Development"/>
    <s v="20"/>
    <n v="100"/>
    <n v="2.6"/>
    <s v="TRUE"/>
    <n v="0.89"/>
  </r>
  <r>
    <s v="FL250772"/>
    <s v="Heather Curtis"/>
    <x v="0"/>
    <s v="54"/>
    <x v="13"/>
    <s v="Russian"/>
    <s v="Mobile Apps"/>
    <s v="19"/>
    <n v="30"/>
    <n v="4"/>
    <s v="TRUE"/>
    <n v="0.9"/>
  </r>
  <r>
    <s v="FL250773"/>
    <s v="Tiffany Moses"/>
    <x v="0"/>
    <s v="22"/>
    <x v="5"/>
    <s v="English"/>
    <s v="Cybersecurity"/>
    <s v="1"/>
    <n v="20"/>
    <n v="4.8"/>
    <s v="TRUE"/>
    <n v="0.87"/>
  </r>
  <r>
    <s v="FL250774"/>
    <s v="Jacqueline Moon"/>
    <x v="0"/>
    <s v="29"/>
    <x v="17"/>
    <s v="Afrikaans"/>
    <s v="Mobile Apps"/>
    <s v="8"/>
    <n v="50"/>
    <n v="0"/>
    <s v="FALSE"/>
    <n v="0.77"/>
  </r>
  <r>
    <s v="FL250775"/>
    <s v="James Campbell"/>
    <x v="1"/>
    <s v="23"/>
    <x v="20"/>
    <s v="Spanish"/>
    <s v="DevOps"/>
    <s v="3"/>
    <n v="30"/>
    <n v="1.6"/>
    <s v="TRUE"/>
    <n v="0.72"/>
  </r>
  <r>
    <s v="FL250776"/>
    <s v="Melissa Vasquez"/>
    <x v="0"/>
    <s v="58"/>
    <x v="19"/>
    <s v="Spanish"/>
    <s v="DevOps"/>
    <s v="30"/>
    <n v="50"/>
    <n v="1.3"/>
    <s v="TRUE"/>
    <n v="0.87"/>
  </r>
  <r>
    <s v="FL250777"/>
    <s v="Katherine Carlson"/>
    <x v="0"/>
    <s v="56"/>
    <x v="18"/>
    <s v="Mandarin"/>
    <s v="Blockchain Development"/>
    <s v="3"/>
    <n v="40"/>
    <n v="4.0999999999999996"/>
    <s v="TRUE"/>
    <n v="0.89"/>
  </r>
  <r>
    <s v="FL250778"/>
    <s v="Adam Clay"/>
    <x v="1"/>
    <s v="48"/>
    <x v="6"/>
    <s v="Turkish"/>
    <s v="Web Development"/>
    <s v="19"/>
    <n v="40"/>
    <n v="1.5"/>
    <s v="FALSE"/>
    <n v="0.87"/>
  </r>
  <r>
    <s v="FL250779"/>
    <s v="Amy Combs"/>
    <x v="0"/>
    <s v="31"/>
    <x v="13"/>
    <s v="Russian"/>
    <s v="Mobile Apps"/>
    <s v="11"/>
    <n v="40"/>
    <n v="4.3"/>
    <s v="TRUE"/>
    <n v="0.76"/>
  </r>
  <r>
    <s v="FL250780"/>
    <s v="Anthony Case"/>
    <x v="1"/>
    <s v="44"/>
    <x v="1"/>
    <s v="English"/>
    <s v="Machine Learning"/>
    <s v="26"/>
    <n v="50"/>
    <n v="1.6"/>
    <s v="TRUE"/>
    <n v="1"/>
  </r>
  <r>
    <s v="FL250781"/>
    <s v="Kimberly Brown"/>
    <x v="0"/>
    <s v="42"/>
    <x v="16"/>
    <s v="Arabic"/>
    <s v="Mobile Apps"/>
    <s v="10"/>
    <n v="100"/>
    <n v="3.7"/>
    <s v="TRUE"/>
    <n v="0.94"/>
  </r>
  <r>
    <s v="FL250782"/>
    <s v="Joshua Holloway"/>
    <x v="1"/>
    <s v="59"/>
    <x v="5"/>
    <s v="English"/>
    <s v="Cybersecurity"/>
    <s v="17"/>
    <n v="50"/>
    <n v="1.4"/>
    <s v="TRUE"/>
    <n v="0.75"/>
  </r>
  <r>
    <s v="FL250783"/>
    <s v="Cynthia Walton"/>
    <x v="0"/>
    <s v="Unknown"/>
    <x v="8"/>
    <s v="Spanish"/>
    <s v="Blockchain Development"/>
    <s v="9"/>
    <n v="100"/>
    <n v="4.5"/>
    <s v="TRUE"/>
    <n v="0.83"/>
  </r>
  <r>
    <s v="FL250784"/>
    <s v="Shawn Delgado"/>
    <x v="1"/>
    <s v="21"/>
    <x v="18"/>
    <s v="Mandarin"/>
    <s v="Data Analysis"/>
    <s v="0"/>
    <n v="40"/>
    <n v="3.7"/>
    <s v="FALSE"/>
    <n v="0.74"/>
  </r>
  <r>
    <s v="FL250785"/>
    <s v="Jeremy Smith"/>
    <x v="1"/>
    <s v="53"/>
    <x v="7"/>
    <s v="English"/>
    <s v="DevOps"/>
    <s v="5"/>
    <n v="75"/>
    <n v="1.1000000000000001"/>
    <s v="FALSE"/>
    <n v="0.92"/>
  </r>
  <r>
    <s v="FL250786"/>
    <s v="Marc Ortiz"/>
    <x v="1"/>
    <s v="35"/>
    <x v="8"/>
    <s v="Spanish"/>
    <s v="Mobile Apps"/>
    <s v="15"/>
    <n v="50"/>
    <n v="3.7"/>
    <s v="TRUE"/>
    <n v="0.66"/>
  </r>
  <r>
    <s v="FL250787"/>
    <s v="Michelle Gregory"/>
    <x v="0"/>
    <s v="25"/>
    <x v="11"/>
    <s v="Portuguese"/>
    <s v="Machine Learning"/>
    <s v="3"/>
    <n v="50"/>
    <n v="3.2"/>
    <s v="TRUE"/>
    <n v="0.74"/>
  </r>
  <r>
    <s v="FL250788"/>
    <s v="Melanie Gay"/>
    <x v="0"/>
    <s v="23"/>
    <x v="0"/>
    <s v="Italian"/>
    <s v="UI/UX Design"/>
    <s v="1"/>
    <n v="30"/>
    <n v="5"/>
    <s v="FALSE"/>
    <n v="0.97"/>
  </r>
  <r>
    <s v="FL250789"/>
    <s v="Brittany Lambert"/>
    <x v="0"/>
    <s v="56"/>
    <x v="16"/>
    <s v="Arabic"/>
    <s v="Graphic Design"/>
    <s v="13"/>
    <n v="30"/>
    <n v="0"/>
    <s v="TRUE"/>
    <n v="0.77"/>
  </r>
  <r>
    <s v="FL250790"/>
    <s v="Mary Hernandez"/>
    <x v="0"/>
    <s v="31"/>
    <x v="19"/>
    <s v="Spanish"/>
    <s v="UI/UX Design"/>
    <s v="6"/>
    <n v="50"/>
    <n v="3.5"/>
    <s v="FALSE"/>
    <n v="0.86"/>
  </r>
  <r>
    <s v="FL250791"/>
    <s v="Jonathan Jones"/>
    <x v="1"/>
    <s v="24"/>
    <x v="5"/>
    <s v="English"/>
    <s v="Cybersecurity"/>
    <s v="4"/>
    <n v="50"/>
    <n v="3.1"/>
    <s v="TRUE"/>
    <n v="0.95"/>
  </r>
  <r>
    <s v="FL250792"/>
    <s v="Gina Williams"/>
    <x v="0"/>
    <s v="35"/>
    <x v="11"/>
    <s v="Portuguese"/>
    <s v="Cybersecurity"/>
    <s v="7"/>
    <n v="50"/>
    <n v="3.9"/>
    <s v="FALSE"/>
    <n v="0.72"/>
  </r>
  <r>
    <s v="FL250793"/>
    <s v="Kelly Lawson"/>
    <x v="0"/>
    <s v="20"/>
    <x v="20"/>
    <s v="Spanish"/>
    <s v="AI"/>
    <s v="1"/>
    <n v="50"/>
    <n v="3.5"/>
    <s v="FALSE"/>
    <n v="0.71"/>
  </r>
  <r>
    <s v="FL250794"/>
    <s v="Keith Smith"/>
    <x v="1"/>
    <s v="26"/>
    <x v="1"/>
    <s v="English"/>
    <s v="Data Analysis"/>
    <s v="5"/>
    <n v="100"/>
    <n v="2.5"/>
    <s v="TRUE"/>
    <n v="0.93"/>
  </r>
  <r>
    <s v="FL250795"/>
    <s v="Christopher Hunter"/>
    <x v="1"/>
    <s v="54"/>
    <x v="7"/>
    <s v="English"/>
    <s v="DevOps"/>
    <s v="29"/>
    <n v="40"/>
    <n v="3.1"/>
    <s v="TRUE"/>
    <n v="0.75"/>
  </r>
  <r>
    <s v="FL250796"/>
    <s v="Dwayne Parks"/>
    <x v="1"/>
    <s v="53"/>
    <x v="13"/>
    <s v="Russian"/>
    <s v="Cybersecurity"/>
    <s v="12"/>
    <n v="100"/>
    <n v="4.7"/>
    <s v="TRUE"/>
    <n v="0.87"/>
  </r>
  <r>
    <s v="FL250797"/>
    <s v="Mary Hall"/>
    <x v="0"/>
    <s v="33"/>
    <x v="14"/>
    <s v="English"/>
    <s v="DevOps"/>
    <s v="4"/>
    <n v="50"/>
    <n v="1.9"/>
    <s v="TRUE"/>
    <n v="0.73"/>
  </r>
  <r>
    <s v="FL250798"/>
    <s v="Jake Gilmore"/>
    <x v="1"/>
    <s v="43"/>
    <x v="3"/>
    <s v="Dutch"/>
    <s v="Web Development"/>
    <s v="12"/>
    <n v="50"/>
    <n v="1.6"/>
    <s v="TRUE"/>
    <n v="0.74"/>
  </r>
  <r>
    <s v="FL250799"/>
    <s v="Mark Lopez"/>
    <x v="1"/>
    <s v="37"/>
    <x v="14"/>
    <s v="English"/>
    <s v="DevOps"/>
    <s v="3"/>
    <n v="20"/>
    <n v="2.5"/>
    <s v="FALSE"/>
    <n v="0.62"/>
  </r>
  <r>
    <s v="FL250800"/>
    <s v="Dana Rice"/>
    <x v="0"/>
    <s v="58"/>
    <x v="15"/>
    <s v="French"/>
    <s v="Data Analysis"/>
    <s v="15"/>
    <n v="20"/>
    <n v="3.5"/>
    <s v="TRUE"/>
    <n v="0.98"/>
  </r>
  <r>
    <s v="FL250801"/>
    <s v="Beth Young"/>
    <x v="0"/>
    <s v="39"/>
    <x v="20"/>
    <s v="Spanish"/>
    <s v="Mobile Apps"/>
    <s v="15"/>
    <n v="50"/>
    <n v="2.6"/>
    <s v="FALSE"/>
    <n v="0.8"/>
  </r>
  <r>
    <s v="FL250802"/>
    <s v="Ryan Powell"/>
    <x v="1"/>
    <s v="43"/>
    <x v="6"/>
    <s v="Turkish"/>
    <s v="Graphic Design"/>
    <s v="13"/>
    <n v="20"/>
    <n v="1.2"/>
    <s v="TRUE"/>
    <n v="0.69"/>
  </r>
  <r>
    <s v="FL250803"/>
    <s v="Amanda Fowler"/>
    <x v="0"/>
    <s v="40"/>
    <x v="20"/>
    <s v="Spanish"/>
    <s v="Blockchain Development"/>
    <s v="20"/>
    <n v="30"/>
    <n v="2.6"/>
    <s v="TRUE"/>
    <n v="0.9"/>
  </r>
  <r>
    <s v="FL250804"/>
    <s v="Lindsay Rivera"/>
    <x v="0"/>
    <s v="51"/>
    <x v="7"/>
    <s v="English"/>
    <s v="Machine Learning"/>
    <s v="30"/>
    <n v="75"/>
    <n v="2.6"/>
    <s v="TRUE"/>
    <n v="0.74"/>
  </r>
  <r>
    <s v="FL250805"/>
    <s v="Mark Ward"/>
    <x v="1"/>
    <s v="23"/>
    <x v="2"/>
    <s v="German"/>
    <s v="AI"/>
    <s v="4"/>
    <n v="50"/>
    <n v="4.5"/>
    <s v="FALSE"/>
    <n v="0.98"/>
  </r>
  <r>
    <s v="FL250806"/>
    <s v="Amanda Smith"/>
    <x v="0"/>
    <s v="31"/>
    <x v="4"/>
    <s v="Indonesian"/>
    <s v="Graphic Design"/>
    <s v="Unknown"/>
    <n v="20"/>
    <n v="2.6"/>
    <s v="TRUE"/>
    <n v="0.84"/>
  </r>
  <r>
    <s v="FL250807"/>
    <s v="Emily Brown"/>
    <x v="0"/>
    <s v="44"/>
    <x v="13"/>
    <s v="Russian"/>
    <s v="Web Development"/>
    <s v="3"/>
    <n v="20"/>
    <n v="5"/>
    <s v="TRUE"/>
    <n v="0.75"/>
  </r>
  <r>
    <s v="FL250808"/>
    <s v="Dwayne Cardenas"/>
    <x v="1"/>
    <s v="56"/>
    <x v="2"/>
    <s v="German"/>
    <s v="Mobile Apps"/>
    <s v="23"/>
    <n v="75"/>
    <n v="3.9"/>
    <s v="TRUE"/>
    <n v="0.75"/>
  </r>
  <r>
    <s v="FL250809"/>
    <s v="Dr. Rhonda Hernandez"/>
    <x v="0"/>
    <s v="48"/>
    <x v="1"/>
    <s v="English"/>
    <s v="Cybersecurity"/>
    <s v="5"/>
    <n v="100"/>
    <n v="1.8"/>
    <s v="TRUE"/>
    <n v="0.97"/>
  </r>
  <r>
    <s v="FL250810"/>
    <s v="Melody Barker"/>
    <x v="0"/>
    <s v="46"/>
    <x v="13"/>
    <s v="Russian"/>
    <s v="Web Development"/>
    <s v="28"/>
    <n v="30"/>
    <n v="4.2"/>
    <s v="TRUE"/>
    <n v="0.75"/>
  </r>
  <r>
    <s v="FL250811"/>
    <s v="Russell Carpenter"/>
    <x v="1"/>
    <s v="21"/>
    <x v="16"/>
    <s v="Arabic"/>
    <s v="AI"/>
    <s v="0"/>
    <n v="20"/>
    <n v="2.6"/>
    <s v="FALSE"/>
    <n v="0.64"/>
  </r>
  <r>
    <s v="FL250812"/>
    <s v="Richard Hill"/>
    <x v="1"/>
    <s v="52"/>
    <x v="13"/>
    <s v="Russian"/>
    <s v="Data Analysis"/>
    <s v="30"/>
    <n v="30"/>
    <n v="2"/>
    <s v="TRUE"/>
    <n v="0.68"/>
  </r>
  <r>
    <s v="FL250813"/>
    <s v="Lindsay Potts"/>
    <x v="0"/>
    <s v="39"/>
    <x v="13"/>
    <s v="Russian"/>
    <s v="Graphic Design"/>
    <s v="20"/>
    <n v="75"/>
    <n v="2.7"/>
    <s v="TRUE"/>
    <n v="0.67"/>
  </r>
  <r>
    <s v="FL250814"/>
    <s v="Michelle Campbell"/>
    <x v="0"/>
    <s v="31"/>
    <x v="1"/>
    <s v="English"/>
    <s v="Mobile Apps"/>
    <s v="0"/>
    <n v="30"/>
    <n v="2.2999999999999998"/>
    <s v="FALSE"/>
    <n v="0.79"/>
  </r>
  <r>
    <s v="FL250815"/>
    <s v="Alan Williams"/>
    <x v="1"/>
    <s v="22"/>
    <x v="12"/>
    <s v="Korean"/>
    <s v="UI/UX Design"/>
    <s v="4"/>
    <n v="40"/>
    <n v="3.8"/>
    <s v="TRUE"/>
    <n v="1"/>
  </r>
  <r>
    <s v="FL250816"/>
    <s v="Robin Hinton"/>
    <x v="0"/>
    <s v="38"/>
    <x v="7"/>
    <s v="English"/>
    <s v="UI/UX Design"/>
    <s v="10"/>
    <n v="40"/>
    <n v="2.6"/>
    <s v="FALSE"/>
    <n v="0.66"/>
  </r>
  <r>
    <s v="FL250817"/>
    <s v="Brian Holland"/>
    <x v="1"/>
    <s v="44"/>
    <x v="8"/>
    <s v="Spanish"/>
    <s v="Graphic Design"/>
    <s v="24"/>
    <n v="75"/>
    <n v="4.5999999999999996"/>
    <s v="FALSE"/>
    <n v="0.97"/>
  </r>
  <r>
    <s v="FL250818"/>
    <s v="Adam Stone"/>
    <x v="1"/>
    <s v="53"/>
    <x v="4"/>
    <s v="Indonesian"/>
    <s v="Machine Learning"/>
    <s v="21"/>
    <n v="100"/>
    <n v="3.4"/>
    <s v="FALSE"/>
    <n v="0.62"/>
  </r>
  <r>
    <s v="FL250819"/>
    <s v="Curtis Lambert"/>
    <x v="1"/>
    <s v="22"/>
    <x v="18"/>
    <s v="Mandarin"/>
    <s v="Data Analysis"/>
    <s v="2"/>
    <n v="20"/>
    <n v="2.6"/>
    <s v="FALSE"/>
    <n v="0.75"/>
  </r>
  <r>
    <s v="FL250820"/>
    <s v="Alexandra Sims"/>
    <x v="0"/>
    <s v="40"/>
    <x v="10"/>
    <s v="Hindi"/>
    <s v="Blockchain Development"/>
    <s v="14"/>
    <n v="75"/>
    <n v="0"/>
    <s v="TRUE"/>
    <n v="0.79"/>
  </r>
  <r>
    <s v="FL250821"/>
    <s v="Brenda Spencer"/>
    <x v="0"/>
    <s v="49"/>
    <x v="18"/>
    <s v="Mandarin"/>
    <s v="Mobile Apps"/>
    <s v="15"/>
    <n v="40"/>
    <n v="3.9"/>
    <s v="TRUE"/>
    <n v="0.86"/>
  </r>
  <r>
    <s v="FL250822"/>
    <s v="Joshua Bush"/>
    <x v="1"/>
    <s v="30"/>
    <x v="1"/>
    <s v="English"/>
    <s v="UI/UX Design"/>
    <s v="11"/>
    <n v="30"/>
    <n v="4.2"/>
    <s v="FALSE"/>
    <n v="0.65"/>
  </r>
  <r>
    <s v="FL250823"/>
    <s v="Erin Martin"/>
    <x v="0"/>
    <s v="37"/>
    <x v="9"/>
    <s v="Japanese"/>
    <s v="AI"/>
    <s v="6"/>
    <n v="20"/>
    <n v="2.6"/>
    <s v="TRUE"/>
    <n v="0.99"/>
  </r>
  <r>
    <s v="FL250824"/>
    <s v="Alexander Hogan"/>
    <x v="1"/>
    <s v="21"/>
    <x v="16"/>
    <s v="Arabic"/>
    <s v="Graphic Design"/>
    <s v="2"/>
    <n v="100"/>
    <n v="3.6"/>
    <s v="TRUE"/>
    <n v="0.85"/>
  </r>
  <r>
    <s v="FL250825"/>
    <s v="William Harris"/>
    <x v="1"/>
    <s v="20"/>
    <x v="12"/>
    <s v="Korean"/>
    <s v="AI"/>
    <s v="1"/>
    <n v="50"/>
    <n v="2.6"/>
    <s v="TRUE"/>
    <n v="0.81"/>
  </r>
  <r>
    <s v="FL250826"/>
    <s v="Michael Mcmahon"/>
    <x v="1"/>
    <s v="20"/>
    <x v="18"/>
    <s v="Mandarin"/>
    <s v="Data Analysis"/>
    <s v="2"/>
    <n v="40"/>
    <n v="2.1"/>
    <s v="FALSE"/>
    <n v="0.64"/>
  </r>
  <r>
    <s v="FL250827"/>
    <s v="Michael Watson"/>
    <x v="1"/>
    <s v="20"/>
    <x v="8"/>
    <s v="Spanish"/>
    <s v="Machine Learning"/>
    <s v="2"/>
    <n v="20"/>
    <n v="3.9"/>
    <s v="TRUE"/>
    <n v="0.84"/>
  </r>
  <r>
    <s v="FL250828"/>
    <s v="Lori Perez"/>
    <x v="0"/>
    <s v="26"/>
    <x v="13"/>
    <s v="Russian"/>
    <s v="Machine Learning"/>
    <s v="2"/>
    <n v="40"/>
    <n v="0"/>
    <s v="TRUE"/>
    <n v="0.66"/>
  </r>
  <r>
    <s v="FL250829"/>
    <s v="Lindsay Le"/>
    <x v="0"/>
    <s v="50"/>
    <x v="12"/>
    <s v="Korean"/>
    <s v="Web Development"/>
    <s v="12"/>
    <n v="75"/>
    <n v="0"/>
    <s v="TRUE"/>
    <n v="0.75"/>
  </r>
  <r>
    <s v="FL250830"/>
    <s v="Scott Long"/>
    <x v="1"/>
    <s v="50"/>
    <x v="20"/>
    <s v="Spanish"/>
    <s v="AI"/>
    <s v="28"/>
    <n v="30"/>
    <n v="1.8"/>
    <s v="TRUE"/>
    <n v="0.75"/>
  </r>
  <r>
    <s v="FL250831"/>
    <s v="Diana Ferguson"/>
    <x v="0"/>
    <s v="54"/>
    <x v="4"/>
    <s v="Indonesian"/>
    <s v="AI"/>
    <s v="4"/>
    <n v="20"/>
    <n v="1.1000000000000001"/>
    <s v="TRUE"/>
    <n v="0.63"/>
  </r>
  <r>
    <s v="FL250832"/>
    <s v="Joseph Miller"/>
    <x v="1"/>
    <s v="54"/>
    <x v="20"/>
    <s v="Spanish"/>
    <s v="Blockchain Development"/>
    <s v="3"/>
    <n v="20"/>
    <n v="1.6"/>
    <s v="TRUE"/>
    <n v="0.7"/>
  </r>
  <r>
    <s v="FL250833"/>
    <s v="Julia Reid"/>
    <x v="0"/>
    <s v="34"/>
    <x v="16"/>
    <s v="Arabic"/>
    <s v="Machine Learning"/>
    <s v="4"/>
    <n v="30"/>
    <n v="3.1"/>
    <s v="TRUE"/>
    <n v="0.9"/>
  </r>
  <r>
    <s v="FL250834"/>
    <s v="Samantha Matthews"/>
    <x v="0"/>
    <s v="20"/>
    <x v="0"/>
    <s v="Italian"/>
    <s v="DevOps"/>
    <s v="1"/>
    <n v="50"/>
    <n v="3.4"/>
    <s v="TRUE"/>
    <n v="0.79"/>
  </r>
  <r>
    <s v="FL250835"/>
    <s v="Brian Bailey"/>
    <x v="1"/>
    <s v="29"/>
    <x v="2"/>
    <s v="German"/>
    <s v="AI"/>
    <s v="8"/>
    <n v="40"/>
    <n v="3.1"/>
    <s v="FALSE"/>
    <n v="0.6"/>
  </r>
  <r>
    <s v="FL250836"/>
    <s v="Toni Hinton"/>
    <x v="0"/>
    <s v="57"/>
    <x v="7"/>
    <s v="English"/>
    <s v="DevOps"/>
    <s v="11"/>
    <n v="75"/>
    <n v="2.2999999999999998"/>
    <s v="FALSE"/>
    <n v="0.75"/>
  </r>
  <r>
    <s v="FL250837"/>
    <s v="Robin Ortiz"/>
    <x v="0"/>
    <s v="36"/>
    <x v="3"/>
    <s v="Dutch"/>
    <s v="AI"/>
    <s v="8"/>
    <n v="40"/>
    <n v="2.6"/>
    <s v="FALSE"/>
    <n v="0.8"/>
  </r>
  <r>
    <s v="FL250838"/>
    <s v="Adam Griffith"/>
    <x v="1"/>
    <s v="51"/>
    <x v="12"/>
    <s v="Korean"/>
    <s v="Web Development"/>
    <s v="32"/>
    <n v="50"/>
    <n v="3.2"/>
    <s v="FALSE"/>
    <n v="0.88"/>
  </r>
  <r>
    <s v="FL250839"/>
    <s v="Daniel Roberson"/>
    <x v="1"/>
    <s v="44"/>
    <x v="10"/>
    <s v="Hindi"/>
    <s v="UI/UX Design"/>
    <s v="4"/>
    <n v="30"/>
    <n v="0"/>
    <s v="FALSE"/>
    <n v="0.8"/>
  </r>
  <r>
    <s v="FL250840"/>
    <s v="Dale Haynes"/>
    <x v="1"/>
    <s v="58"/>
    <x v="20"/>
    <s v="Spanish"/>
    <s v="Cybersecurity"/>
    <s v="33"/>
    <n v="30"/>
    <n v="3.3"/>
    <s v="TRUE"/>
    <n v="0.71"/>
  </r>
  <r>
    <s v="FL250841"/>
    <s v="Emily Scott"/>
    <x v="0"/>
    <s v="38"/>
    <x v="17"/>
    <s v="Afrikaans"/>
    <s v="Mobile Apps"/>
    <s v="14"/>
    <n v="50"/>
    <n v="1.1000000000000001"/>
    <s v="TRUE"/>
    <n v="0.76"/>
  </r>
  <r>
    <s v="FL250842"/>
    <s v="David Brown"/>
    <x v="1"/>
    <s v="24"/>
    <x v="5"/>
    <s v="English"/>
    <s v="UI/UX Design"/>
    <s v="6"/>
    <n v="30"/>
    <n v="4.5999999999999996"/>
    <s v="TRUE"/>
    <n v="0.93"/>
  </r>
  <r>
    <s v="FL250843"/>
    <s v="Stephanie Guzman"/>
    <x v="0"/>
    <s v="30"/>
    <x v="6"/>
    <s v="Turkish"/>
    <s v="Blockchain Development"/>
    <s v="5"/>
    <n v="30"/>
    <n v="2.6"/>
    <s v="FALSE"/>
    <n v="0.75"/>
  </r>
  <r>
    <s v="FL250844"/>
    <s v="Maxwell Johnson"/>
    <x v="1"/>
    <s v="25"/>
    <x v="4"/>
    <s v="Indonesian"/>
    <s v="Cybersecurity"/>
    <s v="3"/>
    <n v="75"/>
    <n v="2.6"/>
    <s v="FALSE"/>
    <n v="0.83"/>
  </r>
  <r>
    <s v="FL250845"/>
    <s v="Reginald Stephens"/>
    <x v="1"/>
    <s v="54"/>
    <x v="4"/>
    <s v="Indonesian"/>
    <s v="Mobile Apps"/>
    <s v="17"/>
    <n v="100"/>
    <n v="0"/>
    <s v="FALSE"/>
    <n v="0.71"/>
  </r>
  <r>
    <s v="FL250846"/>
    <s v="Justin Jones"/>
    <x v="1"/>
    <s v="54"/>
    <x v="0"/>
    <s v="Italian"/>
    <s v="Cybersecurity"/>
    <s v="9"/>
    <n v="20"/>
    <n v="0"/>
    <s v="TRUE"/>
    <n v="0.96"/>
  </r>
  <r>
    <s v="FL250847"/>
    <s v="Kristine Garcia"/>
    <x v="0"/>
    <s v="53"/>
    <x v="15"/>
    <s v="French"/>
    <s v="Graphic Design"/>
    <s v="16"/>
    <n v="40"/>
    <n v="0"/>
    <s v="FALSE"/>
    <n v="0.75"/>
  </r>
  <r>
    <s v="FL250848"/>
    <s v="John Nguyen"/>
    <x v="1"/>
    <s v="22"/>
    <x v="13"/>
    <s v="Russian"/>
    <s v="AI"/>
    <s v="3"/>
    <n v="75"/>
    <n v="3.4"/>
    <s v="TRUE"/>
    <n v="0.65"/>
  </r>
  <r>
    <s v="FL250849"/>
    <s v="Anna Fleming"/>
    <x v="0"/>
    <s v="23"/>
    <x v="19"/>
    <s v="Spanish"/>
    <s v="Data Analysis"/>
    <s v="2"/>
    <n v="20"/>
    <n v="1.3"/>
    <s v="FALSE"/>
    <n v="0.75"/>
  </r>
  <r>
    <s v="FL250850"/>
    <s v="Linda Williamson"/>
    <x v="0"/>
    <s v="47"/>
    <x v="15"/>
    <s v="French"/>
    <s v="Cybersecurity"/>
    <s v="16"/>
    <n v="50"/>
    <n v="1.9"/>
    <s v="FALSE"/>
    <n v="0.71"/>
  </r>
  <r>
    <s v="FL250851"/>
    <s v="Roy Wilson"/>
    <x v="1"/>
    <s v="24"/>
    <x v="15"/>
    <s v="French"/>
    <s v="Web Development"/>
    <s v="6"/>
    <n v="50"/>
    <n v="1.4"/>
    <s v="TRUE"/>
    <n v="0.63"/>
  </r>
  <r>
    <s v="FL250852"/>
    <s v="Jennifer Pierce"/>
    <x v="0"/>
    <s v="57"/>
    <x v="10"/>
    <s v="Hindi"/>
    <s v="UI/UX Design"/>
    <s v="10"/>
    <n v="100"/>
    <n v="4.3"/>
    <s v="TRUE"/>
    <n v="0.75"/>
  </r>
  <r>
    <s v="FL250853"/>
    <s v="Jason Johnson"/>
    <x v="1"/>
    <s v="48"/>
    <x v="20"/>
    <s v="Spanish"/>
    <s v="Graphic Design"/>
    <s v="16"/>
    <n v="30"/>
    <n v="2.6"/>
    <s v="FALSE"/>
    <n v="0.97"/>
  </r>
  <r>
    <s v="FL250854"/>
    <s v="Jasmine Lane"/>
    <x v="0"/>
    <s v="21"/>
    <x v="6"/>
    <s v="Turkish"/>
    <s v="UI/UX Design"/>
    <s v="0"/>
    <n v="100"/>
    <n v="4.3"/>
    <s v="FALSE"/>
    <n v="0.75"/>
  </r>
  <r>
    <s v="FL250855"/>
    <s v="Evan Soto"/>
    <x v="1"/>
    <s v="33"/>
    <x v="9"/>
    <s v="Japanese"/>
    <s v="AI"/>
    <s v="13"/>
    <n v="75"/>
    <n v="0"/>
    <s v="TRUE"/>
    <n v="0.75"/>
  </r>
  <r>
    <s v="FL250856"/>
    <s v="Kevin Serrano"/>
    <x v="1"/>
    <s v="41"/>
    <x v="6"/>
    <s v="Turkish"/>
    <s v="DevOps"/>
    <s v="12"/>
    <n v="50"/>
    <n v="1.3"/>
    <s v="FALSE"/>
    <n v="0.85"/>
  </r>
  <r>
    <s v="FL250857"/>
    <s v="Nathaniel Benson"/>
    <x v="1"/>
    <s v="40"/>
    <x v="1"/>
    <s v="English"/>
    <s v="Cybersecurity"/>
    <s v="13"/>
    <n v="50"/>
    <n v="2.9"/>
    <s v="FALSE"/>
    <n v="0.82"/>
  </r>
  <r>
    <s v="FL250858"/>
    <s v="Deanna Miles"/>
    <x v="0"/>
    <s v="40"/>
    <x v="19"/>
    <s v="Spanish"/>
    <s v="Graphic Design"/>
    <s v="22"/>
    <n v="40"/>
    <n v="4.3"/>
    <s v="FALSE"/>
    <n v="0.95"/>
  </r>
  <r>
    <s v="FL250859"/>
    <s v="Beverly Roy"/>
    <x v="0"/>
    <s v="20"/>
    <x v="5"/>
    <s v="English"/>
    <s v="Graphic Design"/>
    <s v="1"/>
    <n v="50"/>
    <n v="2.7"/>
    <s v="FALSE"/>
    <n v="0.94"/>
  </r>
  <r>
    <s v="FL250860"/>
    <s v="Heather Saunders"/>
    <x v="0"/>
    <s v="42"/>
    <x v="19"/>
    <s v="Spanish"/>
    <s v="Web Development"/>
    <s v="Unknown"/>
    <n v="50"/>
    <n v="4.2"/>
    <s v="TRUE"/>
    <n v="0.96"/>
  </r>
  <r>
    <s v="FL250861"/>
    <s v="Nicholas Guerrero"/>
    <x v="1"/>
    <s v="32"/>
    <x v="14"/>
    <s v="English"/>
    <s v="Blockchain Development"/>
    <s v="12"/>
    <n v="40"/>
    <n v="0"/>
    <s v="TRUE"/>
    <n v="0.63"/>
  </r>
  <r>
    <s v="FL250862"/>
    <s v="Christopher Johnson"/>
    <x v="1"/>
    <s v="60"/>
    <x v="9"/>
    <s v="Japanese"/>
    <s v="AI"/>
    <s v="Unknown"/>
    <n v="20"/>
    <n v="2.2000000000000002"/>
    <s v="TRUE"/>
    <n v="0.6"/>
  </r>
  <r>
    <s v="FL250863"/>
    <s v="Steven Flowers"/>
    <x v="1"/>
    <s v="46"/>
    <x v="16"/>
    <s v="Arabic"/>
    <s v="Machine Learning"/>
    <s v="12"/>
    <n v="50"/>
    <n v="4.7"/>
    <s v="TRUE"/>
    <n v="0.77"/>
  </r>
  <r>
    <s v="FL250864"/>
    <s v="Marvin Woods Iii"/>
    <x v="1"/>
    <s v="29"/>
    <x v="18"/>
    <s v="Mandarin"/>
    <s v="DevOps"/>
    <s v="0"/>
    <n v="30"/>
    <n v="0"/>
    <s v="FALSE"/>
    <n v="0.63"/>
  </r>
  <r>
    <s v="FL250865"/>
    <s v="Michelle Cook"/>
    <x v="0"/>
    <s v="39"/>
    <x v="11"/>
    <s v="Portuguese"/>
    <s v="Mobile Apps"/>
    <s v="18"/>
    <n v="20"/>
    <n v="2.5"/>
    <s v="TRUE"/>
    <n v="0.61"/>
  </r>
  <r>
    <s v="FL250866"/>
    <s v="Logan Zamora"/>
    <x v="1"/>
    <s v="55"/>
    <x v="13"/>
    <s v="Russian"/>
    <s v="Mobile Apps"/>
    <s v="2"/>
    <n v="50"/>
    <n v="3.9"/>
    <s v="TRUE"/>
    <n v="0.88"/>
  </r>
  <r>
    <s v="FL250867"/>
    <s v="Casey Roberts"/>
    <x v="1"/>
    <s v="55"/>
    <x v="6"/>
    <s v="Turkish"/>
    <s v="Cybersecurity"/>
    <s v="Unknown"/>
    <n v="100"/>
    <n v="1.2"/>
    <s v="TRUE"/>
    <n v="0.69"/>
  </r>
  <r>
    <s v="FL250868"/>
    <s v="Jerry Price"/>
    <x v="1"/>
    <s v="40"/>
    <x v="4"/>
    <s v="Indonesian"/>
    <s v="Data Analysis"/>
    <s v="2"/>
    <n v="75"/>
    <n v="4.5"/>
    <s v="TRUE"/>
    <n v="0.75"/>
  </r>
  <r>
    <s v="FL250869"/>
    <s v="Kelly Ellis"/>
    <x v="0"/>
    <s v="56"/>
    <x v="18"/>
    <s v="Mandarin"/>
    <s v="UI/UX Design"/>
    <s v="35"/>
    <n v="40"/>
    <n v="2.7"/>
    <s v="TRUE"/>
    <n v="0.82"/>
  </r>
  <r>
    <s v="FL250870"/>
    <s v="Caleb Guerra"/>
    <x v="1"/>
    <s v="57"/>
    <x v="19"/>
    <s v="Spanish"/>
    <s v="Mobile Apps"/>
    <s v="21"/>
    <n v="75"/>
    <n v="2"/>
    <s v="FALSE"/>
    <n v="0.96"/>
  </r>
  <r>
    <s v="FL250871"/>
    <s v="Samantha Norman"/>
    <x v="0"/>
    <s v="56"/>
    <x v="13"/>
    <s v="Russian"/>
    <s v="DevOps"/>
    <s v="3"/>
    <n v="40"/>
    <n v="1.7"/>
    <s v="FALSE"/>
    <n v="0.71"/>
  </r>
  <r>
    <s v="FL250872"/>
    <s v="Sarah Clarke"/>
    <x v="0"/>
    <s v="49"/>
    <x v="2"/>
    <s v="German"/>
    <s v="Mobile Apps"/>
    <s v="24"/>
    <n v="75"/>
    <n v="3"/>
    <s v="TRUE"/>
    <n v="0.77"/>
  </r>
  <r>
    <s v="FL250873"/>
    <s v="Aaron Blair"/>
    <x v="1"/>
    <s v="26"/>
    <x v="20"/>
    <s v="Spanish"/>
    <s v="Blockchain Development"/>
    <s v="Unknown"/>
    <n v="75"/>
    <n v="2.1"/>
    <s v="TRUE"/>
    <n v="0.75"/>
  </r>
  <r>
    <s v="FL250874"/>
    <s v="Courtney Burton"/>
    <x v="0"/>
    <s v="36"/>
    <x v="12"/>
    <s v="Korean"/>
    <s v="UI/UX Design"/>
    <s v="0"/>
    <n v="75"/>
    <n v="1.5"/>
    <s v="TRUE"/>
    <n v="0.73"/>
  </r>
  <r>
    <s v="FL250875"/>
    <s v="Gerald Taylor"/>
    <x v="1"/>
    <s v="20"/>
    <x v="13"/>
    <s v="Russian"/>
    <s v="Web Development"/>
    <s v="2"/>
    <n v="30"/>
    <n v="1.7"/>
    <s v="TRUE"/>
    <n v="0.6"/>
  </r>
  <r>
    <s v="FL250876"/>
    <s v="Mary Ward"/>
    <x v="0"/>
    <s v="40"/>
    <x v="20"/>
    <s v="Spanish"/>
    <s v="AI"/>
    <s v="Unknown"/>
    <n v="50"/>
    <n v="1.2"/>
    <s v="TRUE"/>
    <n v="0.67"/>
  </r>
  <r>
    <s v="FL250877"/>
    <s v="Lisa Beard Dvm"/>
    <x v="0"/>
    <s v="30"/>
    <x v="10"/>
    <s v="Hindi"/>
    <s v="Mobile Apps"/>
    <s v="6"/>
    <n v="75"/>
    <n v="0"/>
    <s v="TRUE"/>
    <n v="0.8"/>
  </r>
  <r>
    <s v="FL250878"/>
    <s v="Larry Wallace"/>
    <x v="1"/>
    <s v="51"/>
    <x v="1"/>
    <s v="English"/>
    <s v="Graphic Design"/>
    <s v="21"/>
    <n v="20"/>
    <n v="2.6"/>
    <s v="TRUE"/>
    <n v="0.75"/>
  </r>
  <r>
    <s v="FL250879"/>
    <s v="Jeremiah Thompson"/>
    <x v="1"/>
    <s v="46"/>
    <x v="5"/>
    <s v="English"/>
    <s v="UI/UX Design"/>
    <s v="24"/>
    <n v="40"/>
    <n v="3.3"/>
    <s v="TRUE"/>
    <n v="0.87"/>
  </r>
  <r>
    <s v="FL250880"/>
    <s v="Jessica Williams Dvm"/>
    <x v="0"/>
    <s v="25"/>
    <x v="12"/>
    <s v="Korean"/>
    <s v="AI"/>
    <s v="6"/>
    <n v="20"/>
    <n v="2.1"/>
    <s v="FALSE"/>
    <n v="0.75"/>
  </r>
  <r>
    <s v="FL250881"/>
    <s v="Martin Moreno"/>
    <x v="1"/>
    <s v="53"/>
    <x v="3"/>
    <s v="Dutch"/>
    <s v="Web Development"/>
    <s v="32"/>
    <n v="50"/>
    <n v="2.6"/>
    <s v="TRUE"/>
    <n v="0.75"/>
  </r>
  <r>
    <s v="FL250882"/>
    <s v="Yolanda Proctor"/>
    <x v="0"/>
    <s v="50"/>
    <x v="16"/>
    <s v="Arabic"/>
    <s v="Mobile Apps"/>
    <s v="31"/>
    <n v="100"/>
    <n v="2.9"/>
    <s v="TRUE"/>
    <n v="0.89"/>
  </r>
  <r>
    <s v="FL250883"/>
    <s v="Allen Turner"/>
    <x v="1"/>
    <s v="45"/>
    <x v="12"/>
    <s v="Korean"/>
    <s v="AI"/>
    <s v="Unknown"/>
    <n v="20"/>
    <n v="3.3"/>
    <s v="TRUE"/>
    <n v="0.93"/>
  </r>
  <r>
    <s v="FL250884"/>
    <s v="Beth Huff"/>
    <x v="0"/>
    <s v="48"/>
    <x v="14"/>
    <s v="English"/>
    <s v="Cybersecurity"/>
    <s v="24"/>
    <n v="100"/>
    <n v="4.8"/>
    <s v="TRUE"/>
    <n v="0.84"/>
  </r>
  <r>
    <s v="FL250885"/>
    <s v="John Mckinney"/>
    <x v="1"/>
    <s v="30"/>
    <x v="4"/>
    <s v="Indonesian"/>
    <s v="DevOps"/>
    <s v="Unknown"/>
    <n v="100"/>
    <n v="4.5"/>
    <s v="TRUE"/>
    <n v="0.78"/>
  </r>
  <r>
    <s v="FL250886"/>
    <s v="Sarah Ho"/>
    <x v="0"/>
    <s v="33"/>
    <x v="3"/>
    <s v="Dutch"/>
    <s v="UI/UX Design"/>
    <s v="6"/>
    <n v="50"/>
    <n v="3.1"/>
    <s v="FALSE"/>
    <n v="0.9"/>
  </r>
  <r>
    <s v="FL250887"/>
    <s v="Lindsey Wang"/>
    <x v="0"/>
    <s v="50"/>
    <x v="7"/>
    <s v="English"/>
    <s v="DevOps"/>
    <s v="11"/>
    <n v="50"/>
    <n v="4.9000000000000004"/>
    <s v="TRUE"/>
    <n v="0.88"/>
  </r>
  <r>
    <s v="FL250888"/>
    <s v="Margaret Schwartz"/>
    <x v="0"/>
    <s v="24"/>
    <x v="4"/>
    <s v="Indonesian"/>
    <s v="Data Analysis"/>
    <s v="Unknown"/>
    <n v="20"/>
    <n v="0"/>
    <s v="FALSE"/>
    <n v="0.76"/>
  </r>
  <r>
    <s v="FL250889"/>
    <s v="Kyle Ray"/>
    <x v="1"/>
    <s v="38"/>
    <x v="0"/>
    <s v="Italian"/>
    <s v="Web Development"/>
    <s v="14"/>
    <n v="75"/>
    <n v="1.5"/>
    <s v="FALSE"/>
    <n v="0.62"/>
  </r>
  <r>
    <s v="FL250890"/>
    <s v="Isaac Hebert"/>
    <x v="1"/>
    <s v="56"/>
    <x v="9"/>
    <s v="Japanese"/>
    <s v="DevOps"/>
    <s v="2"/>
    <n v="75"/>
    <n v="2.4"/>
    <s v="FALSE"/>
    <n v="0.75"/>
  </r>
  <r>
    <s v="FL250891"/>
    <s v="Michele Jones"/>
    <x v="0"/>
    <s v="41"/>
    <x v="13"/>
    <s v="Russian"/>
    <s v="DevOps"/>
    <s v="2"/>
    <n v="100"/>
    <n v="4.5"/>
    <s v="FALSE"/>
    <n v="0.75"/>
  </r>
  <r>
    <s v="FL250892"/>
    <s v="Austin Allen"/>
    <x v="1"/>
    <s v="Unknown"/>
    <x v="0"/>
    <s v="Italian"/>
    <s v="UI/UX Design"/>
    <s v="11"/>
    <n v="100"/>
    <n v="2.5"/>
    <s v="TRUE"/>
    <n v="0.8"/>
  </r>
  <r>
    <s v="FL250893"/>
    <s v="Haley Castro"/>
    <x v="0"/>
    <s v="42"/>
    <x v="2"/>
    <s v="German"/>
    <s v="Graphic Design"/>
    <s v="13"/>
    <n v="30"/>
    <n v="3.3"/>
    <s v="TRUE"/>
    <n v="0.63"/>
  </r>
  <r>
    <s v="FL250894"/>
    <s v="David Armstrong"/>
    <x v="1"/>
    <s v="26"/>
    <x v="10"/>
    <s v="Hindi"/>
    <s v="Blockchain Development"/>
    <s v="7"/>
    <n v="75"/>
    <n v="3"/>
    <s v="TRUE"/>
    <n v="0.84"/>
  </r>
  <r>
    <s v="FL250895"/>
    <s v="Wendy Mitchell"/>
    <x v="0"/>
    <s v="44"/>
    <x v="14"/>
    <s v="English"/>
    <s v="Cybersecurity"/>
    <s v="25"/>
    <n v="75"/>
    <n v="2.7"/>
    <s v="TRUE"/>
    <n v="0.78"/>
  </r>
  <r>
    <s v="FL250896"/>
    <s v="Anthony Hernandez"/>
    <x v="1"/>
    <s v="46"/>
    <x v="14"/>
    <s v="English"/>
    <s v="Graphic Design"/>
    <s v="20"/>
    <n v="20"/>
    <n v="1.2"/>
    <s v="TRUE"/>
    <n v="0.74"/>
  </r>
  <r>
    <s v="FL250897"/>
    <s v="Erica Johnson"/>
    <x v="0"/>
    <s v="36"/>
    <x v="5"/>
    <s v="English"/>
    <s v="UI/UX Design"/>
    <s v="8"/>
    <n v="50"/>
    <n v="4.3"/>
    <s v="FALSE"/>
    <n v="0.9"/>
  </r>
  <r>
    <s v="FL250898"/>
    <s v="Randall Barrett"/>
    <x v="1"/>
    <s v="26"/>
    <x v="3"/>
    <s v="Dutch"/>
    <s v="AI"/>
    <s v="6"/>
    <n v="40"/>
    <n v="1.3"/>
    <s v="FALSE"/>
    <n v="0.75"/>
  </r>
  <r>
    <s v="FL250899"/>
    <s v="Nathan Huff"/>
    <x v="1"/>
    <s v="21"/>
    <x v="2"/>
    <s v="German"/>
    <s v="UI/UX Design"/>
    <s v="3"/>
    <n v="50"/>
    <n v="4.5999999999999996"/>
    <s v="TRUE"/>
    <n v="0.75"/>
  </r>
  <r>
    <s v="FL250900"/>
    <s v="Robin Walsh"/>
    <x v="0"/>
    <s v="39"/>
    <x v="4"/>
    <s v="Indonesian"/>
    <s v="UI/UX Design"/>
    <s v="18"/>
    <n v="50"/>
    <n v="2.1"/>
    <s v="FALSE"/>
    <n v="0.75"/>
  </r>
  <r>
    <s v="FL250901"/>
    <s v="Yvonne Robinson"/>
    <x v="0"/>
    <s v="37"/>
    <x v="5"/>
    <s v="English"/>
    <s v="Blockchain Development"/>
    <s v="18"/>
    <n v="40"/>
    <n v="4.5"/>
    <s v="FALSE"/>
    <n v="0.72"/>
  </r>
  <r>
    <s v="FL250902"/>
    <s v="Kathleen Hendrix"/>
    <x v="0"/>
    <s v="47"/>
    <x v="13"/>
    <s v="Russian"/>
    <s v="UI/UX Design"/>
    <s v="3"/>
    <n v="40"/>
    <n v="4.4000000000000004"/>
    <s v="TRUE"/>
    <n v="0.92"/>
  </r>
  <r>
    <s v="FL250903"/>
    <s v="Jennifer Baker"/>
    <x v="0"/>
    <s v="53"/>
    <x v="13"/>
    <s v="Russian"/>
    <s v="Graphic Design"/>
    <s v="32"/>
    <n v="20"/>
    <n v="0"/>
    <s v="FALSE"/>
    <n v="0.75"/>
  </r>
  <r>
    <s v="FL250904"/>
    <s v="Kim Martinez"/>
    <x v="0"/>
    <s v="53"/>
    <x v="8"/>
    <s v="Spanish"/>
    <s v="Mobile Apps"/>
    <s v="19"/>
    <n v="20"/>
    <n v="1.3"/>
    <s v="FALSE"/>
    <n v="0.75"/>
  </r>
  <r>
    <s v="FL250905"/>
    <s v="Andrew Little"/>
    <x v="1"/>
    <s v="21"/>
    <x v="10"/>
    <s v="Hindi"/>
    <s v="Data Analysis"/>
    <s v="2"/>
    <n v="50"/>
    <n v="2.6"/>
    <s v="TRUE"/>
    <n v="0.86"/>
  </r>
  <r>
    <s v="FL250906"/>
    <s v="Kelly Shelton"/>
    <x v="0"/>
    <s v="35"/>
    <x v="7"/>
    <s v="English"/>
    <s v="Blockchain Development"/>
    <s v="0"/>
    <n v="50"/>
    <n v="2.6"/>
    <s v="TRUE"/>
    <n v="0.85"/>
  </r>
  <r>
    <s v="FL250907"/>
    <s v="Steven Duncan"/>
    <x v="1"/>
    <s v="31"/>
    <x v="8"/>
    <s v="Spanish"/>
    <s v="Machine Learning"/>
    <s v="13"/>
    <n v="40"/>
    <n v="1.2"/>
    <s v="TRUE"/>
    <n v="0.62"/>
  </r>
  <r>
    <s v="FL250908"/>
    <s v="Kristen Haney"/>
    <x v="0"/>
    <s v="55"/>
    <x v="12"/>
    <s v="Korean"/>
    <s v="AI"/>
    <s v="2"/>
    <n v="30"/>
    <n v="3.1"/>
    <s v="TRUE"/>
    <n v="0.91"/>
  </r>
  <r>
    <s v="FL250909"/>
    <s v="Kathy Reese"/>
    <x v="0"/>
    <s v="59"/>
    <x v="6"/>
    <s v="Turkish"/>
    <s v="Web Development"/>
    <s v="11"/>
    <n v="75"/>
    <n v="2.2999999999999998"/>
    <s v="TRUE"/>
    <n v="0.8"/>
  </r>
  <r>
    <s v="FL250910"/>
    <s v="Steven Murphy"/>
    <x v="1"/>
    <s v="59"/>
    <x v="15"/>
    <s v="French"/>
    <s v="Cybersecurity"/>
    <s v="17"/>
    <n v="100"/>
    <n v="4"/>
    <s v="FALSE"/>
    <n v="0.72"/>
  </r>
  <r>
    <s v="FL250911"/>
    <s v="William Hartman"/>
    <x v="1"/>
    <s v="47"/>
    <x v="10"/>
    <s v="Hindi"/>
    <s v="Blockchain Development"/>
    <s v="10"/>
    <n v="75"/>
    <n v="1.9"/>
    <s v="TRUE"/>
    <n v="0.75"/>
  </r>
  <r>
    <s v="FL250912"/>
    <s v="Sonya Haley"/>
    <x v="0"/>
    <s v="53"/>
    <x v="17"/>
    <s v="Afrikaans"/>
    <s v="Machine Learning"/>
    <s v="26"/>
    <n v="75"/>
    <n v="2.4"/>
    <s v="TRUE"/>
    <n v="0.75"/>
  </r>
  <r>
    <s v="FL250913"/>
    <s v="Robert Evans"/>
    <x v="1"/>
    <s v="49"/>
    <x v="17"/>
    <s v="Afrikaans"/>
    <s v="Data Analysis"/>
    <s v="Unknown"/>
    <n v="30"/>
    <n v="2.6"/>
    <s v="TRUE"/>
    <n v="0.74"/>
  </r>
  <r>
    <s v="FL250914"/>
    <s v="Patricia Richardson"/>
    <x v="0"/>
    <s v="50"/>
    <x v="17"/>
    <s v="Afrikaans"/>
    <s v="Mobile Apps"/>
    <s v="8"/>
    <n v="50"/>
    <n v="3.7"/>
    <s v="TRUE"/>
    <n v="0.82"/>
  </r>
  <r>
    <s v="FL250915"/>
    <s v="Carolyn Lopez"/>
    <x v="0"/>
    <s v="59"/>
    <x v="12"/>
    <s v="Korean"/>
    <s v="Machine Learning"/>
    <s v="22"/>
    <n v="100"/>
    <n v="1.1000000000000001"/>
    <s v="FALSE"/>
    <n v="0.85"/>
  </r>
  <r>
    <s v="FL250916"/>
    <s v="Kyle Burns"/>
    <x v="1"/>
    <s v="33"/>
    <x v="6"/>
    <s v="Turkish"/>
    <s v="Data Analysis"/>
    <s v="8"/>
    <n v="75"/>
    <n v="2.2999999999999998"/>
    <s v="TRUE"/>
    <n v="0.68"/>
  </r>
  <r>
    <s v="FL250917"/>
    <s v="Margaret Garcia"/>
    <x v="0"/>
    <s v="45"/>
    <x v="14"/>
    <s v="English"/>
    <s v="Web Development"/>
    <s v="22"/>
    <n v="40"/>
    <n v="3.7"/>
    <s v="TRUE"/>
    <n v="0.99"/>
  </r>
  <r>
    <s v="FL250918"/>
    <s v="Brittany Barker"/>
    <x v="0"/>
    <s v="36"/>
    <x v="0"/>
    <s v="Italian"/>
    <s v="Graphic Design"/>
    <s v="14"/>
    <n v="30"/>
    <n v="1.9"/>
    <s v="FALSE"/>
    <n v="0.62"/>
  </r>
  <r>
    <s v="FL250919"/>
    <s v="Paul Campbell"/>
    <x v="1"/>
    <s v="46"/>
    <x v="17"/>
    <s v="Afrikaans"/>
    <s v="UI/UX Design"/>
    <s v="6"/>
    <n v="30"/>
    <n v="1.5"/>
    <s v="FALSE"/>
    <n v="0.75"/>
  </r>
  <r>
    <s v="FL250920"/>
    <s v="Amy Morrow"/>
    <x v="0"/>
    <s v="53"/>
    <x v="6"/>
    <s v="Turkish"/>
    <s v="Graphic Design"/>
    <s v="14"/>
    <n v="30"/>
    <n v="0"/>
    <s v="TRUE"/>
    <n v="0.83"/>
  </r>
  <r>
    <s v="FL250921"/>
    <s v="Amy Fitzgerald"/>
    <x v="0"/>
    <s v="24"/>
    <x v="5"/>
    <s v="English"/>
    <s v="Web Development"/>
    <s v="2"/>
    <n v="30"/>
    <n v="3.6"/>
    <s v="TRUE"/>
    <n v="0.92"/>
  </r>
  <r>
    <s v="FL250922"/>
    <s v="Anita Becker"/>
    <x v="0"/>
    <s v="49"/>
    <x v="20"/>
    <s v="Spanish"/>
    <s v="DevOps"/>
    <s v="4"/>
    <n v="75"/>
    <n v="2.1"/>
    <s v="TRUE"/>
    <n v="0.85"/>
  </r>
  <r>
    <s v="FL250923"/>
    <s v="Amy Brooks"/>
    <x v="0"/>
    <s v="49"/>
    <x v="12"/>
    <s v="Korean"/>
    <s v="AI"/>
    <s v="4"/>
    <n v="75"/>
    <n v="2.9"/>
    <s v="FALSE"/>
    <n v="0.75"/>
  </r>
  <r>
    <s v="FL250924"/>
    <s v="Lori Marshall"/>
    <x v="0"/>
    <s v="49"/>
    <x v="12"/>
    <s v="Korean"/>
    <s v="Mobile Apps"/>
    <s v="24"/>
    <n v="100"/>
    <n v="3.6"/>
    <s v="TRUE"/>
    <n v="0.75"/>
  </r>
  <r>
    <s v="FL250925"/>
    <s v="Jennifer Miller"/>
    <x v="0"/>
    <s v="58"/>
    <x v="11"/>
    <s v="Portuguese"/>
    <s v="Blockchain Development"/>
    <s v="29"/>
    <n v="30"/>
    <n v="3.3"/>
    <s v="TRUE"/>
    <n v="0.89"/>
  </r>
  <r>
    <s v="FL250926"/>
    <s v="Thomas Young"/>
    <x v="1"/>
    <s v="50"/>
    <x v="17"/>
    <s v="Afrikaans"/>
    <s v="UI/UX Design"/>
    <s v="13"/>
    <n v="50"/>
    <n v="2.5"/>
    <s v="TRUE"/>
    <n v="0.81"/>
  </r>
  <r>
    <s v="FL250927"/>
    <s v="Zachary Larsen"/>
    <x v="1"/>
    <s v="27"/>
    <x v="17"/>
    <s v="Afrikaans"/>
    <s v="DevOps"/>
    <s v="1"/>
    <n v="100"/>
    <n v="3.7"/>
    <s v="TRUE"/>
    <n v="0.61"/>
  </r>
  <r>
    <s v="FL250928"/>
    <s v="Valerie Gutierrez"/>
    <x v="0"/>
    <s v="20"/>
    <x v="12"/>
    <s v="Korean"/>
    <s v="Machine Learning"/>
    <s v="Unknown"/>
    <n v="30"/>
    <n v="4.5999999999999996"/>
    <s v="TRUE"/>
    <n v="0.75"/>
  </r>
  <r>
    <s v="FL250929"/>
    <s v="Daniel Parker"/>
    <x v="1"/>
    <s v="52"/>
    <x v="13"/>
    <s v="Russian"/>
    <s v="Blockchain Development"/>
    <s v="15"/>
    <n v="40"/>
    <n v="0"/>
    <s v="TRUE"/>
    <n v="0.92"/>
  </r>
  <r>
    <s v="FL250930"/>
    <s v="Nicole Bennett"/>
    <x v="0"/>
    <s v="22"/>
    <x v="15"/>
    <s v="French"/>
    <s v="Machine Learning"/>
    <s v="2"/>
    <n v="30"/>
    <n v="2"/>
    <s v="FALSE"/>
    <n v="0.96"/>
  </r>
  <r>
    <s v="FL250931"/>
    <s v="Lauren Lowery"/>
    <x v="0"/>
    <s v="38"/>
    <x v="6"/>
    <s v="Turkish"/>
    <s v="Web Development"/>
    <s v="14"/>
    <n v="100"/>
    <n v="1.7"/>
    <s v="TRUE"/>
    <n v="0.66"/>
  </r>
  <r>
    <s v="FL250932"/>
    <s v="Alexander Woodward"/>
    <x v="1"/>
    <s v="21"/>
    <x v="14"/>
    <s v="English"/>
    <s v="Graphic Design"/>
    <s v="0"/>
    <n v="100"/>
    <n v="3"/>
    <s v="FALSE"/>
    <n v="0.64"/>
  </r>
  <r>
    <s v="FL250933"/>
    <s v="Anthony Walter"/>
    <x v="1"/>
    <s v="41"/>
    <x v="1"/>
    <s v="English"/>
    <s v="AI"/>
    <s v="15"/>
    <n v="40"/>
    <n v="3.4"/>
    <s v="TRUE"/>
    <n v="1"/>
  </r>
  <r>
    <s v="FL250934"/>
    <s v="Valerie Finley"/>
    <x v="0"/>
    <s v="33"/>
    <x v="4"/>
    <s v="Indonesian"/>
    <s v="Blockchain Development"/>
    <s v="6"/>
    <n v="40"/>
    <n v="3.2"/>
    <s v="TRUE"/>
    <n v="0.95"/>
  </r>
  <r>
    <s v="FL250935"/>
    <s v="Deborah Kelley"/>
    <x v="0"/>
    <s v="38"/>
    <x v="19"/>
    <s v="Spanish"/>
    <s v="Mobile Apps"/>
    <s v="11"/>
    <n v="50"/>
    <n v="2.8"/>
    <s v="TRUE"/>
    <n v="0.91"/>
  </r>
  <r>
    <s v="FL250936"/>
    <s v="Kristina Miller"/>
    <x v="0"/>
    <s v="26"/>
    <x v="13"/>
    <s v="Russian"/>
    <s v="DevOps"/>
    <s v="8"/>
    <n v="20"/>
    <n v="4.0999999999999996"/>
    <s v="TRUE"/>
    <n v="0.82"/>
  </r>
  <r>
    <s v="FL250937"/>
    <s v="Anne Hampton"/>
    <x v="0"/>
    <s v="43"/>
    <x v="3"/>
    <s v="Dutch"/>
    <s v="AI"/>
    <s v="3"/>
    <n v="20"/>
    <n v="0"/>
    <s v="TRUE"/>
    <n v="0.95"/>
  </r>
  <r>
    <s v="FL250938"/>
    <s v="Sandra Henry"/>
    <x v="0"/>
    <s v="21"/>
    <x v="0"/>
    <s v="Italian"/>
    <s v="Cybersecurity"/>
    <s v="0"/>
    <n v="50"/>
    <n v="0"/>
    <s v="TRUE"/>
    <n v="0.95"/>
  </r>
  <r>
    <s v="FL250939"/>
    <s v="Tony Hester"/>
    <x v="1"/>
    <s v="47"/>
    <x v="12"/>
    <s v="Korean"/>
    <s v="Mobile Apps"/>
    <s v="7"/>
    <n v="30"/>
    <n v="2.6"/>
    <s v="TRUE"/>
    <n v="0.69"/>
  </r>
  <r>
    <s v="FL250940"/>
    <s v="Nathan Davis"/>
    <x v="1"/>
    <s v="35"/>
    <x v="20"/>
    <s v="Spanish"/>
    <s v="Graphic Design"/>
    <s v="6"/>
    <n v="40"/>
    <n v="2.6"/>
    <s v="TRUE"/>
    <n v="0.91"/>
  </r>
  <r>
    <s v="FL250941"/>
    <s v="Erica Jackson"/>
    <x v="0"/>
    <s v="37"/>
    <x v="4"/>
    <s v="Indonesian"/>
    <s v="Mobile Apps"/>
    <s v="9"/>
    <n v="30"/>
    <n v="2.7"/>
    <s v="TRUE"/>
    <n v="0.75"/>
  </r>
  <r>
    <s v="FL250942"/>
    <s v="Nancy Glover"/>
    <x v="0"/>
    <s v="38"/>
    <x v="11"/>
    <s v="Portuguese"/>
    <s v="AI"/>
    <s v="15"/>
    <n v="40"/>
    <n v="4"/>
    <s v="TRUE"/>
    <n v="0.62"/>
  </r>
  <r>
    <s v="FL250943"/>
    <s v="Richard Sanchez"/>
    <x v="1"/>
    <s v="40"/>
    <x v="14"/>
    <s v="English"/>
    <s v="Data Analysis"/>
    <s v="20"/>
    <n v="20"/>
    <n v="2.5"/>
    <s v="FALSE"/>
    <n v="0.81"/>
  </r>
  <r>
    <s v="FL250944"/>
    <s v="Savannah Reid"/>
    <x v="0"/>
    <s v="46"/>
    <x v="11"/>
    <s v="Portuguese"/>
    <s v="Data Analysis"/>
    <s v="16"/>
    <n v="75"/>
    <n v="0"/>
    <s v="FALSE"/>
    <n v="0.94"/>
  </r>
  <r>
    <s v="FL250945"/>
    <s v="Robert Salazar"/>
    <x v="1"/>
    <s v="56"/>
    <x v="16"/>
    <s v="Arabic"/>
    <s v="DevOps"/>
    <s v="22"/>
    <n v="30"/>
    <n v="2.6"/>
    <s v="FALSE"/>
    <n v="0.95"/>
  </r>
  <r>
    <s v="FL250946"/>
    <s v="Hector Greer"/>
    <x v="1"/>
    <s v="24"/>
    <x v="6"/>
    <s v="Turkish"/>
    <s v="Graphic Design"/>
    <s v="2"/>
    <n v="50"/>
    <n v="1.6"/>
    <s v="FALSE"/>
    <n v="1"/>
  </r>
  <r>
    <s v="FL250947"/>
    <s v="Thomas Jackson"/>
    <x v="1"/>
    <s v="Unknown"/>
    <x v="19"/>
    <s v="Spanish"/>
    <s v="AI"/>
    <s v="1"/>
    <n v="75"/>
    <n v="0"/>
    <s v="TRUE"/>
    <n v="0.94"/>
  </r>
  <r>
    <s v="FL250948"/>
    <s v="Tina Clark"/>
    <x v="0"/>
    <s v="38"/>
    <x v="6"/>
    <s v="Turkish"/>
    <s v="Mobile Apps"/>
    <s v="8"/>
    <n v="30"/>
    <n v="4"/>
    <s v="TRUE"/>
    <n v="0.92"/>
  </r>
  <r>
    <s v="FL250949"/>
    <s v="Heather Brown"/>
    <x v="0"/>
    <s v="28"/>
    <x v="15"/>
    <s v="French"/>
    <s v="DevOps"/>
    <s v="8"/>
    <n v="50"/>
    <n v="2.5"/>
    <s v="TRUE"/>
    <n v="0.95"/>
  </r>
  <r>
    <s v="FL250950"/>
    <s v="John Weaver"/>
    <x v="1"/>
    <s v="25"/>
    <x v="11"/>
    <s v="Portuguese"/>
    <s v="DevOps"/>
    <s v="7"/>
    <n v="20"/>
    <n v="3.8"/>
    <s v="TRUE"/>
    <n v="0.97"/>
  </r>
  <r>
    <s v="FL250951"/>
    <s v="Bradley Harris"/>
    <x v="1"/>
    <s v="41"/>
    <x v="7"/>
    <s v="English"/>
    <s v="DevOps"/>
    <s v="8"/>
    <n v="50"/>
    <n v="4.8"/>
    <s v="FALSE"/>
    <n v="0.75"/>
  </r>
  <r>
    <s v="FL250952"/>
    <s v="Cassandra Macdonald"/>
    <x v="0"/>
    <s v="45"/>
    <x v="19"/>
    <s v="Spanish"/>
    <s v="Data Analysis"/>
    <s v="6"/>
    <n v="40"/>
    <n v="2"/>
    <s v="TRUE"/>
    <n v="0.78"/>
  </r>
  <r>
    <s v="FL250953"/>
    <s v="Matthew White"/>
    <x v="1"/>
    <s v="47"/>
    <x v="6"/>
    <s v="Turkish"/>
    <s v="DevOps"/>
    <s v="16"/>
    <n v="100"/>
    <n v="3.3"/>
    <s v="FALSE"/>
    <n v="0.65"/>
  </r>
  <r>
    <s v="FL250954"/>
    <s v="Miss Kimberly Marshall"/>
    <x v="0"/>
    <s v="59"/>
    <x v="7"/>
    <s v="English"/>
    <s v="Data Analysis"/>
    <s v="40"/>
    <n v="40"/>
    <n v="2.5"/>
    <s v="TRUE"/>
    <n v="0.7"/>
  </r>
  <r>
    <s v="FL250955"/>
    <s v="Laura Thompson"/>
    <x v="0"/>
    <s v="25"/>
    <x v="14"/>
    <s v="English"/>
    <s v="Blockchain Development"/>
    <s v="6"/>
    <n v="100"/>
    <n v="2.6"/>
    <s v="TRUE"/>
    <n v="0.78"/>
  </r>
  <r>
    <s v="FL250956"/>
    <s v="Nathan Soto"/>
    <x v="1"/>
    <s v="27"/>
    <x v="1"/>
    <s v="English"/>
    <s v="Web Development"/>
    <s v="3"/>
    <n v="50"/>
    <n v="2.6"/>
    <s v="TRUE"/>
    <n v="0.96"/>
  </r>
  <r>
    <s v="FL250957"/>
    <s v="Rhonda Hines"/>
    <x v="0"/>
    <s v="57"/>
    <x v="1"/>
    <s v="English"/>
    <s v="AI"/>
    <s v="5"/>
    <n v="100"/>
    <n v="0"/>
    <s v="TRUE"/>
    <n v="0.8"/>
  </r>
  <r>
    <s v="FL250958"/>
    <s v="Gabrielle Bowman"/>
    <x v="0"/>
    <s v="34"/>
    <x v="6"/>
    <s v="Turkish"/>
    <s v="UI/UX Design"/>
    <s v="12"/>
    <n v="20"/>
    <n v="1.6"/>
    <s v="TRUE"/>
    <n v="0.64"/>
  </r>
  <r>
    <s v="FL250959"/>
    <s v="Julian Edwards"/>
    <x v="1"/>
    <s v="55"/>
    <x v="15"/>
    <s v="French"/>
    <s v="UI/UX Design"/>
    <s v="33"/>
    <n v="50"/>
    <n v="0"/>
    <s v="TRUE"/>
    <n v="0.92"/>
  </r>
  <r>
    <s v="FL250960"/>
    <s v="Nicholas Scott"/>
    <x v="1"/>
    <s v="21"/>
    <x v="16"/>
    <s v="Arabic"/>
    <s v="Blockchain Development"/>
    <s v="1"/>
    <n v="100"/>
    <n v="0"/>
    <s v="TRUE"/>
    <n v="0.75"/>
  </r>
  <r>
    <s v="FL250961"/>
    <s v="Daniel Green"/>
    <x v="1"/>
    <s v="53"/>
    <x v="3"/>
    <s v="Dutch"/>
    <s v="DevOps"/>
    <s v="27"/>
    <n v="20"/>
    <n v="4.7"/>
    <s v="TRUE"/>
    <n v="0.71"/>
  </r>
  <r>
    <s v="FL250962"/>
    <s v="Catherine Johnston"/>
    <x v="0"/>
    <s v="21"/>
    <x v="2"/>
    <s v="German"/>
    <s v="UI/UX Design"/>
    <s v="1"/>
    <n v="100"/>
    <n v="0"/>
    <s v="TRUE"/>
    <n v="0.95"/>
  </r>
  <r>
    <s v="FL250963"/>
    <s v="Brenda Koch"/>
    <x v="0"/>
    <s v="36"/>
    <x v="11"/>
    <s v="Portuguese"/>
    <s v="Web Development"/>
    <s v="Unknown"/>
    <n v="20"/>
    <n v="4.0999999999999996"/>
    <s v="FALSE"/>
    <n v="0.86"/>
  </r>
  <r>
    <s v="FL250964"/>
    <s v="Robert Meza"/>
    <x v="1"/>
    <s v="40"/>
    <x v="2"/>
    <s v="German"/>
    <s v="AI"/>
    <s v="2"/>
    <n v="30"/>
    <n v="1.3"/>
    <s v="TRUE"/>
    <n v="0.77"/>
  </r>
  <r>
    <s v="FL250965"/>
    <s v="Latoya Brown"/>
    <x v="0"/>
    <s v="59"/>
    <x v="7"/>
    <s v="English"/>
    <s v="UI/UX Design"/>
    <s v="40"/>
    <n v="100"/>
    <n v="2.6"/>
    <s v="TRUE"/>
    <n v="0.75"/>
  </r>
  <r>
    <s v="FL250966"/>
    <s v="David Osborne Iii"/>
    <x v="1"/>
    <s v="45"/>
    <x v="3"/>
    <s v="Dutch"/>
    <s v="Cybersecurity"/>
    <s v="4"/>
    <n v="20"/>
    <n v="2.7"/>
    <s v="TRUE"/>
    <n v="0.72"/>
  </r>
  <r>
    <s v="FL250967"/>
    <s v="David Hooper"/>
    <x v="1"/>
    <s v="44"/>
    <x v="12"/>
    <s v="Korean"/>
    <s v="Machine Learning"/>
    <s v="9"/>
    <n v="40"/>
    <n v="2.6"/>
    <s v="FALSE"/>
    <n v="0.7"/>
  </r>
  <r>
    <s v="FL250968"/>
    <s v="Sarah Miller"/>
    <x v="0"/>
    <s v="36"/>
    <x v="7"/>
    <s v="English"/>
    <s v="Cybersecurity"/>
    <s v="13"/>
    <n v="30"/>
    <n v="3.6"/>
    <s v="FALSE"/>
    <n v="0.86"/>
  </r>
  <r>
    <s v="FL250969"/>
    <s v="Lisa Werner Md"/>
    <x v="0"/>
    <s v="26"/>
    <x v="10"/>
    <s v="Hindi"/>
    <s v="Graphic Design"/>
    <s v="1"/>
    <n v="75"/>
    <n v="3"/>
    <s v="TRUE"/>
    <n v="0.75"/>
  </r>
  <r>
    <s v="FL250970"/>
    <s v="Eric Jimenez"/>
    <x v="1"/>
    <s v="49"/>
    <x v="10"/>
    <s v="Hindi"/>
    <s v="Web Development"/>
    <s v="1"/>
    <n v="50"/>
    <n v="0"/>
    <s v="FALSE"/>
    <n v="0.82"/>
  </r>
  <r>
    <s v="FL250971"/>
    <s v="Jay Bush"/>
    <x v="1"/>
    <s v="29"/>
    <x v="15"/>
    <s v="French"/>
    <s v="Mobile Apps"/>
    <s v="3"/>
    <n v="40"/>
    <n v="0"/>
    <s v="TRUE"/>
    <n v="0.81"/>
  </r>
  <r>
    <s v="FL250972"/>
    <s v="Johnny Rice"/>
    <x v="1"/>
    <s v="32"/>
    <x v="15"/>
    <s v="French"/>
    <s v="Graphic Design"/>
    <s v="1"/>
    <n v="40"/>
    <n v="3.1"/>
    <s v="TRUE"/>
    <n v="0.76"/>
  </r>
  <r>
    <s v="FL250973"/>
    <s v="Matthew Strong"/>
    <x v="1"/>
    <s v="24"/>
    <x v="4"/>
    <s v="Indonesian"/>
    <s v="Blockchain Development"/>
    <s v="3"/>
    <n v="30"/>
    <n v="3.9"/>
    <s v="FALSE"/>
    <n v="0.9"/>
  </r>
  <r>
    <s v="FL250974"/>
    <s v="Mark Chandler"/>
    <x v="1"/>
    <s v="35"/>
    <x v="12"/>
    <s v="Korean"/>
    <s v="DevOps"/>
    <s v="14"/>
    <n v="30"/>
    <n v="1.6"/>
    <s v="TRUE"/>
    <n v="0.67"/>
  </r>
  <r>
    <s v="FL250975"/>
    <s v="Crystal Brown"/>
    <x v="0"/>
    <s v="43"/>
    <x v="20"/>
    <s v="Spanish"/>
    <s v="Blockchain Development"/>
    <s v="2"/>
    <n v="50"/>
    <n v="1.8"/>
    <s v="FALSE"/>
    <n v="0.61"/>
  </r>
  <r>
    <s v="FL250976"/>
    <s v="Timothy Barton"/>
    <x v="1"/>
    <s v="53"/>
    <x v="12"/>
    <s v="Korean"/>
    <s v="Machine Learning"/>
    <s v="27"/>
    <n v="100"/>
    <n v="3.7"/>
    <s v="FALSE"/>
    <n v="0.73"/>
  </r>
  <r>
    <s v="FL250977"/>
    <s v="Lisa Hickman"/>
    <x v="0"/>
    <s v="38"/>
    <x v="13"/>
    <s v="Russian"/>
    <s v="DevOps"/>
    <s v="7"/>
    <n v="75"/>
    <n v="2.6"/>
    <s v="FALSE"/>
    <n v="0.75"/>
  </r>
  <r>
    <s v="FL250978"/>
    <s v="Alan Mendoza"/>
    <x v="1"/>
    <s v="57"/>
    <x v="7"/>
    <s v="English"/>
    <s v="Cybersecurity"/>
    <s v="29"/>
    <n v="75"/>
    <n v="4.0999999999999996"/>
    <s v="FALSE"/>
    <n v="0.9"/>
  </r>
  <r>
    <s v="FL250979"/>
    <s v="Jason Sanders"/>
    <x v="1"/>
    <s v="27"/>
    <x v="18"/>
    <s v="Mandarin"/>
    <s v="Blockchain Development"/>
    <s v="5"/>
    <n v="75"/>
    <n v="1.4"/>
    <s v="TRUE"/>
    <n v="0.64"/>
  </r>
  <r>
    <s v="FL250980"/>
    <s v="Charles Dean"/>
    <x v="1"/>
    <s v="43"/>
    <x v="8"/>
    <s v="Spanish"/>
    <s v="Web Development"/>
    <s v="2"/>
    <n v="100"/>
    <n v="1.1000000000000001"/>
    <s v="TRUE"/>
    <n v="0.63"/>
  </r>
  <r>
    <s v="FL250981"/>
    <s v="Blake Newton"/>
    <x v="1"/>
    <s v="48"/>
    <x v="14"/>
    <s v="English"/>
    <s v="Data Analysis"/>
    <s v="18"/>
    <n v="40"/>
    <n v="3.9"/>
    <s v="TRUE"/>
    <n v="0.75"/>
  </r>
  <r>
    <s v="FL250982"/>
    <s v="David Gonzalez"/>
    <x v="1"/>
    <s v="26"/>
    <x v="11"/>
    <s v="Portuguese"/>
    <s v="Cybersecurity"/>
    <s v="8"/>
    <n v="20"/>
    <n v="3.6"/>
    <s v="FALSE"/>
    <n v="0.67"/>
  </r>
  <r>
    <s v="FL250983"/>
    <s v="Cindy Williams"/>
    <x v="0"/>
    <s v="Unknown"/>
    <x v="17"/>
    <s v="Afrikaans"/>
    <s v="Graphic Design"/>
    <s v="0"/>
    <n v="40"/>
    <n v="0"/>
    <s v="FALSE"/>
    <n v="0.97"/>
  </r>
  <r>
    <s v="FL250984"/>
    <s v="Laura Wong Dds"/>
    <x v="0"/>
    <s v="50"/>
    <x v="0"/>
    <s v="Italian"/>
    <s v="Data Analysis"/>
    <s v="16"/>
    <n v="75"/>
    <n v="4.5"/>
    <s v="FALSE"/>
    <n v="0.69"/>
  </r>
  <r>
    <s v="FL250985"/>
    <s v="Robert Moran"/>
    <x v="1"/>
    <s v="48"/>
    <x v="17"/>
    <s v="Afrikaans"/>
    <s v="Web Development"/>
    <s v="8"/>
    <n v="50"/>
    <n v="2.6"/>
    <s v="TRUE"/>
    <n v="0.73"/>
  </r>
  <r>
    <s v="FL250986"/>
    <s v="Bradley Wu"/>
    <x v="1"/>
    <s v="60"/>
    <x v="20"/>
    <s v="Spanish"/>
    <s v="Blockchain Development"/>
    <s v="39"/>
    <n v="20"/>
    <n v="1.4"/>
    <s v="TRUE"/>
    <n v="0.86"/>
  </r>
  <r>
    <s v="FL250987"/>
    <s v="Daniel Thomas"/>
    <x v="1"/>
    <s v="26"/>
    <x v="16"/>
    <s v="Arabic"/>
    <s v="Machine Learning"/>
    <s v="Unknown"/>
    <n v="50"/>
    <n v="0"/>
    <s v="TRUE"/>
    <n v="0.81"/>
  </r>
  <r>
    <s v="FL250988"/>
    <s v="Michelle Peterson"/>
    <x v="0"/>
    <s v="35"/>
    <x v="12"/>
    <s v="Korean"/>
    <s v="Graphic Design"/>
    <s v="16"/>
    <n v="100"/>
    <n v="4.3"/>
    <s v="TRUE"/>
    <n v="0.74"/>
  </r>
  <r>
    <s v="FL250989"/>
    <s v="Seth Thomas"/>
    <x v="1"/>
    <s v="23"/>
    <x v="5"/>
    <s v="English"/>
    <s v="Blockchain Development"/>
    <s v="4"/>
    <n v="100"/>
    <n v="2.2000000000000002"/>
    <s v="TRUE"/>
    <n v="0.64"/>
  </r>
  <r>
    <s v="FL250990"/>
    <s v="Evan Ramos"/>
    <x v="1"/>
    <s v="37"/>
    <x v="1"/>
    <s v="English"/>
    <s v="Graphic Design"/>
    <s v="4"/>
    <n v="75"/>
    <n v="3.2"/>
    <s v="TRUE"/>
    <n v="0.76"/>
  </r>
  <r>
    <s v="FL250991"/>
    <s v="Michelle Solis"/>
    <x v="0"/>
    <s v="21"/>
    <x v="8"/>
    <s v="Spanish"/>
    <s v="AI"/>
    <s v="2"/>
    <n v="100"/>
    <n v="3.7"/>
    <s v="TRUE"/>
    <n v="0.73"/>
  </r>
  <r>
    <s v="FL250992"/>
    <s v="Charlotte Taylor"/>
    <x v="0"/>
    <s v="58"/>
    <x v="2"/>
    <s v="German"/>
    <s v="UI/UX Design"/>
    <s v="37"/>
    <n v="50"/>
    <n v="4.9000000000000004"/>
    <s v="TRUE"/>
    <n v="0.69"/>
  </r>
  <r>
    <s v="FL250993"/>
    <s v="Sandra Preston"/>
    <x v="0"/>
    <s v="52"/>
    <x v="4"/>
    <s v="Indonesian"/>
    <s v="Mobile Apps"/>
    <s v="32"/>
    <n v="75"/>
    <n v="3.2"/>
    <s v="FALSE"/>
    <n v="0.79"/>
  </r>
  <r>
    <s v="FL250994"/>
    <s v="Jim Weiss"/>
    <x v="1"/>
    <s v="46"/>
    <x v="13"/>
    <s v="Russian"/>
    <s v="Mobile Apps"/>
    <s v="8"/>
    <n v="20"/>
    <n v="2.2000000000000002"/>
    <s v="TRUE"/>
    <n v="0.89"/>
  </r>
  <r>
    <s v="FL250995"/>
    <s v="Jennifer Hinton"/>
    <x v="0"/>
    <s v="34"/>
    <x v="17"/>
    <s v="Afrikaans"/>
    <s v="DevOps"/>
    <s v="8"/>
    <n v="30"/>
    <n v="3.9"/>
    <s v="TRUE"/>
    <n v="0.95"/>
  </r>
  <r>
    <s v="FL250996"/>
    <s v="Albert Wilcox"/>
    <x v="1"/>
    <s v="56"/>
    <x v="6"/>
    <s v="Turkish"/>
    <s v="DevOps"/>
    <s v="13"/>
    <n v="100"/>
    <n v="0"/>
    <s v="FALSE"/>
    <n v="0.68"/>
  </r>
  <r>
    <s v="FL250997"/>
    <s v="Cheryl Norris"/>
    <x v="0"/>
    <s v="26"/>
    <x v="2"/>
    <s v="German"/>
    <s v="Blockchain Development"/>
    <s v="6"/>
    <n v="40"/>
    <n v="2.8"/>
    <s v="FALSE"/>
    <n v="0.82"/>
  </r>
  <r>
    <s v="FL250998"/>
    <s v="Kathy Watkins"/>
    <x v="0"/>
    <s v="37"/>
    <x v="9"/>
    <s v="Japanese"/>
    <s v="Data Analysis"/>
    <s v="15"/>
    <n v="75"/>
    <n v="2.6"/>
    <s v="TRUE"/>
    <n v="0.94"/>
  </r>
  <r>
    <s v="FL250999"/>
    <s v="John Obrien"/>
    <x v="1"/>
    <s v="46"/>
    <x v="13"/>
    <s v="Russian"/>
    <s v="Machine Learning"/>
    <s v="22"/>
    <n v="100"/>
    <n v="2.8"/>
    <s v="TRUE"/>
    <n v="0.97"/>
  </r>
  <r>
    <s v="FL251000"/>
    <s v="Dawn Green"/>
    <x v="0"/>
    <s v="36"/>
    <x v="19"/>
    <s v="Spanish"/>
    <s v="UI/UX Design"/>
    <s v="18"/>
    <n v="20"/>
    <n v="1.7"/>
    <s v="TRUE"/>
    <n v="0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EE76E-DDD8-481A-9A84-6AA6629E597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I6:J9" firstHeaderRow="1" firstDataRow="1" firstDataCol="1"/>
  <pivotFields count="12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22">
        <item x="8"/>
        <item x="1"/>
        <item x="11"/>
        <item x="14"/>
        <item x="18"/>
        <item x="16"/>
        <item x="15"/>
        <item x="2"/>
        <item x="10"/>
        <item x="4"/>
        <item x="0"/>
        <item x="9"/>
        <item x="19"/>
        <item x="3"/>
        <item x="13"/>
        <item x="17"/>
        <item x="12"/>
        <item x="20"/>
        <item x="6"/>
        <item x="7"/>
        <item x="5"/>
        <item t="default"/>
      </items>
    </pivotField>
    <pivotField showAll="0"/>
    <pivotField showAll="0"/>
    <pivotField showAll="0"/>
    <pivotField dataField="1" numFmtId="1" showAll="0"/>
    <pivotField numFmtId="164" showAll="0"/>
    <pivotField showAll="0"/>
    <pivotField numFmtId="2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Hourly rate (USD)" fld="8" subtotal="average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6:C28" firstHeaderRow="1" firstDataRow="1" firstDataCol="1"/>
  <pivotFields count="12">
    <pivotField showAll="0"/>
    <pivotField showAll="0"/>
    <pivotField showAll="0"/>
    <pivotField showAll="0"/>
    <pivotField axis="axisRow" showAll="0">
      <items count="22">
        <item x="8"/>
        <item x="1"/>
        <item x="11"/>
        <item x="14"/>
        <item x="18"/>
        <item x="16"/>
        <item x="15"/>
        <item x="2"/>
        <item x="10"/>
        <item x="4"/>
        <item x="0"/>
        <item x="9"/>
        <item x="19"/>
        <item x="3"/>
        <item x="13"/>
        <item x="17"/>
        <item x="12"/>
        <item x="20"/>
        <item x="6"/>
        <item x="7"/>
        <item x="5"/>
        <item t="default"/>
      </items>
    </pivotField>
    <pivotField showAll="0"/>
    <pivotField showAll="0"/>
    <pivotField showAll="0"/>
    <pivotField dataField="1" showAll="0"/>
    <pivotField numFmtId="164" showAll="0"/>
    <pivotField showAll="0"/>
    <pivotField numFmtId="2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Hourly rate (USD)" fld="8" subtotal="count" baseField="0" baseItem="0"/>
  </dataFields>
  <formats count="8">
    <format dxfId="24">
      <pivotArea field="4" type="button" dataOnly="0" labelOnly="1" outline="0" axis="axisRow" fieldPosition="0"/>
    </format>
    <format dxfId="25">
      <pivotArea dataOnly="0" labelOnly="1" outline="0" axis="axisValues" fieldPosition="0"/>
    </format>
    <format dxfId="26">
      <pivotArea field="4" type="button" dataOnly="0" labelOnly="1" outline="0" axis="axisRow" fieldPosition="0"/>
    </format>
    <format dxfId="27">
      <pivotArea dataOnly="0" labelOnly="1" outline="0" axis="axisValues" fieldPosition="0"/>
    </format>
    <format dxfId="28">
      <pivotArea outline="0" collapsedLevelsAreSubtotals="1" fieldPosition="0"/>
    </format>
    <format dxfId="29">
      <pivotArea dataOnly="0" labelOnly="1" outline="0" axis="axisValues" fieldPosition="0"/>
    </format>
    <format dxfId="30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6:G17" firstHeaderRow="0" firstDataRow="1" firstDataCol="1"/>
  <pivotFields count="12">
    <pivotField showAll="0"/>
    <pivotField axis="axisRow" showAll="0" measureFilter="1" sortType="ascending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914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308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396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459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398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873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72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870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0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5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46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dataField="1" numFmtId="2" showAll="0"/>
  </pivotFields>
  <rowFields count="1">
    <field x="1"/>
  </rowFields>
  <rowItems count="11">
    <i>
      <x v="23"/>
    </i>
    <i>
      <x v="71"/>
    </i>
    <i>
      <x v="102"/>
    </i>
    <i>
      <x v="215"/>
    </i>
    <i>
      <x v="299"/>
    </i>
    <i>
      <x v="306"/>
    </i>
    <i>
      <x v="400"/>
    </i>
    <i>
      <x v="454"/>
    </i>
    <i>
      <x v="682"/>
    </i>
    <i>
      <x v="978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Rating" fld="9" subtotal="max" baseField="0" baseItem="0"/>
    <dataField name="Max of Client satisfaction" fld="11" subtotal="max" baseField="0" baseItem="0"/>
  </dataFields>
  <formats count="8">
    <format dxfId="63">
      <pivotArea field="1" type="button" dataOnly="0" labelOnly="1" outline="0" axis="axisRow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field="1" type="button" dataOnly="0" labelOnly="1" outline="0" axis="axisRow" fieldPosition="0"/>
    </format>
    <format dxfId="60">
      <pivotArea field="1" type="button" dataOnly="0" labelOnly="1" outline="0" axis="axisRow" fieldPosition="0"/>
    </format>
    <format dxfId="59">
      <pivotArea outline="0" collapsedLevelsAreSubtotals="1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outline="0" collapsedLevelsAreSubtotals="1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13:J16" firstHeaderRow="1" firstDataRow="1" firstDataCol="1"/>
  <pivotFields count="1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2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Freelancer_ID" fld="0" subtotal="count" baseField="0" baseItem="0"/>
  </dataFields>
  <formats count="8">
    <format dxfId="40">
      <pivotArea field="2" type="button" dataOnly="0" labelOnly="1" outline="0" axis="axisRow" fieldPosition="0"/>
    </format>
    <format dxfId="41">
      <pivotArea dataOnly="0" labelOnly="1" outline="0" axis="axisValues" fieldPosition="0"/>
    </format>
    <format dxfId="42">
      <pivotArea field="2" type="button" dataOnly="0" labelOnly="1" outline="0" axis="axisRow" fieldPosition="0"/>
    </format>
    <format dxfId="43">
      <pivotArea field="2" type="button" dataOnly="0" labelOnly="1" outline="0" axis="axisRow" fieldPosition="0"/>
    </format>
    <format dxfId="44">
      <pivotArea outline="0" collapsedLevelsAreSubtotals="1" fieldPosition="0"/>
    </format>
    <format dxfId="45">
      <pivotArea dataOnly="0" labelOnly="1" outline="0" axis="axisValues" fieldPosition="0"/>
    </format>
    <format dxfId="46">
      <pivotArea outline="0" collapsedLevelsAreSubtotals="1" fieldPosition="0"/>
    </format>
    <format dxfId="47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6:M23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17">
        <item x="14"/>
        <item x="13"/>
        <item x="3"/>
        <item x="1"/>
        <item x="12"/>
        <item x="2"/>
        <item x="8"/>
        <item x="4"/>
        <item x="0"/>
        <item x="7"/>
        <item x="10"/>
        <item x="15"/>
        <item x="9"/>
        <item x="11"/>
        <item x="6"/>
        <item x="5"/>
        <item t="default"/>
      </items>
    </pivotField>
    <pivotField showAll="0"/>
    <pivotField showAll="0"/>
    <pivotField showAll="0"/>
    <pivotField numFmtId="164" showAll="0"/>
    <pivotField showAll="0"/>
    <pivotField numFmtId="2"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Freelancer_ID" fld="0" subtotal="count" baseField="0" baseItem="0"/>
  </dataFields>
  <formats count="8">
    <format dxfId="48">
      <pivotArea field="5" type="button" dataOnly="0" labelOnly="1" outline="0" axis="axisRow" fieldPosition="0"/>
    </format>
    <format dxfId="49">
      <pivotArea dataOnly="0" labelOnly="1" outline="0" axis="axisValues" fieldPosition="0"/>
    </format>
    <format dxfId="50">
      <pivotArea field="5" type="button" dataOnly="0" labelOnly="1" outline="0" axis="axisRow" fieldPosition="0"/>
    </format>
    <format dxfId="51">
      <pivotArea field="5" type="button" dataOnly="0" labelOnly="1" outline="0" axis="axisRow" fieldPosition="0"/>
    </format>
    <format dxfId="52">
      <pivotArea outline="0" collapsedLevelsAreSubtotals="1" fieldPosition="0"/>
    </format>
    <format dxfId="53">
      <pivotArea dataOnly="0" labelOnly="1" outline="0" axis="axisValues" fieldPosition="0"/>
    </format>
    <format dxfId="54">
      <pivotArea outline="0" collapsedLevelsAreSubtotals="1" fieldPosition="0"/>
    </format>
    <format dxfId="5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1001" totalsRowShown="0" headerRowDxfId="103" dataDxfId="102">
  <autoFilter ref="A1:Y1001" xr:uid="{00000000-0009-0000-0100-000001000000}"/>
  <tableColumns count="25">
    <tableColumn id="1" xr3:uid="{00000000-0010-0000-0000-000001000000}" name="freelancer_ID" dataDxfId="101"/>
    <tableColumn id="2" xr3:uid="{00000000-0010-0000-0000-000002000000}" name="name" dataDxfId="100"/>
    <tableColumn id="13" xr3:uid="{00000000-0010-0000-0000-00000D000000}" name="Updated Name" dataDxfId="99">
      <calculatedColumnFormula>PROPER(TRIM(SUBSTITUTE(SUBSTITUTE(SUBSTITUTE(Table1[[#This Row],[name]],"Ms. ",""),"Mr. ",""),"Mrs. ","")))</calculatedColumnFormula>
    </tableColumn>
    <tableColumn id="3" xr3:uid="{00000000-0010-0000-0000-000003000000}" name="gender" dataDxfId="98"/>
    <tableColumn id="15" xr3:uid="{00000000-0010-0000-0000-00000F000000}" name="Updated Gender " dataDxfId="97">
      <calculatedColumnFormula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calculatedColumnFormula>
    </tableColumn>
    <tableColumn id="4" xr3:uid="{00000000-0010-0000-0000-000004000000}" name="age" dataDxfId="96"/>
    <tableColumn id="17" xr3:uid="{00000000-0010-0000-0000-000011000000}" name="Updated Age" dataDxfId="95">
      <calculatedColumnFormula>TRIM(IF(Table1[[#This Row],[age]]="","Unknown",Table1[[#This Row],[age]]))</calculatedColumnFormula>
    </tableColumn>
    <tableColumn id="5" xr3:uid="{00000000-0010-0000-0000-000005000000}" name="country" dataDxfId="94"/>
    <tableColumn id="6" xr3:uid="{00000000-0010-0000-0000-000006000000}" name="language" dataDxfId="93"/>
    <tableColumn id="7" xr3:uid="{00000000-0010-0000-0000-000007000000}" name="primary_skill" dataDxfId="92"/>
    <tableColumn id="8" xr3:uid="{00000000-0010-0000-0000-000008000000}" name="years_of_experience" dataDxfId="91"/>
    <tableColumn id="19" xr3:uid="{00000000-0010-0000-0000-000013000000}" name="Updated years of experience" dataDxfId="90"/>
    <tableColumn id="9" xr3:uid="{00000000-0010-0000-0000-000009000000}" name="hourly_rate (USD)" dataDxfId="89"/>
    <tableColumn id="21" xr3:uid="{00000000-0010-0000-0000-000015000000}" name="Updated hourly_rate (USD)" dataDxfId="88">
      <calculatedColumnFormula>IF(Table1[[#This Row],[hourly_rate (USD)]]="",MEDIAN(Table1[hourly_rate (USD)]),Table1[[#This Row],[hourly_rate (USD)]])</calculatedColumnFormula>
    </tableColumn>
    <tableColumn id="22" xr3:uid="{00000000-0010-0000-0000-000016000000}" name="Formatted hourly rate" dataDxfId="87"/>
    <tableColumn id="23" xr3:uid="{00000000-0010-0000-0000-000017000000}" name="Formatted hourly rate2" dataDxfId="86">
      <calculatedColumnFormula>SUBSTITUTE(SUBSTITUTE(Table1[[#This Row],[Formatted hourly rate]],"USD ",""),"$","")</calculatedColumnFormula>
    </tableColumn>
    <tableColumn id="10" xr3:uid="{00000000-0010-0000-0000-00000A000000}" name="rating" dataDxfId="85"/>
    <tableColumn id="25" xr3:uid="{00000000-0010-0000-0000-000019000000}" name="Updated Rating" dataDxfId="84"/>
    <tableColumn id="11" xr3:uid="{00000000-0010-0000-0000-00000B000000}" name="is_active" dataDxfId="83"/>
    <tableColumn id="14" xr3:uid="{00000000-0010-0000-0000-00000E000000}" name="is_active2" dataDxfId="82">
      <calculatedColumnFormula>TRIM(CLEAN(Table1[[#This Row],[is_active]]))</calculatedColumnFormula>
    </tableColumn>
    <tableColumn id="16" xr3:uid="{00000000-0010-0000-0000-000010000000}" name="is_active3" dataDxfId="81">
      <calculatedColumnFormula>IF(OR(Table1[[#This Row],[is_active2]]="1",Table1[[#This Row],[is_active2]]="Y",Table1[[#This Row],[is_active2]]="yes"),TRUE,IF(OR(Table1[[#This Row],[is_active2]]="0",Table1[[#This Row],[is_active2]]="N",Table1[[#This Row],[is_active2]]="no"),FALSE,"Unknown"))</calculatedColumnFormula>
    </tableColumn>
    <tableColumn id="18" xr3:uid="{00000000-0010-0000-0000-000012000000}" name="Updated is active" dataDxfId="80">
      <calculatedColumnFormula>TRIM(IF(Table1[[#This Row],[is_active3]]="Unknown","TRUE",Table1[[#This Row],[is_active3]]))</calculatedColumnFormula>
    </tableColumn>
    <tableColumn id="12" xr3:uid="{00000000-0010-0000-0000-00000C000000}" name="client_satisfaction" dataDxfId="79"/>
    <tableColumn id="20" xr3:uid="{00000000-0010-0000-0000-000014000000}" name="client_satisfaction2" dataDxfId="78">
      <calculatedColumnFormula>IF(Table1[[#This Row],[client_satisfaction]]&gt;1,Table1[[#This Row],[client_satisfaction]]/100,Table1[[#This Row],[client_satisfaction]])</calculatedColumnFormula>
    </tableColumn>
    <tableColumn id="24" xr3:uid="{00000000-0010-0000-0000-000018000000}" name="Updated client_satisfaction" dataDxfId="77">
      <calculatedColumnFormula>IF(Table1[[#This Row],[client_satisfaction2]]=0,0.75,Table1[[#This Row],[client_satisfaction2]])</calculatedColumnFormula>
    </tableColumn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L1001" totalsRowShown="0" headerRowDxfId="76">
  <autoFilter ref="A1:L1001" xr:uid="{00000000-0009-0000-0100-000002000000}"/>
  <tableColumns count="12">
    <tableColumn id="1" xr3:uid="{00000000-0010-0000-0100-000001000000}" name="Freelancer_ID" dataDxfId="75"/>
    <tableColumn id="2" xr3:uid="{00000000-0010-0000-0100-000002000000}" name="Name" dataDxfId="74">
      <calculatedColumnFormula>VLOOKUP(A2,Table1[],3,TRUE)</calculatedColumnFormula>
    </tableColumn>
    <tableColumn id="3" xr3:uid="{00000000-0010-0000-0100-000003000000}" name="Gender" dataDxfId="73">
      <calculatedColumnFormula>VLOOKUP($A2,Table1[],5,TRUE)</calculatedColumnFormula>
    </tableColumn>
    <tableColumn id="4" xr3:uid="{00000000-0010-0000-0100-000004000000}" name="Age" dataDxfId="72">
      <calculatedColumnFormula>VLOOKUP($A2,Table1[],7,TRUE)</calculatedColumnFormula>
    </tableColumn>
    <tableColumn id="5" xr3:uid="{00000000-0010-0000-0100-000005000000}" name="Country" dataDxfId="71">
      <calculatedColumnFormula>VLOOKUP($A2,Table1[],8,TRUE)</calculatedColumnFormula>
    </tableColumn>
    <tableColumn id="6" xr3:uid="{00000000-0010-0000-0100-000006000000}" name="Language" dataDxfId="70">
      <calculatedColumnFormula>VLOOKUP($A2,Table1[],9,TRUE)</calculatedColumnFormula>
    </tableColumn>
    <tableColumn id="7" xr3:uid="{00000000-0010-0000-0100-000007000000}" name="Primary skill" dataDxfId="69">
      <calculatedColumnFormula>VLOOKUP($A2,Table1[],10,TRUE)</calculatedColumnFormula>
    </tableColumn>
    <tableColumn id="8" xr3:uid="{00000000-0010-0000-0100-000008000000}" name="Years of Experience" dataDxfId="68">
      <calculatedColumnFormula>VLOOKUP($A2,Table1[],12,TRUE)</calculatedColumnFormula>
    </tableColumn>
    <tableColumn id="9" xr3:uid="{00000000-0010-0000-0100-000009000000}" name="Hourly rate (USD)" dataDxfId="67"/>
    <tableColumn id="10" xr3:uid="{00000000-0010-0000-0100-00000A000000}" name="Rating" dataDxfId="66">
      <calculatedColumnFormula>VLOOKUP($A2,Table1[],18,TRUE)</calculatedColumnFormula>
    </tableColumn>
    <tableColumn id="11" xr3:uid="{00000000-0010-0000-0100-00000B000000}" name="Is active" dataDxfId="65">
      <calculatedColumnFormula>VLOOKUP($A2,Table1[],22,TRUE)</calculatedColumnFormula>
    </tableColumn>
    <tableColumn id="12" xr3:uid="{00000000-0010-0000-0100-00000C000000}" name="Client satisfaction" dataDxfId="64">
      <calculatedColumnFormula>VLOOKUP($A2,Table1[],25,TRUE)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4"/>
  <sheetViews>
    <sheetView topLeftCell="L1" workbookViewId="0">
      <selection activeCell="V33" sqref="V33"/>
    </sheetView>
  </sheetViews>
  <sheetFormatPr defaultRowHeight="15" x14ac:dyDescent="0.25"/>
  <cols>
    <col min="1" max="1" width="10.5703125" customWidth="1"/>
    <col min="2" max="2" width="24.5703125" bestFit="1" customWidth="1"/>
    <col min="3" max="3" width="22.140625" bestFit="1" customWidth="1"/>
    <col min="4" max="4" width="11.85546875" bestFit="1" customWidth="1"/>
    <col min="5" max="5" width="16" customWidth="1"/>
    <col min="7" max="7" width="10.140625" bestFit="1" customWidth="1"/>
    <col min="8" max="8" width="13.42578125" customWidth="1"/>
    <col min="9" max="9" width="11" customWidth="1"/>
    <col min="10" max="10" width="15.85546875" customWidth="1"/>
    <col min="11" max="11" width="14.28515625" customWidth="1"/>
    <col min="12" max="12" width="13.140625" bestFit="1" customWidth="1"/>
    <col min="13" max="13" width="13" bestFit="1" customWidth="1"/>
    <col min="14" max="14" width="14.7109375" bestFit="1" customWidth="1"/>
    <col min="15" max="15" width="12.5703125" bestFit="1" customWidth="1"/>
    <col min="16" max="16" width="11.28515625" customWidth="1"/>
    <col min="17" max="18" width="10.85546875" customWidth="1"/>
    <col min="19" max="19" width="11.42578125" customWidth="1"/>
    <col min="20" max="20" width="14.28515625" bestFit="1" customWidth="1"/>
    <col min="21" max="21" width="11.42578125" customWidth="1"/>
    <col min="22" max="22" width="15" style="11" bestFit="1" customWidth="1"/>
    <col min="23" max="25" width="13.42578125" bestFit="1" customWidth="1"/>
  </cols>
  <sheetData>
    <row r="1" spans="1:25" s="2" customFormat="1" ht="60" customHeight="1" x14ac:dyDescent="0.25">
      <c r="A1" s="2" t="s">
        <v>0</v>
      </c>
      <c r="B1" s="2" t="s">
        <v>1</v>
      </c>
      <c r="C1" s="2" t="s">
        <v>2077</v>
      </c>
      <c r="D1" s="2" t="s">
        <v>2</v>
      </c>
      <c r="E1" s="2" t="s">
        <v>2078</v>
      </c>
      <c r="F1" s="2" t="s">
        <v>3</v>
      </c>
      <c r="G1" s="2" t="s">
        <v>2079</v>
      </c>
      <c r="H1" s="2" t="s">
        <v>4</v>
      </c>
      <c r="I1" s="1" t="s">
        <v>5</v>
      </c>
      <c r="J1" s="2" t="s">
        <v>6</v>
      </c>
      <c r="K1" s="2" t="s">
        <v>7</v>
      </c>
      <c r="L1" s="2" t="s">
        <v>2080</v>
      </c>
      <c r="M1" s="2" t="s">
        <v>8</v>
      </c>
      <c r="N1" s="2" t="s">
        <v>2081</v>
      </c>
      <c r="O1" s="2" t="s">
        <v>2082</v>
      </c>
      <c r="P1" s="2" t="s">
        <v>2083</v>
      </c>
      <c r="Q1" s="2" t="s">
        <v>9</v>
      </c>
      <c r="R1" s="2" t="s">
        <v>2084</v>
      </c>
      <c r="S1" s="2" t="s">
        <v>10</v>
      </c>
      <c r="T1" s="2" t="s">
        <v>2086</v>
      </c>
      <c r="U1" s="2" t="s">
        <v>2087</v>
      </c>
      <c r="V1" s="2" t="s">
        <v>2085</v>
      </c>
      <c r="W1" s="2" t="s">
        <v>11</v>
      </c>
      <c r="X1" s="2" t="s">
        <v>2088</v>
      </c>
      <c r="Y1" s="2" t="s">
        <v>2089</v>
      </c>
    </row>
    <row r="2" spans="1:25" x14ac:dyDescent="0.25">
      <c r="A2" t="s">
        <v>12</v>
      </c>
      <c r="B2" t="s">
        <v>13</v>
      </c>
      <c r="C2" t="str">
        <f>PROPER(TRIM(SUBSTITUTE(SUBSTITUTE(SUBSTITUTE(Table1[[#This Row],[name]],"Ms. ",""),"Mr. ",""),"Mrs. ","")))</f>
        <v>Nicole Kidd</v>
      </c>
      <c r="D2" t="s">
        <v>14</v>
      </c>
      <c r="E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">
        <v>52</v>
      </c>
      <c r="G2" t="str">
        <f>TRIM(IF(Table1[[#This Row],[age]]="","Unknown",Table1[[#This Row],[age]]))</f>
        <v>52</v>
      </c>
      <c r="H2" t="s">
        <v>15</v>
      </c>
      <c r="I2" t="s">
        <v>16</v>
      </c>
      <c r="J2" t="s">
        <v>17</v>
      </c>
      <c r="K2">
        <v>11</v>
      </c>
      <c r="L2" s="10" t="str">
        <f>TRIM(IF(Table1[[#This Row],[years_of_experience]]="","Unknown",Table1[[#This Row],[years_of_experience]]))</f>
        <v>11</v>
      </c>
      <c r="M2">
        <v>100</v>
      </c>
      <c r="N2">
        <f>IF(Table1[[#This Row],[hourly_rate (USD)]]="",MEDIAN(Table1[hourly_rate (USD)]),Table1[[#This Row],[hourly_rate (USD)]])</f>
        <v>100</v>
      </c>
      <c r="O2" t="str">
        <f>TRIM(CLEAN(Table1[[#This Row],[Updated hourly_rate (USD)]]))</f>
        <v>100</v>
      </c>
      <c r="P2" t="str">
        <f>SUBSTITUTE(SUBSTITUTE(Table1[[#This Row],[Formatted hourly rate]],"USD ",""),"$","")</f>
        <v>100</v>
      </c>
      <c r="R2">
        <f>IF(Table1[[#This Row],[rating]]="",2.6,Table1[[#This Row],[rating]])</f>
        <v>2.6</v>
      </c>
      <c r="S2">
        <v>0</v>
      </c>
      <c r="T2" t="str">
        <f>TRIM(CLEAN(Table1[[#This Row],[is_active]]))</f>
        <v>0</v>
      </c>
      <c r="U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" s="11" t="str">
        <f>TRIM(IF(Table1[[#This Row],[is_active3]]="Unknown","TRUE",Table1[[#This Row],[is_active3]]))</f>
        <v>FALSE</v>
      </c>
      <c r="X2">
        <f>IF(Table1[[#This Row],[client_satisfaction]]&gt;1,Table1[[#This Row],[client_satisfaction]]/100,Table1[[#This Row],[client_satisfaction]])</f>
        <v>0</v>
      </c>
      <c r="Y2">
        <f>IF(Table1[[#This Row],[client_satisfaction2]]=0,0.75,Table1[[#This Row],[client_satisfaction2]])</f>
        <v>0.75</v>
      </c>
    </row>
    <row r="3" spans="1:25" x14ac:dyDescent="0.25">
      <c r="A3" t="s">
        <v>18</v>
      </c>
      <c r="B3" t="s">
        <v>19</v>
      </c>
      <c r="C3" t="str">
        <f>PROPER(TRIM(SUBSTITUTE(SUBSTITUTE(SUBSTITUTE(Table1[[#This Row],[name]],"Ms. ",""),"Mr. ",""),"Mrs. ","")))</f>
        <v>Vanessa Garcia</v>
      </c>
      <c r="D3" t="s">
        <v>20</v>
      </c>
      <c r="E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">
        <v>52</v>
      </c>
      <c r="G3" t="str">
        <f>TRIM(IF(Table1[[#This Row],[age]]="","Unknown",Table1[[#This Row],[age]]))</f>
        <v>52</v>
      </c>
      <c r="H3" t="s">
        <v>21</v>
      </c>
      <c r="I3" t="s">
        <v>22</v>
      </c>
      <c r="J3" t="s">
        <v>23</v>
      </c>
      <c r="K3">
        <v>34</v>
      </c>
      <c r="L3" s="10" t="str">
        <f>TRIM(IF(Table1[[#This Row],[years_of_experience]]="","Unknown",Table1[[#This Row],[years_of_experience]]))</f>
        <v>34</v>
      </c>
      <c r="M3" t="s">
        <v>24</v>
      </c>
      <c r="N3" t="str">
        <f>IF(Table1[[#This Row],[hourly_rate (USD)]]="",MEDIAN(Table1[hourly_rate (USD)]),Table1[[#This Row],[hourly_rate (USD)]])</f>
        <v>USD 100</v>
      </c>
      <c r="O3" t="str">
        <f>TRIM(CLEAN(Table1[[#This Row],[Updated hourly_rate (USD)]]))</f>
        <v>USD 100</v>
      </c>
      <c r="P3" t="str">
        <f>SUBSTITUTE(SUBSTITUTE(Table1[[#This Row],[Formatted hourly rate]],"USD ",""),"$","")</f>
        <v>100</v>
      </c>
      <c r="Q3">
        <v>3.3</v>
      </c>
      <c r="R3">
        <f>IF(Table1[[#This Row],[rating]]="",2.6,Table1[[#This Row],[rating]])</f>
        <v>3.3</v>
      </c>
      <c r="S3">
        <v>1</v>
      </c>
      <c r="T3" t="str">
        <f>TRIM(CLEAN(Table1[[#This Row],[is_active]]))</f>
        <v>1</v>
      </c>
      <c r="U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" s="11" t="str">
        <f>TRIM(IF(Table1[[#This Row],[is_active3]]="Unknown","TRUE",Table1[[#This Row],[is_active3]]))</f>
        <v>TRUE</v>
      </c>
      <c r="W3">
        <v>0.84</v>
      </c>
      <c r="X3">
        <f>IF(Table1[[#This Row],[client_satisfaction]]&gt;1,Table1[[#This Row],[client_satisfaction]]/100,Table1[[#This Row],[client_satisfaction]])</f>
        <v>0.84</v>
      </c>
      <c r="Y3">
        <f>IF(Table1[[#This Row],[client_satisfaction2]]=0,0.75,Table1[[#This Row],[client_satisfaction2]])</f>
        <v>0.84</v>
      </c>
    </row>
    <row r="4" spans="1:25" x14ac:dyDescent="0.25">
      <c r="A4" t="s">
        <v>25</v>
      </c>
      <c r="B4" t="s">
        <v>26</v>
      </c>
      <c r="C4" t="str">
        <f>PROPER(TRIM(SUBSTITUTE(SUBSTITUTE(SUBSTITUTE(Table1[[#This Row],[name]],"Ms. ",""),"Mr. ",""),"Mrs. ","")))</f>
        <v>Juan Nelson</v>
      </c>
      <c r="D4" t="s">
        <v>27</v>
      </c>
      <c r="E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">
        <v>53</v>
      </c>
      <c r="G4" t="str">
        <f>TRIM(IF(Table1[[#This Row],[age]]="","Unknown",Table1[[#This Row],[age]]))</f>
        <v>53</v>
      </c>
      <c r="H4" t="s">
        <v>28</v>
      </c>
      <c r="I4" t="s">
        <v>29</v>
      </c>
      <c r="J4" t="s">
        <v>30</v>
      </c>
      <c r="K4">
        <v>31</v>
      </c>
      <c r="L4" s="10" t="str">
        <f>TRIM(IF(Table1[[#This Row],[years_of_experience]]="","Unknown",Table1[[#This Row],[years_of_experience]]))</f>
        <v>31</v>
      </c>
      <c r="M4">
        <v>50</v>
      </c>
      <c r="N4">
        <f>IF(Table1[[#This Row],[hourly_rate (USD)]]="",MEDIAN(Table1[hourly_rate (USD)]),Table1[[#This Row],[hourly_rate (USD)]])</f>
        <v>50</v>
      </c>
      <c r="O4" t="str">
        <f>TRIM(CLEAN(Table1[[#This Row],[Updated hourly_rate (USD)]]))</f>
        <v>50</v>
      </c>
      <c r="P4" t="str">
        <f>SUBSTITUTE(SUBSTITUTE(Table1[[#This Row],[Formatted hourly rate]],"USD ",""),"$","")</f>
        <v>50</v>
      </c>
      <c r="Q4">
        <v>0</v>
      </c>
      <c r="R4">
        <f>IF(Table1[[#This Row],[rating]]="",2.6,Table1[[#This Row],[rating]])</f>
        <v>0</v>
      </c>
      <c r="S4" t="s">
        <v>31</v>
      </c>
      <c r="T4" t="str">
        <f>TRIM(CLEAN(Table1[[#This Row],[is_active]]))</f>
        <v>N</v>
      </c>
      <c r="U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" s="11" t="str">
        <f>TRIM(IF(Table1[[#This Row],[is_active3]]="Unknown","TRUE",Table1[[#This Row],[is_active3]]))</f>
        <v>FALSE</v>
      </c>
      <c r="W4">
        <v>0.71</v>
      </c>
      <c r="X4">
        <f>IF(Table1[[#This Row],[client_satisfaction]]&gt;1,Table1[[#This Row],[client_satisfaction]]/100,Table1[[#This Row],[client_satisfaction]])</f>
        <v>0.71</v>
      </c>
      <c r="Y4">
        <f>IF(Table1[[#This Row],[client_satisfaction2]]=0,0.75,Table1[[#This Row],[client_satisfaction2]])</f>
        <v>0.71</v>
      </c>
    </row>
    <row r="5" spans="1:25" x14ac:dyDescent="0.25">
      <c r="A5" t="s">
        <v>32</v>
      </c>
      <c r="B5" t="s">
        <v>33</v>
      </c>
      <c r="C5" t="str">
        <f>PROPER(TRIM(SUBSTITUTE(SUBSTITUTE(SUBSTITUTE(Table1[[#This Row],[name]],"Ms. ",""),"Mr. ",""),"Mrs. ","")))</f>
        <v>Amanda Spencer</v>
      </c>
      <c r="D5" t="s">
        <v>34</v>
      </c>
      <c r="E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">
        <v>38</v>
      </c>
      <c r="G5" t="str">
        <f>TRIM(IF(Table1[[#This Row],[age]]="","Unknown",Table1[[#This Row],[age]]))</f>
        <v>38</v>
      </c>
      <c r="H5" t="s">
        <v>21</v>
      </c>
      <c r="I5" t="s">
        <v>22</v>
      </c>
      <c r="J5" t="s">
        <v>35</v>
      </c>
      <c r="K5">
        <v>4</v>
      </c>
      <c r="L5" s="10" t="str">
        <f>TRIM(IF(Table1[[#This Row],[years_of_experience]]="","Unknown",Table1[[#This Row],[years_of_experience]]))</f>
        <v>4</v>
      </c>
      <c r="M5" t="s">
        <v>36</v>
      </c>
      <c r="N5" t="str">
        <f>IF(Table1[[#This Row],[hourly_rate (USD)]]="",MEDIAN(Table1[hourly_rate (USD)]),Table1[[#This Row],[hourly_rate (USD)]])</f>
        <v>$40</v>
      </c>
      <c r="O5" t="str">
        <f>TRIM(CLEAN(Table1[[#This Row],[Updated hourly_rate (USD)]]))</f>
        <v>$40</v>
      </c>
      <c r="P5" t="str">
        <f>SUBSTITUTE(SUBSTITUTE(Table1[[#This Row],[Formatted hourly rate]],"USD ",""),"$","")</f>
        <v>40</v>
      </c>
      <c r="Q5">
        <v>1.5</v>
      </c>
      <c r="R5">
        <f>IF(Table1[[#This Row],[rating]]="",2.6,Table1[[#This Row],[rating]])</f>
        <v>1.5</v>
      </c>
      <c r="S5" t="s">
        <v>31</v>
      </c>
      <c r="T5" t="str">
        <f>TRIM(CLEAN(Table1[[#This Row],[is_active]]))</f>
        <v>N</v>
      </c>
      <c r="U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" s="11" t="str">
        <f>TRIM(IF(Table1[[#This Row],[is_active3]]="Unknown","TRUE",Table1[[#This Row],[is_active3]]))</f>
        <v>FALSE</v>
      </c>
      <c r="W5">
        <v>0.9</v>
      </c>
      <c r="X5">
        <f>IF(Table1[[#This Row],[client_satisfaction]]&gt;1,Table1[[#This Row],[client_satisfaction]]/100,Table1[[#This Row],[client_satisfaction]])</f>
        <v>0.9</v>
      </c>
      <c r="Y5">
        <f>IF(Table1[[#This Row],[client_satisfaction2]]=0,0.75,Table1[[#This Row],[client_satisfaction2]])</f>
        <v>0.9</v>
      </c>
    </row>
    <row r="6" spans="1:25" x14ac:dyDescent="0.25">
      <c r="A6" t="s">
        <v>37</v>
      </c>
      <c r="B6" t="s">
        <v>38</v>
      </c>
      <c r="C6" t="str">
        <f>PROPER(TRIM(SUBSTITUTE(SUBSTITUTE(SUBSTITUTE(Table1[[#This Row],[name]],"Ms. ",""),"Mr. ",""),"Mrs. ","")))</f>
        <v>Lynn Curtis Dds</v>
      </c>
      <c r="D6" t="s">
        <v>39</v>
      </c>
      <c r="E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">
        <v>53</v>
      </c>
      <c r="G6" t="str">
        <f>TRIM(IF(Table1[[#This Row],[age]]="","Unknown",Table1[[#This Row],[age]]))</f>
        <v>53</v>
      </c>
      <c r="H6" t="s">
        <v>28</v>
      </c>
      <c r="I6" t="s">
        <v>29</v>
      </c>
      <c r="J6" t="s">
        <v>35</v>
      </c>
      <c r="K6">
        <v>27</v>
      </c>
      <c r="L6" s="10" t="str">
        <f>TRIM(IF(Table1[[#This Row],[years_of_experience]]="","Unknown",Table1[[#This Row],[years_of_experience]]))</f>
        <v>27</v>
      </c>
      <c r="M6">
        <v>30</v>
      </c>
      <c r="N6">
        <f>IF(Table1[[#This Row],[hourly_rate (USD)]]="",MEDIAN(Table1[hourly_rate (USD)]),Table1[[#This Row],[hourly_rate (USD)]])</f>
        <v>30</v>
      </c>
      <c r="O6" t="str">
        <f>TRIM(CLEAN(Table1[[#This Row],[Updated hourly_rate (USD)]]))</f>
        <v>30</v>
      </c>
      <c r="P6" t="str">
        <f>SUBSTITUTE(SUBSTITUTE(Table1[[#This Row],[Formatted hourly rate]],"USD ",""),"$","")</f>
        <v>30</v>
      </c>
      <c r="Q6">
        <v>4.8</v>
      </c>
      <c r="R6">
        <f>IF(Table1[[#This Row],[rating]]="",2.6,Table1[[#This Row],[rating]])</f>
        <v>4.8</v>
      </c>
      <c r="S6">
        <v>0</v>
      </c>
      <c r="T6" t="str">
        <f>TRIM(CLEAN(Table1[[#This Row],[is_active]]))</f>
        <v>0</v>
      </c>
      <c r="U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" s="11" t="str">
        <f>TRIM(IF(Table1[[#This Row],[is_active3]]="Unknown","TRUE",Table1[[#This Row],[is_active3]]))</f>
        <v>FALSE</v>
      </c>
      <c r="W6">
        <v>0.83</v>
      </c>
      <c r="X6">
        <f>IF(Table1[[#This Row],[client_satisfaction]]&gt;1,Table1[[#This Row],[client_satisfaction]]/100,Table1[[#This Row],[client_satisfaction]])</f>
        <v>0.83</v>
      </c>
      <c r="Y6">
        <f>IF(Table1[[#This Row],[client_satisfaction2]]=0,0.75,Table1[[#This Row],[client_satisfaction2]])</f>
        <v>0.83</v>
      </c>
    </row>
    <row r="7" spans="1:25" x14ac:dyDescent="0.25">
      <c r="A7" t="s">
        <v>40</v>
      </c>
      <c r="B7" t="s">
        <v>41</v>
      </c>
      <c r="C7" t="str">
        <f>PROPER(TRIM(SUBSTITUTE(SUBSTITUTE(SUBSTITUTE(Table1[[#This Row],[name]],"Ms. ",""),"Mr. ",""),"Mrs. ","")))</f>
        <v>Lisa Johnson</v>
      </c>
      <c r="D7" t="s">
        <v>39</v>
      </c>
      <c r="E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">
        <v>59</v>
      </c>
      <c r="G7" t="str">
        <f>TRIM(IF(Table1[[#This Row],[age]]="","Unknown",Table1[[#This Row],[age]]))</f>
        <v>59</v>
      </c>
      <c r="H7" t="s">
        <v>42</v>
      </c>
      <c r="I7" t="s">
        <v>43</v>
      </c>
      <c r="J7" t="s">
        <v>44</v>
      </c>
      <c r="K7">
        <v>14</v>
      </c>
      <c r="L7" s="10" t="str">
        <f>TRIM(IF(Table1[[#This Row],[years_of_experience]]="","Unknown",Table1[[#This Row],[years_of_experience]]))</f>
        <v>14</v>
      </c>
      <c r="M7" t="s">
        <v>45</v>
      </c>
      <c r="N7" t="str">
        <f>IF(Table1[[#This Row],[hourly_rate (USD)]]="",MEDIAN(Table1[hourly_rate (USD)]),Table1[[#This Row],[hourly_rate (USD)]])</f>
        <v>$30</v>
      </c>
      <c r="O7" t="str">
        <f>TRIM(CLEAN(Table1[[#This Row],[Updated hourly_rate (USD)]]))</f>
        <v>$30</v>
      </c>
      <c r="P7" t="str">
        <f>SUBSTITUTE(SUBSTITUTE(Table1[[#This Row],[Formatted hourly rate]],"USD ",""),"$","")</f>
        <v>30</v>
      </c>
      <c r="Q7">
        <v>2.4</v>
      </c>
      <c r="R7">
        <f>IF(Table1[[#This Row],[rating]]="",2.6,Table1[[#This Row],[rating]])</f>
        <v>2.4</v>
      </c>
      <c r="S7" t="b">
        <v>0</v>
      </c>
      <c r="T7" t="str">
        <f>TRIM(CLEAN(Table1[[#This Row],[is_active]]))</f>
        <v>FALSE</v>
      </c>
      <c r="U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" s="11" t="str">
        <f>TRIM(IF(Table1[[#This Row],[is_active3]]="Unknown","TRUE",Table1[[#This Row],[is_active3]]))</f>
        <v>TRUE</v>
      </c>
      <c r="X7">
        <f>IF(Table1[[#This Row],[client_satisfaction]]&gt;1,Table1[[#This Row],[client_satisfaction]]/100,Table1[[#This Row],[client_satisfaction]])</f>
        <v>0</v>
      </c>
      <c r="Y7">
        <f>IF(Table1[[#This Row],[client_satisfaction2]]=0,0.75,Table1[[#This Row],[client_satisfaction2]])</f>
        <v>0.75</v>
      </c>
    </row>
    <row r="8" spans="1:25" x14ac:dyDescent="0.25">
      <c r="A8" t="s">
        <v>46</v>
      </c>
      <c r="B8" t="s">
        <v>47</v>
      </c>
      <c r="C8" t="str">
        <f>PROPER(TRIM(SUBSTITUTE(SUBSTITUTE(SUBSTITUTE(Table1[[#This Row],[name]],"Ms. ",""),"Mr. ",""),"Mrs. ","")))</f>
        <v>Eric Myers</v>
      </c>
      <c r="D8" t="s">
        <v>48</v>
      </c>
      <c r="E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">
        <v>52</v>
      </c>
      <c r="G8" t="str">
        <f>TRIM(IF(Table1[[#This Row],[age]]="","Unknown",Table1[[#This Row],[age]]))</f>
        <v>52</v>
      </c>
      <c r="H8" t="s">
        <v>49</v>
      </c>
      <c r="I8" t="s">
        <v>50</v>
      </c>
      <c r="J8" t="s">
        <v>51</v>
      </c>
      <c r="K8">
        <v>10</v>
      </c>
      <c r="L8" s="10" t="str">
        <f>TRIM(IF(Table1[[#This Row],[years_of_experience]]="","Unknown",Table1[[#This Row],[years_of_experience]]))</f>
        <v>10</v>
      </c>
      <c r="M8" t="s">
        <v>52</v>
      </c>
      <c r="N8" t="str">
        <f>IF(Table1[[#This Row],[hourly_rate (USD)]]="",MEDIAN(Table1[hourly_rate (USD)]),Table1[[#This Row],[hourly_rate (USD)]])</f>
        <v>USD 75</v>
      </c>
      <c r="O8" t="str">
        <f>TRIM(CLEAN(Table1[[#This Row],[Updated hourly_rate (USD)]]))</f>
        <v>USD 75</v>
      </c>
      <c r="P8" t="str">
        <f>SUBSTITUTE(SUBSTITUTE(Table1[[#This Row],[Formatted hourly rate]],"USD ",""),"$","")</f>
        <v>75</v>
      </c>
      <c r="Q8">
        <v>3.1</v>
      </c>
      <c r="R8">
        <f>IF(Table1[[#This Row],[rating]]="",2.6,Table1[[#This Row],[rating]])</f>
        <v>3.1</v>
      </c>
      <c r="S8">
        <v>0</v>
      </c>
      <c r="T8" t="str">
        <f>TRIM(CLEAN(Table1[[#This Row],[is_active]]))</f>
        <v>0</v>
      </c>
      <c r="U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" s="11" t="str">
        <f>TRIM(IF(Table1[[#This Row],[is_active3]]="Unknown","TRUE",Table1[[#This Row],[is_active3]]))</f>
        <v>FALSE</v>
      </c>
      <c r="W8">
        <v>0.94</v>
      </c>
      <c r="X8">
        <f>IF(Table1[[#This Row],[client_satisfaction]]&gt;1,Table1[[#This Row],[client_satisfaction]]/100,Table1[[#This Row],[client_satisfaction]])</f>
        <v>0.94</v>
      </c>
      <c r="Y8">
        <f>IF(Table1[[#This Row],[client_satisfaction2]]=0,0.75,Table1[[#This Row],[client_satisfaction2]])</f>
        <v>0.94</v>
      </c>
    </row>
    <row r="9" spans="1:25" x14ac:dyDescent="0.25">
      <c r="A9" t="s">
        <v>53</v>
      </c>
      <c r="B9" t="s">
        <v>54</v>
      </c>
      <c r="C9" t="str">
        <f>PROPER(TRIM(SUBSTITUTE(SUBSTITUTE(SUBSTITUTE(Table1[[#This Row],[name]],"Ms. ",""),"Mr. ",""),"Mrs. ","")))</f>
        <v>Ricky Graham</v>
      </c>
      <c r="D9" t="s">
        <v>27</v>
      </c>
      <c r="E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">
        <v>43</v>
      </c>
      <c r="G9" t="str">
        <f>TRIM(IF(Table1[[#This Row],[age]]="","Unknown",Table1[[#This Row],[age]]))</f>
        <v>43</v>
      </c>
      <c r="H9" t="s">
        <v>15</v>
      </c>
      <c r="I9" t="s">
        <v>16</v>
      </c>
      <c r="J9" t="s">
        <v>17</v>
      </c>
      <c r="K9">
        <v>14</v>
      </c>
      <c r="L9" s="10" t="str">
        <f>TRIM(IF(Table1[[#This Row],[years_of_experience]]="","Unknown",Table1[[#This Row],[years_of_experience]]))</f>
        <v>14</v>
      </c>
      <c r="M9" t="s">
        <v>55</v>
      </c>
      <c r="N9" t="str">
        <f>IF(Table1[[#This Row],[hourly_rate (USD)]]="",MEDIAN(Table1[hourly_rate (USD)]),Table1[[#This Row],[hourly_rate (USD)]])</f>
        <v>USD 40</v>
      </c>
      <c r="O9" t="str">
        <f>TRIM(CLEAN(Table1[[#This Row],[Updated hourly_rate (USD)]]))</f>
        <v>USD 40</v>
      </c>
      <c r="P9" t="str">
        <f>SUBSTITUTE(SUBSTITUTE(Table1[[#This Row],[Formatted hourly rate]],"USD ",""),"$","")</f>
        <v>40</v>
      </c>
      <c r="Q9">
        <v>4.5999999999999996</v>
      </c>
      <c r="R9">
        <f>IF(Table1[[#This Row],[rating]]="",2.6,Table1[[#This Row],[rating]])</f>
        <v>4.5999999999999996</v>
      </c>
      <c r="S9" t="b">
        <v>0</v>
      </c>
      <c r="T9" t="str">
        <f>TRIM(CLEAN(Table1[[#This Row],[is_active]]))</f>
        <v>FALSE</v>
      </c>
      <c r="U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" s="11" t="str">
        <f>TRIM(IF(Table1[[#This Row],[is_active3]]="Unknown","TRUE",Table1[[#This Row],[is_active3]]))</f>
        <v>TRUE</v>
      </c>
      <c r="W9">
        <v>0.94</v>
      </c>
      <c r="X9">
        <f>IF(Table1[[#This Row],[client_satisfaction]]&gt;1,Table1[[#This Row],[client_satisfaction]]/100,Table1[[#This Row],[client_satisfaction]])</f>
        <v>0.94</v>
      </c>
      <c r="Y9">
        <f>IF(Table1[[#This Row],[client_satisfaction2]]=0,0.75,Table1[[#This Row],[client_satisfaction2]])</f>
        <v>0.94</v>
      </c>
    </row>
    <row r="10" spans="1:25" x14ac:dyDescent="0.25">
      <c r="A10" t="s">
        <v>56</v>
      </c>
      <c r="B10" t="s">
        <v>57</v>
      </c>
      <c r="C10" t="str">
        <f>PROPER(TRIM(SUBSTITUTE(SUBSTITUTE(SUBSTITUTE(Table1[[#This Row],[name]],"Ms. ",""),"Mr. ",""),"Mrs. ","")))</f>
        <v>Sean Martin</v>
      </c>
      <c r="D10" t="s">
        <v>27</v>
      </c>
      <c r="E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0">
        <v>26</v>
      </c>
      <c r="G10" t="str">
        <f>TRIM(IF(Table1[[#This Row],[age]]="","Unknown",Table1[[#This Row],[age]]))</f>
        <v>26</v>
      </c>
      <c r="H10" t="s">
        <v>58</v>
      </c>
      <c r="I10" t="s">
        <v>22</v>
      </c>
      <c r="J10" t="s">
        <v>17</v>
      </c>
      <c r="K10">
        <v>4</v>
      </c>
      <c r="L10" s="10" t="str">
        <f>TRIM(IF(Table1[[#This Row],[years_of_experience]]="","Unknown",Table1[[#This Row],[years_of_experience]]))</f>
        <v>4</v>
      </c>
      <c r="N10">
        <f>IF(Table1[[#This Row],[hourly_rate (USD)]]="",MEDIAN(Table1[hourly_rate (USD)]),Table1[[#This Row],[hourly_rate (USD)]])</f>
        <v>50</v>
      </c>
      <c r="O10" t="str">
        <f>TRIM(CLEAN(Table1[[#This Row],[Updated hourly_rate (USD)]]))</f>
        <v>50</v>
      </c>
      <c r="P10" t="str">
        <f>SUBSTITUTE(SUBSTITUTE(Table1[[#This Row],[Formatted hourly rate]],"USD ",""),"$","")</f>
        <v>50</v>
      </c>
      <c r="Q10">
        <v>4</v>
      </c>
      <c r="R10">
        <f>IF(Table1[[#This Row],[rating]]="",2.6,Table1[[#This Row],[rating]])</f>
        <v>4</v>
      </c>
      <c r="S10" t="b">
        <v>1</v>
      </c>
      <c r="T10" t="str">
        <f>TRIM(CLEAN(Table1[[#This Row],[is_active]]))</f>
        <v>TRUE</v>
      </c>
      <c r="U1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0" s="11" t="str">
        <f>TRIM(IF(Table1[[#This Row],[is_active3]]="Unknown","TRUE",Table1[[#This Row],[is_active3]]))</f>
        <v>TRUE</v>
      </c>
      <c r="W10">
        <v>0.76</v>
      </c>
      <c r="X10">
        <f>IF(Table1[[#This Row],[client_satisfaction]]&gt;1,Table1[[#This Row],[client_satisfaction]]/100,Table1[[#This Row],[client_satisfaction]])</f>
        <v>0.76</v>
      </c>
      <c r="Y10">
        <f>IF(Table1[[#This Row],[client_satisfaction2]]=0,0.75,Table1[[#This Row],[client_satisfaction2]])</f>
        <v>0.76</v>
      </c>
    </row>
    <row r="11" spans="1:25" x14ac:dyDescent="0.25">
      <c r="A11" t="s">
        <v>59</v>
      </c>
      <c r="B11" t="s">
        <v>60</v>
      </c>
      <c r="C11" t="str">
        <f>PROPER(TRIM(SUBSTITUTE(SUBSTITUTE(SUBSTITUTE(Table1[[#This Row],[name]],"Ms. ",""),"Mr. ",""),"Mrs. ","")))</f>
        <v>Matthew Lloyd</v>
      </c>
      <c r="D11" t="s">
        <v>61</v>
      </c>
      <c r="E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1">
        <v>52</v>
      </c>
      <c r="G11" t="str">
        <f>TRIM(IF(Table1[[#This Row],[age]]="","Unknown",Table1[[#This Row],[age]]))</f>
        <v>52</v>
      </c>
      <c r="H11" t="s">
        <v>62</v>
      </c>
      <c r="I11" t="s">
        <v>63</v>
      </c>
      <c r="J11" t="s">
        <v>44</v>
      </c>
      <c r="K11">
        <v>22</v>
      </c>
      <c r="L11" s="10" t="str">
        <f>TRIM(IF(Table1[[#This Row],[years_of_experience]]="","Unknown",Table1[[#This Row],[years_of_experience]]))</f>
        <v>22</v>
      </c>
      <c r="M11" t="s">
        <v>64</v>
      </c>
      <c r="N11" t="str">
        <f>IF(Table1[[#This Row],[hourly_rate (USD)]]="",MEDIAN(Table1[hourly_rate (USD)]),Table1[[#This Row],[hourly_rate (USD)]])</f>
        <v>$50</v>
      </c>
      <c r="O11" t="str">
        <f>TRIM(CLEAN(Table1[[#This Row],[Updated hourly_rate (USD)]]))</f>
        <v>$50</v>
      </c>
      <c r="P11" t="str">
        <f>SUBSTITUTE(SUBSTITUTE(Table1[[#This Row],[Formatted hourly rate]],"USD ",""),"$","")</f>
        <v>50</v>
      </c>
      <c r="R11">
        <f>IF(Table1[[#This Row],[rating]]="",2.6,Table1[[#This Row],[rating]])</f>
        <v>2.6</v>
      </c>
      <c r="S11">
        <v>1</v>
      </c>
      <c r="T11" t="str">
        <f>TRIM(CLEAN(Table1[[#This Row],[is_active]]))</f>
        <v>1</v>
      </c>
      <c r="U1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1" s="11" t="str">
        <f>TRIM(IF(Table1[[#This Row],[is_active3]]="Unknown","TRUE",Table1[[#This Row],[is_active3]]))</f>
        <v>TRUE</v>
      </c>
      <c r="X11">
        <f>IF(Table1[[#This Row],[client_satisfaction]]&gt;1,Table1[[#This Row],[client_satisfaction]]/100,Table1[[#This Row],[client_satisfaction]])</f>
        <v>0</v>
      </c>
      <c r="Y11">
        <f>IF(Table1[[#This Row],[client_satisfaction2]]=0,0.75,Table1[[#This Row],[client_satisfaction2]])</f>
        <v>0.75</v>
      </c>
    </row>
    <row r="12" spans="1:25" x14ac:dyDescent="0.25">
      <c r="A12" t="s">
        <v>65</v>
      </c>
      <c r="B12" t="s">
        <v>66</v>
      </c>
      <c r="C12" t="str">
        <f>PROPER(TRIM(SUBSTITUTE(SUBSTITUTE(SUBSTITUTE(Table1[[#This Row],[name]],"Ms. ",""),"Mr. ",""),"Mrs. ","")))</f>
        <v>Gavin Randall</v>
      </c>
      <c r="D12" t="s">
        <v>48</v>
      </c>
      <c r="E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2">
        <v>40</v>
      </c>
      <c r="G12" t="str">
        <f>TRIM(IF(Table1[[#This Row],[age]]="","Unknown",Table1[[#This Row],[age]]))</f>
        <v>40</v>
      </c>
      <c r="H12" t="s">
        <v>67</v>
      </c>
      <c r="I12" t="s">
        <v>22</v>
      </c>
      <c r="J12" t="s">
        <v>51</v>
      </c>
      <c r="K12">
        <v>17</v>
      </c>
      <c r="L12" s="10" t="str">
        <f>TRIM(IF(Table1[[#This Row],[years_of_experience]]="","Unknown",Table1[[#This Row],[years_of_experience]]))</f>
        <v>17</v>
      </c>
      <c r="M12">
        <v>40</v>
      </c>
      <c r="N12">
        <f>IF(Table1[[#This Row],[hourly_rate (USD)]]="",MEDIAN(Table1[hourly_rate (USD)]),Table1[[#This Row],[hourly_rate (USD)]])</f>
        <v>40</v>
      </c>
      <c r="O12" t="str">
        <f>TRIM(CLEAN(Table1[[#This Row],[Updated hourly_rate (USD)]]))</f>
        <v>40</v>
      </c>
      <c r="P12" t="str">
        <f>SUBSTITUTE(SUBSTITUTE(Table1[[#This Row],[Formatted hourly rate]],"USD ",""),"$","")</f>
        <v>40</v>
      </c>
      <c r="Q12">
        <v>3.6</v>
      </c>
      <c r="R12">
        <f>IF(Table1[[#This Row],[rating]]="",2.6,Table1[[#This Row],[rating]])</f>
        <v>3.6</v>
      </c>
      <c r="S12" t="s">
        <v>68</v>
      </c>
      <c r="T12" t="str">
        <f>TRIM(CLEAN(Table1[[#This Row],[is_active]]))</f>
        <v>yes</v>
      </c>
      <c r="U1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2" s="11" t="str">
        <f>TRIM(IF(Table1[[#This Row],[is_active3]]="Unknown","TRUE",Table1[[#This Row],[is_active3]]))</f>
        <v>TRUE</v>
      </c>
      <c r="W12">
        <v>0.77</v>
      </c>
      <c r="X12">
        <f>IF(Table1[[#This Row],[client_satisfaction]]&gt;1,Table1[[#This Row],[client_satisfaction]]/100,Table1[[#This Row],[client_satisfaction]])</f>
        <v>0.77</v>
      </c>
      <c r="Y12">
        <f>IF(Table1[[#This Row],[client_satisfaction2]]=0,0.75,Table1[[#This Row],[client_satisfaction2]])</f>
        <v>0.77</v>
      </c>
    </row>
    <row r="13" spans="1:25" x14ac:dyDescent="0.25">
      <c r="A13" t="s">
        <v>69</v>
      </c>
      <c r="B13" t="s">
        <v>70</v>
      </c>
      <c r="C13" t="str">
        <f>PROPER(TRIM(SUBSTITUTE(SUBSTITUTE(SUBSTITUTE(Table1[[#This Row],[name]],"Ms. ",""),"Mr. ",""),"Mrs. ","")))</f>
        <v>Michelle Curtis</v>
      </c>
      <c r="D13" t="s">
        <v>20</v>
      </c>
      <c r="E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3">
        <v>55</v>
      </c>
      <c r="G13" t="str">
        <f>TRIM(IF(Table1[[#This Row],[age]]="","Unknown",Table1[[#This Row],[age]]))</f>
        <v>55</v>
      </c>
      <c r="H13" t="s">
        <v>71</v>
      </c>
      <c r="I13" t="s">
        <v>72</v>
      </c>
      <c r="J13" t="s">
        <v>73</v>
      </c>
      <c r="K13">
        <v>15</v>
      </c>
      <c r="L13" s="10" t="str">
        <f>TRIM(IF(Table1[[#This Row],[years_of_experience]]="","Unknown",Table1[[#This Row],[years_of_experience]]))</f>
        <v>15</v>
      </c>
      <c r="N13">
        <f>IF(Table1[[#This Row],[hourly_rate (USD)]]="",MEDIAN(Table1[hourly_rate (USD)]),Table1[[#This Row],[hourly_rate (USD)]])</f>
        <v>50</v>
      </c>
      <c r="O13" t="str">
        <f>TRIM(CLEAN(Table1[[#This Row],[Updated hourly_rate (USD)]]))</f>
        <v>50</v>
      </c>
      <c r="P13" t="str">
        <f>SUBSTITUTE(SUBSTITUTE(Table1[[#This Row],[Formatted hourly rate]],"USD ",""),"$","")</f>
        <v>50</v>
      </c>
      <c r="R13">
        <f>IF(Table1[[#This Row],[rating]]="",2.6,Table1[[#This Row],[rating]])</f>
        <v>2.6</v>
      </c>
      <c r="S13" t="s">
        <v>74</v>
      </c>
      <c r="T13" t="str">
        <f>TRIM(CLEAN(Table1[[#This Row],[is_active]]))</f>
        <v>Y</v>
      </c>
      <c r="U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3" s="11" t="str">
        <f>TRIM(IF(Table1[[#This Row],[is_active3]]="Unknown","TRUE",Table1[[#This Row],[is_active3]]))</f>
        <v>TRUE</v>
      </c>
      <c r="W13">
        <v>0.86</v>
      </c>
      <c r="X13">
        <f>IF(Table1[[#This Row],[client_satisfaction]]&gt;1,Table1[[#This Row],[client_satisfaction]]/100,Table1[[#This Row],[client_satisfaction]])</f>
        <v>0.86</v>
      </c>
      <c r="Y13">
        <f>IF(Table1[[#This Row],[client_satisfaction2]]=0,0.75,Table1[[#This Row],[client_satisfaction2]])</f>
        <v>0.86</v>
      </c>
    </row>
    <row r="14" spans="1:25" x14ac:dyDescent="0.25">
      <c r="A14" t="s">
        <v>75</v>
      </c>
      <c r="B14" t="s">
        <v>76</v>
      </c>
      <c r="C14" t="str">
        <f>PROPER(TRIM(SUBSTITUTE(SUBSTITUTE(SUBSTITUTE(Table1[[#This Row],[name]],"Ms. ",""),"Mr. ",""),"Mrs. ","")))</f>
        <v>Alice Schneider</v>
      </c>
      <c r="D14" t="s">
        <v>77</v>
      </c>
      <c r="E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4">
        <v>57</v>
      </c>
      <c r="G14" t="str">
        <f>TRIM(IF(Table1[[#This Row],[age]]="","Unknown",Table1[[#This Row],[age]]))</f>
        <v>57</v>
      </c>
      <c r="H14" t="s">
        <v>67</v>
      </c>
      <c r="I14" t="s">
        <v>22</v>
      </c>
      <c r="J14" t="s">
        <v>78</v>
      </c>
      <c r="K14">
        <v>18</v>
      </c>
      <c r="L14" s="10" t="str">
        <f>TRIM(IF(Table1[[#This Row],[years_of_experience]]="","Unknown",Table1[[#This Row],[years_of_experience]]))</f>
        <v>18</v>
      </c>
      <c r="N14">
        <f>IF(Table1[[#This Row],[hourly_rate (USD)]]="",MEDIAN(Table1[hourly_rate (USD)]),Table1[[#This Row],[hourly_rate (USD)]])</f>
        <v>50</v>
      </c>
      <c r="O14" t="str">
        <f>TRIM(CLEAN(Table1[[#This Row],[Updated hourly_rate (USD)]]))</f>
        <v>50</v>
      </c>
      <c r="P14" t="str">
        <f>SUBSTITUTE(SUBSTITUTE(Table1[[#This Row],[Formatted hourly rate]],"USD ",""),"$","")</f>
        <v>50</v>
      </c>
      <c r="Q14">
        <v>2</v>
      </c>
      <c r="R14">
        <f>IF(Table1[[#This Row],[rating]]="",2.6,Table1[[#This Row],[rating]])</f>
        <v>2</v>
      </c>
      <c r="S14">
        <v>0</v>
      </c>
      <c r="T14" t="str">
        <f>TRIM(CLEAN(Table1[[#This Row],[is_active]]))</f>
        <v>0</v>
      </c>
      <c r="U1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4" s="11" t="str">
        <f>TRIM(IF(Table1[[#This Row],[is_active3]]="Unknown","TRUE",Table1[[#This Row],[is_active3]]))</f>
        <v>FALSE</v>
      </c>
      <c r="W14">
        <v>0.86</v>
      </c>
      <c r="X14">
        <f>IF(Table1[[#This Row],[client_satisfaction]]&gt;1,Table1[[#This Row],[client_satisfaction]]/100,Table1[[#This Row],[client_satisfaction]])</f>
        <v>0.86</v>
      </c>
      <c r="Y14">
        <f>IF(Table1[[#This Row],[client_satisfaction2]]=0,0.75,Table1[[#This Row],[client_satisfaction2]])</f>
        <v>0.86</v>
      </c>
    </row>
    <row r="15" spans="1:25" x14ac:dyDescent="0.25">
      <c r="A15" t="s">
        <v>79</v>
      </c>
      <c r="B15" t="s">
        <v>80</v>
      </c>
      <c r="C15" t="str">
        <f>PROPER(TRIM(SUBSTITUTE(SUBSTITUTE(SUBSTITUTE(Table1[[#This Row],[name]],"Ms. ",""),"Mr. ",""),"Mrs. ","")))</f>
        <v>Phillip Shelton</v>
      </c>
      <c r="D15" t="s">
        <v>61</v>
      </c>
      <c r="E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5">
        <v>38</v>
      </c>
      <c r="G15" t="str">
        <f>TRIM(IF(Table1[[#This Row],[age]]="","Unknown",Table1[[#This Row],[age]]))</f>
        <v>38</v>
      </c>
      <c r="H15" t="s">
        <v>71</v>
      </c>
      <c r="I15" t="s">
        <v>72</v>
      </c>
      <c r="J15" t="s">
        <v>30</v>
      </c>
      <c r="K15">
        <v>20</v>
      </c>
      <c r="L15" s="10" t="str">
        <f>TRIM(IF(Table1[[#This Row],[years_of_experience]]="","Unknown",Table1[[#This Row],[years_of_experience]]))</f>
        <v>20</v>
      </c>
      <c r="M15" t="s">
        <v>52</v>
      </c>
      <c r="N15" t="str">
        <f>IF(Table1[[#This Row],[hourly_rate (USD)]]="",MEDIAN(Table1[hourly_rate (USD)]),Table1[[#This Row],[hourly_rate (USD)]])</f>
        <v>USD 75</v>
      </c>
      <c r="O15" t="str">
        <f>TRIM(CLEAN(Table1[[#This Row],[Updated hourly_rate (USD)]]))</f>
        <v>USD 75</v>
      </c>
      <c r="P15" t="str">
        <f>SUBSTITUTE(SUBSTITUTE(Table1[[#This Row],[Formatted hourly rate]],"USD ",""),"$","")</f>
        <v>75</v>
      </c>
      <c r="Q15">
        <v>2.9</v>
      </c>
      <c r="R15">
        <f>IF(Table1[[#This Row],[rating]]="",2.6,Table1[[#This Row],[rating]])</f>
        <v>2.9</v>
      </c>
      <c r="S15">
        <v>1</v>
      </c>
      <c r="T15" t="str">
        <f>TRIM(CLEAN(Table1[[#This Row],[is_active]]))</f>
        <v>1</v>
      </c>
      <c r="U1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5" s="11" t="str">
        <f>TRIM(IF(Table1[[#This Row],[is_active3]]="Unknown","TRUE",Table1[[#This Row],[is_active3]]))</f>
        <v>TRUE</v>
      </c>
      <c r="W15">
        <v>0.93</v>
      </c>
      <c r="X15">
        <f>IF(Table1[[#This Row],[client_satisfaction]]&gt;1,Table1[[#This Row],[client_satisfaction]]/100,Table1[[#This Row],[client_satisfaction]])</f>
        <v>0.93</v>
      </c>
      <c r="Y15">
        <f>IF(Table1[[#This Row],[client_satisfaction2]]=0,0.75,Table1[[#This Row],[client_satisfaction2]])</f>
        <v>0.93</v>
      </c>
    </row>
    <row r="16" spans="1:25" x14ac:dyDescent="0.25">
      <c r="A16" t="s">
        <v>81</v>
      </c>
      <c r="B16" t="s">
        <v>82</v>
      </c>
      <c r="C16" t="str">
        <f>PROPER(TRIM(SUBSTITUTE(SUBSTITUTE(SUBSTITUTE(Table1[[#This Row],[name]],"Ms. ",""),"Mr. ",""),"Mrs. ","")))</f>
        <v>Edward Ferguson</v>
      </c>
      <c r="D16" t="s">
        <v>61</v>
      </c>
      <c r="E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6">
        <v>50</v>
      </c>
      <c r="G16" t="str">
        <f>TRIM(IF(Table1[[#This Row],[age]]="","Unknown",Table1[[#This Row],[age]]))</f>
        <v>50</v>
      </c>
      <c r="H16" t="s">
        <v>28</v>
      </c>
      <c r="I16" t="s">
        <v>29</v>
      </c>
      <c r="J16" t="s">
        <v>51</v>
      </c>
      <c r="K16">
        <v>22</v>
      </c>
      <c r="L16" s="10" t="str">
        <f>TRIM(IF(Table1[[#This Row],[years_of_experience]]="","Unknown",Table1[[#This Row],[years_of_experience]]))</f>
        <v>22</v>
      </c>
      <c r="M16">
        <v>75</v>
      </c>
      <c r="N16">
        <f>IF(Table1[[#This Row],[hourly_rate (USD)]]="",MEDIAN(Table1[hourly_rate (USD)]),Table1[[#This Row],[hourly_rate (USD)]])</f>
        <v>75</v>
      </c>
      <c r="O16" t="str">
        <f>TRIM(CLEAN(Table1[[#This Row],[Updated hourly_rate (USD)]]))</f>
        <v>75</v>
      </c>
      <c r="P16" t="str">
        <f>SUBSTITUTE(SUBSTITUTE(Table1[[#This Row],[Formatted hourly rate]],"USD ",""),"$","")</f>
        <v>75</v>
      </c>
      <c r="Q16">
        <v>3.7</v>
      </c>
      <c r="R16">
        <f>IF(Table1[[#This Row],[rating]]="",2.6,Table1[[#This Row],[rating]])</f>
        <v>3.7</v>
      </c>
      <c r="S16">
        <v>1</v>
      </c>
      <c r="T16" t="str">
        <f>TRIM(CLEAN(Table1[[#This Row],[is_active]]))</f>
        <v>1</v>
      </c>
      <c r="U1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6" s="11" t="str">
        <f>TRIM(IF(Table1[[#This Row],[is_active3]]="Unknown","TRUE",Table1[[#This Row],[is_active3]]))</f>
        <v>TRUE</v>
      </c>
      <c r="W16">
        <v>0.7</v>
      </c>
      <c r="X16">
        <f>IF(Table1[[#This Row],[client_satisfaction]]&gt;1,Table1[[#This Row],[client_satisfaction]]/100,Table1[[#This Row],[client_satisfaction]])</f>
        <v>0.7</v>
      </c>
      <c r="Y16">
        <f>IF(Table1[[#This Row],[client_satisfaction2]]=0,0.75,Table1[[#This Row],[client_satisfaction2]])</f>
        <v>0.7</v>
      </c>
    </row>
    <row r="17" spans="1:25" x14ac:dyDescent="0.25">
      <c r="A17" t="s">
        <v>83</v>
      </c>
      <c r="B17" t="s">
        <v>84</v>
      </c>
      <c r="C17" t="str">
        <f>PROPER(TRIM(SUBSTITUTE(SUBSTITUTE(SUBSTITUTE(Table1[[#This Row],[name]],"Ms. ",""),"Mr. ",""),"Mrs. ","")))</f>
        <v>Wyatt Stout</v>
      </c>
      <c r="D17" t="s">
        <v>48</v>
      </c>
      <c r="E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7">
        <v>42</v>
      </c>
      <c r="G17" t="str">
        <f>TRIM(IF(Table1[[#This Row],[age]]="","Unknown",Table1[[#This Row],[age]]))</f>
        <v>42</v>
      </c>
      <c r="H17" t="s">
        <v>85</v>
      </c>
      <c r="I17" t="s">
        <v>86</v>
      </c>
      <c r="J17" t="s">
        <v>51</v>
      </c>
      <c r="K17">
        <v>0</v>
      </c>
      <c r="L17" s="10" t="str">
        <f>TRIM(IF(Table1[[#This Row],[years_of_experience]]="","Unknown",Table1[[#This Row],[years_of_experience]]))</f>
        <v>0</v>
      </c>
      <c r="M17" t="s">
        <v>45</v>
      </c>
      <c r="N17" t="str">
        <f>IF(Table1[[#This Row],[hourly_rate (USD)]]="",MEDIAN(Table1[hourly_rate (USD)]),Table1[[#This Row],[hourly_rate (USD)]])</f>
        <v>$30</v>
      </c>
      <c r="O17" t="str">
        <f>TRIM(CLEAN(Table1[[#This Row],[Updated hourly_rate (USD)]]))</f>
        <v>$30</v>
      </c>
      <c r="P17" t="str">
        <f>SUBSTITUTE(SUBSTITUTE(Table1[[#This Row],[Formatted hourly rate]],"USD ",""),"$","")</f>
        <v>30</v>
      </c>
      <c r="Q17">
        <v>1.2</v>
      </c>
      <c r="R17">
        <f>IF(Table1[[#This Row],[rating]]="",2.6,Table1[[#This Row],[rating]])</f>
        <v>1.2</v>
      </c>
      <c r="S17">
        <v>0</v>
      </c>
      <c r="T17" t="str">
        <f>TRIM(CLEAN(Table1[[#This Row],[is_active]]))</f>
        <v>0</v>
      </c>
      <c r="U1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7" s="11" t="str">
        <f>TRIM(IF(Table1[[#This Row],[is_active3]]="Unknown","TRUE",Table1[[#This Row],[is_active3]]))</f>
        <v>FALSE</v>
      </c>
      <c r="W17">
        <v>0.69</v>
      </c>
      <c r="X17">
        <f>IF(Table1[[#This Row],[client_satisfaction]]&gt;1,Table1[[#This Row],[client_satisfaction]]/100,Table1[[#This Row],[client_satisfaction]])</f>
        <v>0.69</v>
      </c>
      <c r="Y17">
        <f>IF(Table1[[#This Row],[client_satisfaction2]]=0,0.75,Table1[[#This Row],[client_satisfaction2]])</f>
        <v>0.69</v>
      </c>
    </row>
    <row r="18" spans="1:25" x14ac:dyDescent="0.25">
      <c r="A18" t="s">
        <v>87</v>
      </c>
      <c r="B18" t="s">
        <v>88</v>
      </c>
      <c r="C18" t="str">
        <f>PROPER(TRIM(SUBSTITUTE(SUBSTITUTE(SUBSTITUTE(Table1[[#This Row],[name]],"Ms. ",""),"Mr. ",""),"Mrs. ","")))</f>
        <v>Laura Johnson</v>
      </c>
      <c r="D18" t="s">
        <v>77</v>
      </c>
      <c r="E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8">
        <v>39</v>
      </c>
      <c r="G18" t="str">
        <f>TRIM(IF(Table1[[#This Row],[age]]="","Unknown",Table1[[#This Row],[age]]))</f>
        <v>39</v>
      </c>
      <c r="H18" t="s">
        <v>21</v>
      </c>
      <c r="I18" t="s">
        <v>22</v>
      </c>
      <c r="J18" t="s">
        <v>89</v>
      </c>
      <c r="K18">
        <v>13</v>
      </c>
      <c r="L18" s="10" t="str">
        <f>TRIM(IF(Table1[[#This Row],[years_of_experience]]="","Unknown",Table1[[#This Row],[years_of_experience]]))</f>
        <v>13</v>
      </c>
      <c r="M18" t="s">
        <v>45</v>
      </c>
      <c r="N18" t="str">
        <f>IF(Table1[[#This Row],[hourly_rate (USD)]]="",MEDIAN(Table1[hourly_rate (USD)]),Table1[[#This Row],[hourly_rate (USD)]])</f>
        <v>$30</v>
      </c>
      <c r="O18" t="str">
        <f>TRIM(CLEAN(Table1[[#This Row],[Updated hourly_rate (USD)]]))</f>
        <v>$30</v>
      </c>
      <c r="P18" t="str">
        <f>SUBSTITUTE(SUBSTITUTE(Table1[[#This Row],[Formatted hourly rate]],"USD ",""),"$","")</f>
        <v>30</v>
      </c>
      <c r="Q18">
        <v>2.5</v>
      </c>
      <c r="R18">
        <f>IF(Table1[[#This Row],[rating]]="",2.6,Table1[[#This Row],[rating]])</f>
        <v>2.5</v>
      </c>
      <c r="S18" t="b">
        <v>0</v>
      </c>
      <c r="T18" t="str">
        <f>TRIM(CLEAN(Table1[[#This Row],[is_active]]))</f>
        <v>FALSE</v>
      </c>
      <c r="U1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8" s="11" t="str">
        <f>TRIM(IF(Table1[[#This Row],[is_active3]]="Unknown","TRUE",Table1[[#This Row],[is_active3]]))</f>
        <v>TRUE</v>
      </c>
      <c r="W18">
        <v>0.6</v>
      </c>
      <c r="X18">
        <f>IF(Table1[[#This Row],[client_satisfaction]]&gt;1,Table1[[#This Row],[client_satisfaction]]/100,Table1[[#This Row],[client_satisfaction]])</f>
        <v>0.6</v>
      </c>
      <c r="Y18">
        <f>IF(Table1[[#This Row],[client_satisfaction2]]=0,0.75,Table1[[#This Row],[client_satisfaction2]])</f>
        <v>0.6</v>
      </c>
    </row>
    <row r="19" spans="1:25" x14ac:dyDescent="0.25">
      <c r="A19" t="s">
        <v>90</v>
      </c>
      <c r="B19" t="s">
        <v>91</v>
      </c>
      <c r="C19" t="str">
        <f>PROPER(TRIM(SUBSTITUTE(SUBSTITUTE(SUBSTITUTE(Table1[[#This Row],[name]],"Ms. ",""),"Mr. ",""),"Mrs. ","")))</f>
        <v>Scott Burns</v>
      </c>
      <c r="D19" t="s">
        <v>92</v>
      </c>
      <c r="E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9">
        <v>56</v>
      </c>
      <c r="G19" t="str">
        <f>TRIM(IF(Table1[[#This Row],[age]]="","Unknown",Table1[[#This Row],[age]]))</f>
        <v>56</v>
      </c>
      <c r="H19" t="s">
        <v>93</v>
      </c>
      <c r="I19" t="s">
        <v>94</v>
      </c>
      <c r="J19" t="s">
        <v>17</v>
      </c>
      <c r="L19" s="10" t="str">
        <f>TRIM(IF(Table1[[#This Row],[years_of_experience]]="","Unknown",Table1[[#This Row],[years_of_experience]]))</f>
        <v>Unknown</v>
      </c>
      <c r="N19">
        <f>IF(Table1[[#This Row],[hourly_rate (USD)]]="",MEDIAN(Table1[hourly_rate (USD)]),Table1[[#This Row],[hourly_rate (USD)]])</f>
        <v>50</v>
      </c>
      <c r="O19" t="str">
        <f>TRIM(CLEAN(Table1[[#This Row],[Updated hourly_rate (USD)]]))</f>
        <v>50</v>
      </c>
      <c r="P19" t="str">
        <f>SUBSTITUTE(SUBSTITUTE(Table1[[#This Row],[Formatted hourly rate]],"USD ",""),"$","")</f>
        <v>50</v>
      </c>
      <c r="R19">
        <f>IF(Table1[[#This Row],[rating]]="",2.6,Table1[[#This Row],[rating]])</f>
        <v>2.6</v>
      </c>
      <c r="T19" t="str">
        <f>TRIM(CLEAN(Table1[[#This Row],[is_active]]))</f>
        <v/>
      </c>
      <c r="U1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9" s="11" t="str">
        <f>TRIM(IF(Table1[[#This Row],[is_active3]]="Unknown","TRUE",Table1[[#This Row],[is_active3]]))</f>
        <v>TRUE</v>
      </c>
      <c r="W19">
        <v>0.87</v>
      </c>
      <c r="X19">
        <f>IF(Table1[[#This Row],[client_satisfaction]]&gt;1,Table1[[#This Row],[client_satisfaction]]/100,Table1[[#This Row],[client_satisfaction]])</f>
        <v>0.87</v>
      </c>
      <c r="Y19">
        <f>IF(Table1[[#This Row],[client_satisfaction2]]=0,0.75,Table1[[#This Row],[client_satisfaction2]])</f>
        <v>0.87</v>
      </c>
    </row>
    <row r="20" spans="1:25" x14ac:dyDescent="0.25">
      <c r="A20" t="s">
        <v>95</v>
      </c>
      <c r="B20" t="s">
        <v>96</v>
      </c>
      <c r="C20" t="str">
        <f>PROPER(TRIM(SUBSTITUTE(SUBSTITUTE(SUBSTITUTE(Table1[[#This Row],[name]],"Ms. ",""),"Mr. ",""),"Mrs. ","")))</f>
        <v>Tyler Aguirre</v>
      </c>
      <c r="D20" t="s">
        <v>97</v>
      </c>
      <c r="E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0">
        <v>56</v>
      </c>
      <c r="G20" t="str">
        <f>TRIM(IF(Table1[[#This Row],[age]]="","Unknown",Table1[[#This Row],[age]]))</f>
        <v>56</v>
      </c>
      <c r="H20" t="s">
        <v>58</v>
      </c>
      <c r="I20" t="s">
        <v>22</v>
      </c>
      <c r="J20" t="s">
        <v>73</v>
      </c>
      <c r="K20">
        <v>31</v>
      </c>
      <c r="L20" s="10" t="str">
        <f>TRIM(IF(Table1[[#This Row],[years_of_experience]]="","Unknown",Table1[[#This Row],[years_of_experience]]))</f>
        <v>31</v>
      </c>
      <c r="M20" t="s">
        <v>98</v>
      </c>
      <c r="N20" t="str">
        <f>IF(Table1[[#This Row],[hourly_rate (USD)]]="",MEDIAN(Table1[hourly_rate (USD)]),Table1[[#This Row],[hourly_rate (USD)]])</f>
        <v>USD 50</v>
      </c>
      <c r="O20" t="str">
        <f>TRIM(CLEAN(Table1[[#This Row],[Updated hourly_rate (USD)]]))</f>
        <v>USD 50</v>
      </c>
      <c r="P20" t="str">
        <f>SUBSTITUTE(SUBSTITUTE(Table1[[#This Row],[Formatted hourly rate]],"USD ",""),"$","")</f>
        <v>50</v>
      </c>
      <c r="Q20">
        <v>1.1000000000000001</v>
      </c>
      <c r="R20">
        <f>IF(Table1[[#This Row],[rating]]="",2.6,Table1[[#This Row],[rating]])</f>
        <v>1.1000000000000001</v>
      </c>
      <c r="S20" t="s">
        <v>31</v>
      </c>
      <c r="T20" t="str">
        <f>TRIM(CLEAN(Table1[[#This Row],[is_active]]))</f>
        <v>N</v>
      </c>
      <c r="U2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0" s="11" t="str">
        <f>TRIM(IF(Table1[[#This Row],[is_active3]]="Unknown","TRUE",Table1[[#This Row],[is_active3]]))</f>
        <v>FALSE</v>
      </c>
      <c r="W20">
        <v>0.75</v>
      </c>
      <c r="X20">
        <f>IF(Table1[[#This Row],[client_satisfaction]]&gt;1,Table1[[#This Row],[client_satisfaction]]/100,Table1[[#This Row],[client_satisfaction]])</f>
        <v>0.75</v>
      </c>
      <c r="Y20">
        <f>IF(Table1[[#This Row],[client_satisfaction2]]=0,0.75,Table1[[#This Row],[client_satisfaction2]])</f>
        <v>0.75</v>
      </c>
    </row>
    <row r="21" spans="1:25" x14ac:dyDescent="0.25">
      <c r="A21" t="s">
        <v>99</v>
      </c>
      <c r="B21" t="s">
        <v>100</v>
      </c>
      <c r="C21" t="str">
        <f>PROPER(TRIM(SUBSTITUTE(SUBSTITUTE(SUBSTITUTE(Table1[[#This Row],[name]],"Ms. ",""),"Mr. ",""),"Mrs. ","")))</f>
        <v>Matthew Lawson</v>
      </c>
      <c r="D21" t="s">
        <v>97</v>
      </c>
      <c r="E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1">
        <v>57</v>
      </c>
      <c r="G21" t="str">
        <f>TRIM(IF(Table1[[#This Row],[age]]="","Unknown",Table1[[#This Row],[age]]))</f>
        <v>57</v>
      </c>
      <c r="H21" t="s">
        <v>15</v>
      </c>
      <c r="I21" t="s">
        <v>16</v>
      </c>
      <c r="J21" t="s">
        <v>35</v>
      </c>
      <c r="K21">
        <v>3</v>
      </c>
      <c r="L21" s="10" t="str">
        <f>TRIM(IF(Table1[[#This Row],[years_of_experience]]="","Unknown",Table1[[#This Row],[years_of_experience]]))</f>
        <v>3</v>
      </c>
      <c r="M21" t="s">
        <v>24</v>
      </c>
      <c r="N21" t="str">
        <f>IF(Table1[[#This Row],[hourly_rate (USD)]]="",MEDIAN(Table1[hourly_rate (USD)]),Table1[[#This Row],[hourly_rate (USD)]])</f>
        <v>USD 100</v>
      </c>
      <c r="O21" t="str">
        <f>TRIM(CLEAN(Table1[[#This Row],[Updated hourly_rate (USD)]]))</f>
        <v>USD 100</v>
      </c>
      <c r="P21" t="str">
        <f>SUBSTITUTE(SUBSTITUTE(Table1[[#This Row],[Formatted hourly rate]],"USD ",""),"$","")</f>
        <v>100</v>
      </c>
      <c r="Q21">
        <v>1.8</v>
      </c>
      <c r="R21">
        <f>IF(Table1[[#This Row],[rating]]="",2.6,Table1[[#This Row],[rating]])</f>
        <v>1.8</v>
      </c>
      <c r="S21" t="s">
        <v>68</v>
      </c>
      <c r="T21" t="str">
        <f>TRIM(CLEAN(Table1[[#This Row],[is_active]]))</f>
        <v>yes</v>
      </c>
      <c r="U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1" s="11" t="str">
        <f>TRIM(IF(Table1[[#This Row],[is_active3]]="Unknown","TRUE",Table1[[#This Row],[is_active3]]))</f>
        <v>TRUE</v>
      </c>
      <c r="W21">
        <v>0.68</v>
      </c>
      <c r="X21">
        <f>IF(Table1[[#This Row],[client_satisfaction]]&gt;1,Table1[[#This Row],[client_satisfaction]]/100,Table1[[#This Row],[client_satisfaction]])</f>
        <v>0.68</v>
      </c>
      <c r="Y21">
        <f>IF(Table1[[#This Row],[client_satisfaction2]]=0,0.75,Table1[[#This Row],[client_satisfaction2]])</f>
        <v>0.68</v>
      </c>
    </row>
    <row r="22" spans="1:25" x14ac:dyDescent="0.25">
      <c r="A22" t="s">
        <v>101</v>
      </c>
      <c r="B22" t="s">
        <v>102</v>
      </c>
      <c r="C22" t="str">
        <f>PROPER(TRIM(SUBSTITUTE(SUBSTITUTE(SUBSTITUTE(Table1[[#This Row],[name]],"Ms. ",""),"Mr. ",""),"Mrs. ","")))</f>
        <v>James Cherry</v>
      </c>
      <c r="D22" t="s">
        <v>97</v>
      </c>
      <c r="E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22" t="str">
        <f>TRIM(IF(Table1[[#This Row],[age]]="","Unknown",Table1[[#This Row],[age]]))</f>
        <v>Unknown</v>
      </c>
      <c r="H22" t="s">
        <v>49</v>
      </c>
      <c r="I22" t="s">
        <v>50</v>
      </c>
      <c r="J22" t="s">
        <v>44</v>
      </c>
      <c r="K22">
        <v>9</v>
      </c>
      <c r="L22" s="10" t="str">
        <f>TRIM(IF(Table1[[#This Row],[years_of_experience]]="","Unknown",Table1[[#This Row],[years_of_experience]]))</f>
        <v>9</v>
      </c>
      <c r="M22">
        <v>50</v>
      </c>
      <c r="N22">
        <f>IF(Table1[[#This Row],[hourly_rate (USD)]]="",MEDIAN(Table1[hourly_rate (USD)]),Table1[[#This Row],[hourly_rate (USD)]])</f>
        <v>50</v>
      </c>
      <c r="O22" t="str">
        <f>TRIM(CLEAN(Table1[[#This Row],[Updated hourly_rate (USD)]]))</f>
        <v>50</v>
      </c>
      <c r="P22" t="str">
        <f>SUBSTITUTE(SUBSTITUTE(Table1[[#This Row],[Formatted hourly rate]],"USD ",""),"$","")</f>
        <v>50</v>
      </c>
      <c r="Q22">
        <v>1.8</v>
      </c>
      <c r="R22">
        <f>IF(Table1[[#This Row],[rating]]="",2.6,Table1[[#This Row],[rating]])</f>
        <v>1.8</v>
      </c>
      <c r="S22" t="b">
        <v>0</v>
      </c>
      <c r="T22" t="str">
        <f>TRIM(CLEAN(Table1[[#This Row],[is_active]]))</f>
        <v>FALSE</v>
      </c>
      <c r="U2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2" s="11" t="str">
        <f>TRIM(IF(Table1[[#This Row],[is_active3]]="Unknown","TRUE",Table1[[#This Row],[is_active3]]))</f>
        <v>TRUE</v>
      </c>
      <c r="W22">
        <v>0.65</v>
      </c>
      <c r="X22">
        <f>IF(Table1[[#This Row],[client_satisfaction]]&gt;1,Table1[[#This Row],[client_satisfaction]]/100,Table1[[#This Row],[client_satisfaction]])</f>
        <v>0.65</v>
      </c>
      <c r="Y22">
        <f>IF(Table1[[#This Row],[client_satisfaction2]]=0,0.75,Table1[[#This Row],[client_satisfaction2]])</f>
        <v>0.65</v>
      </c>
    </row>
    <row r="23" spans="1:25" x14ac:dyDescent="0.25">
      <c r="A23" t="s">
        <v>103</v>
      </c>
      <c r="B23" t="s">
        <v>104</v>
      </c>
      <c r="C23" t="str">
        <f>PROPER(TRIM(SUBSTITUTE(SUBSTITUTE(SUBSTITUTE(Table1[[#This Row],[name]],"Ms. ",""),"Mr. ",""),"Mrs. ","")))</f>
        <v>Samuel Sanford</v>
      </c>
      <c r="D23" t="s">
        <v>48</v>
      </c>
      <c r="E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3">
        <v>51</v>
      </c>
      <c r="G23" t="str">
        <f>TRIM(IF(Table1[[#This Row],[age]]="","Unknown",Table1[[#This Row],[age]]))</f>
        <v>51</v>
      </c>
      <c r="H23" t="s">
        <v>85</v>
      </c>
      <c r="I23" t="s">
        <v>86</v>
      </c>
      <c r="J23" t="s">
        <v>89</v>
      </c>
      <c r="L23" s="10" t="str">
        <f>TRIM(IF(Table1[[#This Row],[years_of_experience]]="","Unknown",Table1[[#This Row],[years_of_experience]]))</f>
        <v>Unknown</v>
      </c>
      <c r="N23">
        <f>IF(Table1[[#This Row],[hourly_rate (USD)]]="",MEDIAN(Table1[hourly_rate (USD)]),Table1[[#This Row],[hourly_rate (USD)]])</f>
        <v>50</v>
      </c>
      <c r="O23" t="str">
        <f>TRIM(CLEAN(Table1[[#This Row],[Updated hourly_rate (USD)]]))</f>
        <v>50</v>
      </c>
      <c r="P23" t="str">
        <f>SUBSTITUTE(SUBSTITUTE(Table1[[#This Row],[Formatted hourly rate]],"USD ",""),"$","")</f>
        <v>50</v>
      </c>
      <c r="Q23">
        <v>2.4</v>
      </c>
      <c r="R23">
        <f>IF(Table1[[#This Row],[rating]]="",2.6,Table1[[#This Row],[rating]])</f>
        <v>2.4</v>
      </c>
      <c r="S23" t="s">
        <v>31</v>
      </c>
      <c r="T23" t="str">
        <f>TRIM(CLEAN(Table1[[#This Row],[is_active]]))</f>
        <v>N</v>
      </c>
      <c r="U2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3" s="11" t="str">
        <f>TRIM(IF(Table1[[#This Row],[is_active3]]="Unknown","TRUE",Table1[[#This Row],[is_active3]]))</f>
        <v>FALSE</v>
      </c>
      <c r="W23">
        <v>0.69</v>
      </c>
      <c r="X23">
        <f>IF(Table1[[#This Row],[client_satisfaction]]&gt;1,Table1[[#This Row],[client_satisfaction]]/100,Table1[[#This Row],[client_satisfaction]])</f>
        <v>0.69</v>
      </c>
      <c r="Y23">
        <f>IF(Table1[[#This Row],[client_satisfaction2]]=0,0.75,Table1[[#This Row],[client_satisfaction2]])</f>
        <v>0.69</v>
      </c>
    </row>
    <row r="24" spans="1:25" x14ac:dyDescent="0.25">
      <c r="A24" t="s">
        <v>105</v>
      </c>
      <c r="B24" t="s">
        <v>106</v>
      </c>
      <c r="C24" t="str">
        <f>PROPER(TRIM(SUBSTITUTE(SUBSTITUTE(SUBSTITUTE(Table1[[#This Row],[name]],"Ms. ",""),"Mr. ",""),"Mrs. ","")))</f>
        <v>Cesar Greene</v>
      </c>
      <c r="D24" t="s">
        <v>48</v>
      </c>
      <c r="E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4">
        <v>51</v>
      </c>
      <c r="G24" t="str">
        <f>TRIM(IF(Table1[[#This Row],[age]]="","Unknown",Table1[[#This Row],[age]]))</f>
        <v>51</v>
      </c>
      <c r="H24" t="s">
        <v>107</v>
      </c>
      <c r="I24" t="s">
        <v>108</v>
      </c>
      <c r="J24" t="s">
        <v>78</v>
      </c>
      <c r="K24">
        <v>21</v>
      </c>
      <c r="L24" s="10" t="str">
        <f>TRIM(IF(Table1[[#This Row],[years_of_experience]]="","Unknown",Table1[[#This Row],[years_of_experience]]))</f>
        <v>21</v>
      </c>
      <c r="M24" t="s">
        <v>109</v>
      </c>
      <c r="N24" t="str">
        <f>IF(Table1[[#This Row],[hourly_rate (USD)]]="",MEDIAN(Table1[hourly_rate (USD)]),Table1[[#This Row],[hourly_rate (USD)]])</f>
        <v>USD 30</v>
      </c>
      <c r="O24" t="str">
        <f>TRIM(CLEAN(Table1[[#This Row],[Updated hourly_rate (USD)]]))</f>
        <v>USD 30</v>
      </c>
      <c r="P24" t="str">
        <f>SUBSTITUTE(SUBSTITUTE(Table1[[#This Row],[Formatted hourly rate]],"USD ",""),"$","")</f>
        <v>30</v>
      </c>
      <c r="Q24">
        <v>4.7</v>
      </c>
      <c r="R24">
        <f>IF(Table1[[#This Row],[rating]]="",2.6,Table1[[#This Row],[rating]])</f>
        <v>4.7</v>
      </c>
      <c r="S24" t="s">
        <v>31</v>
      </c>
      <c r="T24" t="str">
        <f>TRIM(CLEAN(Table1[[#This Row],[is_active]]))</f>
        <v>N</v>
      </c>
      <c r="U2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4" s="11" t="str">
        <f>TRIM(IF(Table1[[#This Row],[is_active3]]="Unknown","TRUE",Table1[[#This Row],[is_active3]]))</f>
        <v>FALSE</v>
      </c>
      <c r="X24">
        <f>IF(Table1[[#This Row],[client_satisfaction]]&gt;1,Table1[[#This Row],[client_satisfaction]]/100,Table1[[#This Row],[client_satisfaction]])</f>
        <v>0</v>
      </c>
      <c r="Y24">
        <f>IF(Table1[[#This Row],[client_satisfaction2]]=0,0.75,Table1[[#This Row],[client_satisfaction2]])</f>
        <v>0.75</v>
      </c>
    </row>
    <row r="25" spans="1:25" x14ac:dyDescent="0.25">
      <c r="A25" t="s">
        <v>110</v>
      </c>
      <c r="B25" t="s">
        <v>111</v>
      </c>
      <c r="C25" t="str">
        <f>PROPER(TRIM(SUBSTITUTE(SUBSTITUTE(SUBSTITUTE(Table1[[#This Row],[name]],"Ms. ",""),"Mr. ",""),"Mrs. ","")))</f>
        <v>Melanie Carter</v>
      </c>
      <c r="D25" t="s">
        <v>39</v>
      </c>
      <c r="E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5">
        <v>51</v>
      </c>
      <c r="G25" t="str">
        <f>TRIM(IF(Table1[[#This Row],[age]]="","Unknown",Table1[[#This Row],[age]]))</f>
        <v>51</v>
      </c>
      <c r="H25" t="s">
        <v>112</v>
      </c>
      <c r="I25" t="s">
        <v>113</v>
      </c>
      <c r="J25" t="s">
        <v>114</v>
      </c>
      <c r="K25">
        <v>15</v>
      </c>
      <c r="L25" s="10" t="str">
        <f>TRIM(IF(Table1[[#This Row],[years_of_experience]]="","Unknown",Table1[[#This Row],[years_of_experience]]))</f>
        <v>15</v>
      </c>
      <c r="M25" t="s">
        <v>64</v>
      </c>
      <c r="N25" t="str">
        <f>IF(Table1[[#This Row],[hourly_rate (USD)]]="",MEDIAN(Table1[hourly_rate (USD)]),Table1[[#This Row],[hourly_rate (USD)]])</f>
        <v>$50</v>
      </c>
      <c r="O25" t="str">
        <f>TRIM(CLEAN(Table1[[#This Row],[Updated hourly_rate (USD)]]))</f>
        <v>$50</v>
      </c>
      <c r="P25" t="str">
        <f>SUBSTITUTE(SUBSTITUTE(Table1[[#This Row],[Formatted hourly rate]],"USD ",""),"$","")</f>
        <v>50</v>
      </c>
      <c r="Q25">
        <v>1.3</v>
      </c>
      <c r="R25">
        <f>IF(Table1[[#This Row],[rating]]="",2.6,Table1[[#This Row],[rating]])</f>
        <v>1.3</v>
      </c>
      <c r="S25">
        <v>1</v>
      </c>
      <c r="T25" t="str">
        <f>TRIM(CLEAN(Table1[[#This Row],[is_active]]))</f>
        <v>1</v>
      </c>
      <c r="U2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5" s="11" t="str">
        <f>TRIM(IF(Table1[[#This Row],[is_active3]]="Unknown","TRUE",Table1[[#This Row],[is_active3]]))</f>
        <v>TRUE</v>
      </c>
      <c r="W25">
        <v>1</v>
      </c>
      <c r="X25">
        <f>IF(Table1[[#This Row],[client_satisfaction]]&gt;1,Table1[[#This Row],[client_satisfaction]]/100,Table1[[#This Row],[client_satisfaction]])</f>
        <v>1</v>
      </c>
      <c r="Y25">
        <f>IF(Table1[[#This Row],[client_satisfaction2]]=0,0.75,Table1[[#This Row],[client_satisfaction2]])</f>
        <v>1</v>
      </c>
    </row>
    <row r="26" spans="1:25" x14ac:dyDescent="0.25">
      <c r="A26" t="s">
        <v>115</v>
      </c>
      <c r="B26" t="s">
        <v>116</v>
      </c>
      <c r="C26" t="str">
        <f>PROPER(TRIM(SUBSTITUTE(SUBSTITUTE(SUBSTITUTE(Table1[[#This Row],[name]],"Ms. ",""),"Mr. ",""),"Mrs. ","")))</f>
        <v>Jennifer Martin</v>
      </c>
      <c r="D26" t="s">
        <v>14</v>
      </c>
      <c r="E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6">
        <v>54</v>
      </c>
      <c r="G26" t="str">
        <f>TRIM(IF(Table1[[#This Row],[age]]="","Unknown",Table1[[#This Row],[age]]))</f>
        <v>54</v>
      </c>
      <c r="H26" t="s">
        <v>49</v>
      </c>
      <c r="I26" t="s">
        <v>50</v>
      </c>
      <c r="J26" t="s">
        <v>114</v>
      </c>
      <c r="K26">
        <v>13</v>
      </c>
      <c r="L26" s="10" t="str">
        <f>TRIM(IF(Table1[[#This Row],[years_of_experience]]="","Unknown",Table1[[#This Row],[years_of_experience]]))</f>
        <v>13</v>
      </c>
      <c r="M26">
        <v>75</v>
      </c>
      <c r="N26">
        <f>IF(Table1[[#This Row],[hourly_rate (USD)]]="",MEDIAN(Table1[hourly_rate (USD)]),Table1[[#This Row],[hourly_rate (USD)]])</f>
        <v>75</v>
      </c>
      <c r="O26" t="str">
        <f>TRIM(CLEAN(Table1[[#This Row],[Updated hourly_rate (USD)]]))</f>
        <v>75</v>
      </c>
      <c r="P26" t="str">
        <f>SUBSTITUTE(SUBSTITUTE(Table1[[#This Row],[Formatted hourly rate]],"USD ",""),"$","")</f>
        <v>75</v>
      </c>
      <c r="Q26">
        <v>2.9</v>
      </c>
      <c r="R26">
        <f>IF(Table1[[#This Row],[rating]]="",2.6,Table1[[#This Row],[rating]])</f>
        <v>2.9</v>
      </c>
      <c r="T26" t="str">
        <f>TRIM(CLEAN(Table1[[#This Row],[is_active]]))</f>
        <v/>
      </c>
      <c r="U2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6" s="11" t="str">
        <f>TRIM(IF(Table1[[#This Row],[is_active3]]="Unknown","TRUE",Table1[[#This Row],[is_active3]]))</f>
        <v>TRUE</v>
      </c>
      <c r="W26">
        <v>92</v>
      </c>
      <c r="X26">
        <f>IF(Table1[[#This Row],[client_satisfaction]]&gt;1,Table1[[#This Row],[client_satisfaction]]/100,Table1[[#This Row],[client_satisfaction]])</f>
        <v>0.92</v>
      </c>
      <c r="Y26">
        <f>IF(Table1[[#This Row],[client_satisfaction2]]=0,0.75,Table1[[#This Row],[client_satisfaction2]])</f>
        <v>0.92</v>
      </c>
    </row>
    <row r="27" spans="1:25" x14ac:dyDescent="0.25">
      <c r="A27" t="s">
        <v>117</v>
      </c>
      <c r="B27" t="s">
        <v>118</v>
      </c>
      <c r="C27" t="str">
        <f>PROPER(TRIM(SUBSTITUTE(SUBSTITUTE(SUBSTITUTE(Table1[[#This Row],[name]],"Ms. ",""),"Mr. ",""),"Mrs. ","")))</f>
        <v>Anna Mccann</v>
      </c>
      <c r="D27" t="s">
        <v>20</v>
      </c>
      <c r="E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7">
        <v>22</v>
      </c>
      <c r="G27" t="str">
        <f>TRIM(IF(Table1[[#This Row],[age]]="","Unknown",Table1[[#This Row],[age]]))</f>
        <v>22</v>
      </c>
      <c r="H27" t="s">
        <v>112</v>
      </c>
      <c r="I27" t="s">
        <v>113</v>
      </c>
      <c r="J27" t="s">
        <v>89</v>
      </c>
      <c r="K27">
        <v>0</v>
      </c>
      <c r="L27" s="10" t="str">
        <f>TRIM(IF(Table1[[#This Row],[years_of_experience]]="","Unknown",Table1[[#This Row],[years_of_experience]]))</f>
        <v>0</v>
      </c>
      <c r="M27" t="s">
        <v>109</v>
      </c>
      <c r="N27" t="str">
        <f>IF(Table1[[#This Row],[hourly_rate (USD)]]="",MEDIAN(Table1[hourly_rate (USD)]),Table1[[#This Row],[hourly_rate (USD)]])</f>
        <v>USD 30</v>
      </c>
      <c r="O27" t="str">
        <f>TRIM(CLEAN(Table1[[#This Row],[Updated hourly_rate (USD)]]))</f>
        <v>USD 30</v>
      </c>
      <c r="P27" t="str">
        <f>SUBSTITUTE(SUBSTITUTE(Table1[[#This Row],[Formatted hourly rate]],"USD ",""),"$","")</f>
        <v>30</v>
      </c>
      <c r="Q27">
        <v>1.2</v>
      </c>
      <c r="R27">
        <f>IF(Table1[[#This Row],[rating]]="",2.6,Table1[[#This Row],[rating]])</f>
        <v>1.2</v>
      </c>
      <c r="S27">
        <v>1</v>
      </c>
      <c r="T27" t="str">
        <f>TRIM(CLEAN(Table1[[#This Row],[is_active]]))</f>
        <v>1</v>
      </c>
      <c r="U2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7" s="11" t="str">
        <f>TRIM(IF(Table1[[#This Row],[is_active3]]="Unknown","TRUE",Table1[[#This Row],[is_active3]]))</f>
        <v>TRUE</v>
      </c>
      <c r="W27">
        <v>0.7</v>
      </c>
      <c r="X27">
        <f>IF(Table1[[#This Row],[client_satisfaction]]&gt;1,Table1[[#This Row],[client_satisfaction]]/100,Table1[[#This Row],[client_satisfaction]])</f>
        <v>0.7</v>
      </c>
      <c r="Y27">
        <f>IF(Table1[[#This Row],[client_satisfaction2]]=0,0.75,Table1[[#This Row],[client_satisfaction2]])</f>
        <v>0.7</v>
      </c>
    </row>
    <row r="28" spans="1:25" x14ac:dyDescent="0.25">
      <c r="A28" t="s">
        <v>119</v>
      </c>
      <c r="B28" t="s">
        <v>120</v>
      </c>
      <c r="C28" t="str">
        <f>PROPER(TRIM(SUBSTITUTE(SUBSTITUTE(SUBSTITUTE(Table1[[#This Row],[name]],"Ms. ",""),"Mr. ",""),"Mrs. ","")))</f>
        <v>Marissa Bass</v>
      </c>
      <c r="D28" t="s">
        <v>39</v>
      </c>
      <c r="E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8">
        <v>34</v>
      </c>
      <c r="G28" t="str">
        <f>TRIM(IF(Table1[[#This Row],[age]]="","Unknown",Table1[[#This Row],[age]]))</f>
        <v>34</v>
      </c>
      <c r="H28" t="s">
        <v>85</v>
      </c>
      <c r="I28" t="s">
        <v>86</v>
      </c>
      <c r="J28" t="s">
        <v>17</v>
      </c>
      <c r="K28">
        <v>8</v>
      </c>
      <c r="L28" s="10" t="str">
        <f>TRIM(IF(Table1[[#This Row],[years_of_experience]]="","Unknown",Table1[[#This Row],[years_of_experience]]))</f>
        <v>8</v>
      </c>
      <c r="M28" t="s">
        <v>121</v>
      </c>
      <c r="N28" t="str">
        <f>IF(Table1[[#This Row],[hourly_rate (USD)]]="",MEDIAN(Table1[hourly_rate (USD)]),Table1[[#This Row],[hourly_rate (USD)]])</f>
        <v>$20</v>
      </c>
      <c r="O28" t="str">
        <f>TRIM(CLEAN(Table1[[#This Row],[Updated hourly_rate (USD)]]))</f>
        <v>$20</v>
      </c>
      <c r="P28" t="str">
        <f>SUBSTITUTE(SUBSTITUTE(Table1[[#This Row],[Formatted hourly rate]],"USD ",""),"$","")</f>
        <v>20</v>
      </c>
      <c r="Q28">
        <v>0</v>
      </c>
      <c r="R28">
        <f>IF(Table1[[#This Row],[rating]]="",2.6,Table1[[#This Row],[rating]])</f>
        <v>0</v>
      </c>
      <c r="S28" t="b">
        <v>1</v>
      </c>
      <c r="T28" t="str">
        <f>TRIM(CLEAN(Table1[[#This Row],[is_active]]))</f>
        <v>TRUE</v>
      </c>
      <c r="U2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8" s="11" t="str">
        <f>TRIM(IF(Table1[[#This Row],[is_active3]]="Unknown","TRUE",Table1[[#This Row],[is_active3]]))</f>
        <v>TRUE</v>
      </c>
      <c r="W28">
        <v>0.89</v>
      </c>
      <c r="X28">
        <f>IF(Table1[[#This Row],[client_satisfaction]]&gt;1,Table1[[#This Row],[client_satisfaction]]/100,Table1[[#This Row],[client_satisfaction]])</f>
        <v>0.89</v>
      </c>
      <c r="Y28">
        <f>IF(Table1[[#This Row],[client_satisfaction2]]=0,0.75,Table1[[#This Row],[client_satisfaction2]])</f>
        <v>0.89</v>
      </c>
    </row>
    <row r="29" spans="1:25" x14ac:dyDescent="0.25">
      <c r="A29" t="s">
        <v>122</v>
      </c>
      <c r="B29" t="s">
        <v>123</v>
      </c>
      <c r="C29" t="str">
        <f>PROPER(TRIM(SUBSTITUTE(SUBSTITUTE(SUBSTITUTE(Table1[[#This Row],[name]],"Ms. ",""),"Mr. ",""),"Mrs. ","")))</f>
        <v>Alexis Day</v>
      </c>
      <c r="D29" t="s">
        <v>77</v>
      </c>
      <c r="E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9">
        <v>36</v>
      </c>
      <c r="G29" t="str">
        <f>TRIM(IF(Table1[[#This Row],[age]]="","Unknown",Table1[[#This Row],[age]]))</f>
        <v>36</v>
      </c>
      <c r="H29" t="s">
        <v>124</v>
      </c>
      <c r="I29" t="s">
        <v>125</v>
      </c>
      <c r="J29" t="s">
        <v>30</v>
      </c>
      <c r="K29">
        <v>11</v>
      </c>
      <c r="L29" s="10" t="str">
        <f>TRIM(IF(Table1[[#This Row],[years_of_experience]]="","Unknown",Table1[[#This Row],[years_of_experience]]))</f>
        <v>11</v>
      </c>
      <c r="N29">
        <f>IF(Table1[[#This Row],[hourly_rate (USD)]]="",MEDIAN(Table1[hourly_rate (USD)]),Table1[[#This Row],[hourly_rate (USD)]])</f>
        <v>50</v>
      </c>
      <c r="O29" t="str">
        <f>TRIM(CLEAN(Table1[[#This Row],[Updated hourly_rate (USD)]]))</f>
        <v>50</v>
      </c>
      <c r="P29" t="str">
        <f>SUBSTITUTE(SUBSTITUTE(Table1[[#This Row],[Formatted hourly rate]],"USD ",""),"$","")</f>
        <v>50</v>
      </c>
      <c r="Q29">
        <v>1.8</v>
      </c>
      <c r="R29">
        <f>IF(Table1[[#This Row],[rating]]="",2.6,Table1[[#This Row],[rating]])</f>
        <v>1.8</v>
      </c>
      <c r="S29" t="s">
        <v>74</v>
      </c>
      <c r="T29" t="str">
        <f>TRIM(CLEAN(Table1[[#This Row],[is_active]]))</f>
        <v>Y</v>
      </c>
      <c r="U2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9" s="11" t="str">
        <f>TRIM(IF(Table1[[#This Row],[is_active3]]="Unknown","TRUE",Table1[[#This Row],[is_active3]]))</f>
        <v>TRUE</v>
      </c>
      <c r="W29">
        <v>0.86</v>
      </c>
      <c r="X29">
        <f>IF(Table1[[#This Row],[client_satisfaction]]&gt;1,Table1[[#This Row],[client_satisfaction]]/100,Table1[[#This Row],[client_satisfaction]])</f>
        <v>0.86</v>
      </c>
      <c r="Y29">
        <f>IF(Table1[[#This Row],[client_satisfaction2]]=0,0.75,Table1[[#This Row],[client_satisfaction2]])</f>
        <v>0.86</v>
      </c>
    </row>
    <row r="30" spans="1:25" x14ac:dyDescent="0.25">
      <c r="A30" t="s">
        <v>126</v>
      </c>
      <c r="B30" t="s">
        <v>127</v>
      </c>
      <c r="C30" t="str">
        <f>PROPER(TRIM(SUBSTITUTE(SUBSTITUTE(SUBSTITUTE(Table1[[#This Row],[name]],"Ms. ",""),"Mr. ",""),"Mrs. ","")))</f>
        <v>Megan Jones</v>
      </c>
      <c r="D30" t="s">
        <v>39</v>
      </c>
      <c r="E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0">
        <v>47</v>
      </c>
      <c r="G30" t="str">
        <f>TRIM(IF(Table1[[#This Row],[age]]="","Unknown",Table1[[#This Row],[age]]))</f>
        <v>47</v>
      </c>
      <c r="H30" t="s">
        <v>128</v>
      </c>
      <c r="I30" t="s">
        <v>22</v>
      </c>
      <c r="J30" t="s">
        <v>44</v>
      </c>
      <c r="K30">
        <v>22</v>
      </c>
      <c r="L30" s="10" t="str">
        <f>TRIM(IF(Table1[[#This Row],[years_of_experience]]="","Unknown",Table1[[#This Row],[years_of_experience]]))</f>
        <v>22</v>
      </c>
      <c r="M30">
        <v>30</v>
      </c>
      <c r="N30">
        <f>IF(Table1[[#This Row],[hourly_rate (USD)]]="",MEDIAN(Table1[hourly_rate (USD)]),Table1[[#This Row],[hourly_rate (USD)]])</f>
        <v>30</v>
      </c>
      <c r="O30" t="str">
        <f>TRIM(CLEAN(Table1[[#This Row],[Updated hourly_rate (USD)]]))</f>
        <v>30</v>
      </c>
      <c r="P30" t="str">
        <f>SUBSTITUTE(SUBSTITUTE(Table1[[#This Row],[Formatted hourly rate]],"USD ",""),"$","")</f>
        <v>30</v>
      </c>
      <c r="Q30">
        <v>1.3</v>
      </c>
      <c r="R30">
        <f>IF(Table1[[#This Row],[rating]]="",2.6,Table1[[#This Row],[rating]])</f>
        <v>1.3</v>
      </c>
      <c r="S30">
        <v>0</v>
      </c>
      <c r="T30" t="str">
        <f>TRIM(CLEAN(Table1[[#This Row],[is_active]]))</f>
        <v>0</v>
      </c>
      <c r="U3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0" s="11" t="str">
        <f>TRIM(IF(Table1[[#This Row],[is_active3]]="Unknown","TRUE",Table1[[#This Row],[is_active3]]))</f>
        <v>FALSE</v>
      </c>
      <c r="W30">
        <v>0.62</v>
      </c>
      <c r="X30">
        <f>IF(Table1[[#This Row],[client_satisfaction]]&gt;1,Table1[[#This Row],[client_satisfaction]]/100,Table1[[#This Row],[client_satisfaction]])</f>
        <v>0.62</v>
      </c>
      <c r="Y30">
        <f>IF(Table1[[#This Row],[client_satisfaction2]]=0,0.75,Table1[[#This Row],[client_satisfaction2]])</f>
        <v>0.62</v>
      </c>
    </row>
    <row r="31" spans="1:25" x14ac:dyDescent="0.25">
      <c r="A31" t="s">
        <v>129</v>
      </c>
      <c r="B31" t="s">
        <v>130</v>
      </c>
      <c r="C31" t="str">
        <f>PROPER(TRIM(SUBSTITUTE(SUBSTITUTE(SUBSTITUTE(Table1[[#This Row],[name]],"Ms. ",""),"Mr. ",""),"Mrs. ","")))</f>
        <v>Lori Smith</v>
      </c>
      <c r="D31" t="s">
        <v>20</v>
      </c>
      <c r="E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1">
        <v>41</v>
      </c>
      <c r="G31" t="str">
        <f>TRIM(IF(Table1[[#This Row],[age]]="","Unknown",Table1[[#This Row],[age]]))</f>
        <v>41</v>
      </c>
      <c r="H31" t="s">
        <v>42</v>
      </c>
      <c r="I31" t="s">
        <v>43</v>
      </c>
      <c r="J31" t="s">
        <v>51</v>
      </c>
      <c r="K31">
        <v>14</v>
      </c>
      <c r="L31" s="10" t="str">
        <f>TRIM(IF(Table1[[#This Row],[years_of_experience]]="","Unknown",Table1[[#This Row],[years_of_experience]]))</f>
        <v>14</v>
      </c>
      <c r="M31" t="s">
        <v>52</v>
      </c>
      <c r="N31" t="str">
        <f>IF(Table1[[#This Row],[hourly_rate (USD)]]="",MEDIAN(Table1[hourly_rate (USD)]),Table1[[#This Row],[hourly_rate (USD)]])</f>
        <v>USD 75</v>
      </c>
      <c r="O31" t="str">
        <f>TRIM(CLEAN(Table1[[#This Row],[Updated hourly_rate (USD)]]))</f>
        <v>USD 75</v>
      </c>
      <c r="P31" t="str">
        <f>SUBSTITUTE(SUBSTITUTE(Table1[[#This Row],[Formatted hourly rate]],"USD ",""),"$","")</f>
        <v>75</v>
      </c>
      <c r="Q31">
        <v>1.2</v>
      </c>
      <c r="R31">
        <f>IF(Table1[[#This Row],[rating]]="",2.6,Table1[[#This Row],[rating]])</f>
        <v>1.2</v>
      </c>
      <c r="S31">
        <v>0</v>
      </c>
      <c r="T31" t="str">
        <f>TRIM(CLEAN(Table1[[#This Row],[is_active]]))</f>
        <v>0</v>
      </c>
      <c r="U3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1" s="11" t="str">
        <f>TRIM(IF(Table1[[#This Row],[is_active3]]="Unknown","TRUE",Table1[[#This Row],[is_active3]]))</f>
        <v>FALSE</v>
      </c>
      <c r="X31">
        <f>IF(Table1[[#This Row],[client_satisfaction]]&gt;1,Table1[[#This Row],[client_satisfaction]]/100,Table1[[#This Row],[client_satisfaction]])</f>
        <v>0</v>
      </c>
      <c r="Y31">
        <f>IF(Table1[[#This Row],[client_satisfaction2]]=0,0.75,Table1[[#This Row],[client_satisfaction2]])</f>
        <v>0.75</v>
      </c>
    </row>
    <row r="32" spans="1:25" x14ac:dyDescent="0.25">
      <c r="A32" t="s">
        <v>131</v>
      </c>
      <c r="B32" t="s">
        <v>132</v>
      </c>
      <c r="C32" t="str">
        <f>PROPER(TRIM(SUBSTITUTE(SUBSTITUTE(SUBSTITUTE(Table1[[#This Row],[name]],"Ms. ",""),"Mr. ",""),"Mrs. ","")))</f>
        <v>Eric Carpenter</v>
      </c>
      <c r="D32" t="s">
        <v>97</v>
      </c>
      <c r="E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2">
        <v>22</v>
      </c>
      <c r="G32" t="str">
        <f>TRIM(IF(Table1[[#This Row],[age]]="","Unknown",Table1[[#This Row],[age]]))</f>
        <v>22</v>
      </c>
      <c r="H32" t="s">
        <v>42</v>
      </c>
      <c r="I32" t="s">
        <v>43</v>
      </c>
      <c r="J32" t="s">
        <v>89</v>
      </c>
      <c r="K32">
        <v>4</v>
      </c>
      <c r="L32" s="10" t="str">
        <f>TRIM(IF(Table1[[#This Row],[years_of_experience]]="","Unknown",Table1[[#This Row],[years_of_experience]]))</f>
        <v>4</v>
      </c>
      <c r="N32">
        <f>IF(Table1[[#This Row],[hourly_rate (USD)]]="",MEDIAN(Table1[hourly_rate (USD)]),Table1[[#This Row],[hourly_rate (USD)]])</f>
        <v>50</v>
      </c>
      <c r="O32" t="str">
        <f>TRIM(CLEAN(Table1[[#This Row],[Updated hourly_rate (USD)]]))</f>
        <v>50</v>
      </c>
      <c r="P32" t="str">
        <f>SUBSTITUTE(SUBSTITUTE(Table1[[#This Row],[Formatted hourly rate]],"USD ",""),"$","")</f>
        <v>50</v>
      </c>
      <c r="Q32">
        <v>1</v>
      </c>
      <c r="R32">
        <f>IF(Table1[[#This Row],[rating]]="",2.6,Table1[[#This Row],[rating]])</f>
        <v>1</v>
      </c>
      <c r="S32" t="s">
        <v>68</v>
      </c>
      <c r="T32" t="str">
        <f>TRIM(CLEAN(Table1[[#This Row],[is_active]]))</f>
        <v>yes</v>
      </c>
      <c r="U3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2" s="11" t="str">
        <f>TRIM(IF(Table1[[#This Row],[is_active3]]="Unknown","TRUE",Table1[[#This Row],[is_active3]]))</f>
        <v>TRUE</v>
      </c>
      <c r="X32">
        <f>IF(Table1[[#This Row],[client_satisfaction]]&gt;1,Table1[[#This Row],[client_satisfaction]]/100,Table1[[#This Row],[client_satisfaction]])</f>
        <v>0</v>
      </c>
      <c r="Y32">
        <f>IF(Table1[[#This Row],[client_satisfaction2]]=0,0.75,Table1[[#This Row],[client_satisfaction2]])</f>
        <v>0.75</v>
      </c>
    </row>
    <row r="33" spans="1:25" x14ac:dyDescent="0.25">
      <c r="A33" t="s">
        <v>133</v>
      </c>
      <c r="B33" t="s">
        <v>134</v>
      </c>
      <c r="C33" t="str">
        <f>PROPER(TRIM(SUBSTITUTE(SUBSTITUTE(SUBSTITUTE(Table1[[#This Row],[name]],"Ms. ",""),"Mr. ",""),"Mrs. ","")))</f>
        <v>Timothy Daniels</v>
      </c>
      <c r="D33" t="s">
        <v>97</v>
      </c>
      <c r="E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3">
        <v>38</v>
      </c>
      <c r="G33" t="str">
        <f>TRIM(IF(Table1[[#This Row],[age]]="","Unknown",Table1[[#This Row],[age]]))</f>
        <v>38</v>
      </c>
      <c r="H33" t="s">
        <v>135</v>
      </c>
      <c r="I33" t="s">
        <v>136</v>
      </c>
      <c r="J33" t="s">
        <v>114</v>
      </c>
      <c r="K33">
        <v>19</v>
      </c>
      <c r="L33" s="10" t="str">
        <f>TRIM(IF(Table1[[#This Row],[years_of_experience]]="","Unknown",Table1[[#This Row],[years_of_experience]]))</f>
        <v>19</v>
      </c>
      <c r="M33" t="s">
        <v>24</v>
      </c>
      <c r="N33" t="str">
        <f>IF(Table1[[#This Row],[hourly_rate (USD)]]="",MEDIAN(Table1[hourly_rate (USD)]),Table1[[#This Row],[hourly_rate (USD)]])</f>
        <v>USD 100</v>
      </c>
      <c r="O33" t="str">
        <f>TRIM(CLEAN(Table1[[#This Row],[Updated hourly_rate (USD)]]))</f>
        <v>USD 100</v>
      </c>
      <c r="P33" t="str">
        <f>SUBSTITUTE(SUBSTITUTE(Table1[[#This Row],[Formatted hourly rate]],"USD ",""),"$","")</f>
        <v>100</v>
      </c>
      <c r="Q33">
        <v>4.2</v>
      </c>
      <c r="R33">
        <f>IF(Table1[[#This Row],[rating]]="",2.6,Table1[[#This Row],[rating]])</f>
        <v>4.2</v>
      </c>
      <c r="S33" t="s">
        <v>31</v>
      </c>
      <c r="T33" t="str">
        <f>TRIM(CLEAN(Table1[[#This Row],[is_active]]))</f>
        <v>N</v>
      </c>
      <c r="U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3" s="11" t="str">
        <f>TRIM(IF(Table1[[#This Row],[is_active3]]="Unknown","TRUE",Table1[[#This Row],[is_active3]]))</f>
        <v>FALSE</v>
      </c>
      <c r="W33">
        <v>0.68</v>
      </c>
      <c r="X33">
        <f>IF(Table1[[#This Row],[client_satisfaction]]&gt;1,Table1[[#This Row],[client_satisfaction]]/100,Table1[[#This Row],[client_satisfaction]])</f>
        <v>0.68</v>
      </c>
      <c r="Y33">
        <f>IF(Table1[[#This Row],[client_satisfaction2]]=0,0.75,Table1[[#This Row],[client_satisfaction2]])</f>
        <v>0.68</v>
      </c>
    </row>
    <row r="34" spans="1:25" x14ac:dyDescent="0.25">
      <c r="A34" t="s">
        <v>137</v>
      </c>
      <c r="B34" t="s">
        <v>138</v>
      </c>
      <c r="C34" t="str">
        <f>PROPER(TRIM(SUBSTITUTE(SUBSTITUTE(SUBSTITUTE(Table1[[#This Row],[name]],"Ms. ",""),"Mr. ",""),"Mrs. ","")))</f>
        <v>Robert Nelson</v>
      </c>
      <c r="D34" t="s">
        <v>92</v>
      </c>
      <c r="E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4">
        <v>46</v>
      </c>
      <c r="G34" t="str">
        <f>TRIM(IF(Table1[[#This Row],[age]]="","Unknown",Table1[[#This Row],[age]]))</f>
        <v>46</v>
      </c>
      <c r="H34" t="s">
        <v>139</v>
      </c>
      <c r="I34" t="s">
        <v>140</v>
      </c>
      <c r="J34" t="s">
        <v>44</v>
      </c>
      <c r="K34">
        <v>9</v>
      </c>
      <c r="L34" s="10" t="str">
        <f>TRIM(IF(Table1[[#This Row],[years_of_experience]]="","Unknown",Table1[[#This Row],[years_of_experience]]))</f>
        <v>9</v>
      </c>
      <c r="M34">
        <v>20</v>
      </c>
      <c r="N34">
        <f>IF(Table1[[#This Row],[hourly_rate (USD)]]="",MEDIAN(Table1[hourly_rate (USD)]),Table1[[#This Row],[hourly_rate (USD)]])</f>
        <v>20</v>
      </c>
      <c r="O34" t="str">
        <f>TRIM(CLEAN(Table1[[#This Row],[Updated hourly_rate (USD)]]))</f>
        <v>20</v>
      </c>
      <c r="P34" t="str">
        <f>SUBSTITUTE(SUBSTITUTE(Table1[[#This Row],[Formatted hourly rate]],"USD ",""),"$","")</f>
        <v>20</v>
      </c>
      <c r="Q34">
        <v>1.4</v>
      </c>
      <c r="R34">
        <f>IF(Table1[[#This Row],[rating]]="",2.6,Table1[[#This Row],[rating]])</f>
        <v>1.4</v>
      </c>
      <c r="S34" t="b">
        <v>1</v>
      </c>
      <c r="T34" t="str">
        <f>TRIM(CLEAN(Table1[[#This Row],[is_active]]))</f>
        <v>TRUE</v>
      </c>
      <c r="U3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4" s="11" t="str">
        <f>TRIM(IF(Table1[[#This Row],[is_active3]]="Unknown","TRUE",Table1[[#This Row],[is_active3]]))</f>
        <v>TRUE</v>
      </c>
      <c r="W34">
        <v>0.76</v>
      </c>
      <c r="X34">
        <f>IF(Table1[[#This Row],[client_satisfaction]]&gt;1,Table1[[#This Row],[client_satisfaction]]/100,Table1[[#This Row],[client_satisfaction]])</f>
        <v>0.76</v>
      </c>
      <c r="Y34">
        <f>IF(Table1[[#This Row],[client_satisfaction2]]=0,0.75,Table1[[#This Row],[client_satisfaction2]])</f>
        <v>0.76</v>
      </c>
    </row>
    <row r="35" spans="1:25" x14ac:dyDescent="0.25">
      <c r="A35" t="s">
        <v>141</v>
      </c>
      <c r="B35" t="s">
        <v>142</v>
      </c>
      <c r="C35" t="str">
        <f>PROPER(TRIM(SUBSTITUTE(SUBSTITUTE(SUBSTITUTE(Table1[[#This Row],[name]],"Ms. ",""),"Mr. ",""),"Mrs. ","")))</f>
        <v>Michael Anderson</v>
      </c>
      <c r="D35" t="s">
        <v>27</v>
      </c>
      <c r="E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35" t="str">
        <f>TRIM(IF(Table1[[#This Row],[age]]="","Unknown",Table1[[#This Row],[age]]))</f>
        <v>Unknown</v>
      </c>
      <c r="H35" t="s">
        <v>112</v>
      </c>
      <c r="I35" t="s">
        <v>113</v>
      </c>
      <c r="J35" t="s">
        <v>44</v>
      </c>
      <c r="K35">
        <v>9</v>
      </c>
      <c r="L35" s="10" t="str">
        <f>TRIM(IF(Table1[[#This Row],[years_of_experience]]="","Unknown",Table1[[#This Row],[years_of_experience]]))</f>
        <v>9</v>
      </c>
      <c r="M35">
        <v>40</v>
      </c>
      <c r="N35">
        <f>IF(Table1[[#This Row],[hourly_rate (USD)]]="",MEDIAN(Table1[hourly_rate (USD)]),Table1[[#This Row],[hourly_rate (USD)]])</f>
        <v>40</v>
      </c>
      <c r="O35" t="str">
        <f>TRIM(CLEAN(Table1[[#This Row],[Updated hourly_rate (USD)]]))</f>
        <v>40</v>
      </c>
      <c r="P35" t="str">
        <f>SUBSTITUTE(SUBSTITUTE(Table1[[#This Row],[Formatted hourly rate]],"USD ",""),"$","")</f>
        <v>40</v>
      </c>
      <c r="Q35">
        <v>2.4</v>
      </c>
      <c r="R35">
        <f>IF(Table1[[#This Row],[rating]]="",2.6,Table1[[#This Row],[rating]])</f>
        <v>2.4</v>
      </c>
      <c r="S35" t="s">
        <v>68</v>
      </c>
      <c r="T35" t="str">
        <f>TRIM(CLEAN(Table1[[#This Row],[is_active]]))</f>
        <v>yes</v>
      </c>
      <c r="U3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5" s="11" t="str">
        <f>TRIM(IF(Table1[[#This Row],[is_active3]]="Unknown","TRUE",Table1[[#This Row],[is_active3]]))</f>
        <v>TRUE</v>
      </c>
      <c r="W35">
        <v>82</v>
      </c>
      <c r="X35">
        <f>IF(Table1[[#This Row],[client_satisfaction]]&gt;1,Table1[[#This Row],[client_satisfaction]]/100,Table1[[#This Row],[client_satisfaction]])</f>
        <v>0.82</v>
      </c>
      <c r="Y35">
        <f>IF(Table1[[#This Row],[client_satisfaction2]]=0,0.75,Table1[[#This Row],[client_satisfaction2]])</f>
        <v>0.82</v>
      </c>
    </row>
    <row r="36" spans="1:25" x14ac:dyDescent="0.25">
      <c r="A36" t="s">
        <v>143</v>
      </c>
      <c r="B36" t="s">
        <v>144</v>
      </c>
      <c r="C36" t="str">
        <f>PROPER(TRIM(SUBSTITUTE(SUBSTITUTE(SUBSTITUTE(Table1[[#This Row],[name]],"Ms. ",""),"Mr. ",""),"Mrs. ","")))</f>
        <v>Jessica Snyder</v>
      </c>
      <c r="D36" t="s">
        <v>20</v>
      </c>
      <c r="E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6">
        <v>54</v>
      </c>
      <c r="G36" t="str">
        <f>TRIM(IF(Table1[[#This Row],[age]]="","Unknown",Table1[[#This Row],[age]]))</f>
        <v>54</v>
      </c>
      <c r="H36" t="s">
        <v>58</v>
      </c>
      <c r="I36" t="s">
        <v>22</v>
      </c>
      <c r="J36" t="s">
        <v>35</v>
      </c>
      <c r="K36">
        <v>32</v>
      </c>
      <c r="L36" s="10" t="str">
        <f>TRIM(IF(Table1[[#This Row],[years_of_experience]]="","Unknown",Table1[[#This Row],[years_of_experience]]))</f>
        <v>32</v>
      </c>
      <c r="M36">
        <v>75</v>
      </c>
      <c r="N36">
        <f>IF(Table1[[#This Row],[hourly_rate (USD)]]="",MEDIAN(Table1[hourly_rate (USD)]),Table1[[#This Row],[hourly_rate (USD)]])</f>
        <v>75</v>
      </c>
      <c r="O36" t="str">
        <f>TRIM(CLEAN(Table1[[#This Row],[Updated hourly_rate (USD)]]))</f>
        <v>75</v>
      </c>
      <c r="P36" t="str">
        <f>SUBSTITUTE(SUBSTITUTE(Table1[[#This Row],[Formatted hourly rate]],"USD ",""),"$","")</f>
        <v>75</v>
      </c>
      <c r="Q36">
        <v>1</v>
      </c>
      <c r="R36">
        <f>IF(Table1[[#This Row],[rating]]="",2.6,Table1[[#This Row],[rating]])</f>
        <v>1</v>
      </c>
      <c r="S36" t="s">
        <v>68</v>
      </c>
      <c r="T36" t="str">
        <f>TRIM(CLEAN(Table1[[#This Row],[is_active]]))</f>
        <v>yes</v>
      </c>
      <c r="U3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6" s="11" t="str">
        <f>TRIM(IF(Table1[[#This Row],[is_active3]]="Unknown","TRUE",Table1[[#This Row],[is_active3]]))</f>
        <v>TRUE</v>
      </c>
      <c r="W36">
        <v>0.81</v>
      </c>
      <c r="X36">
        <f>IF(Table1[[#This Row],[client_satisfaction]]&gt;1,Table1[[#This Row],[client_satisfaction]]/100,Table1[[#This Row],[client_satisfaction]])</f>
        <v>0.81</v>
      </c>
      <c r="Y36">
        <f>IF(Table1[[#This Row],[client_satisfaction2]]=0,0.75,Table1[[#This Row],[client_satisfaction2]])</f>
        <v>0.81</v>
      </c>
    </row>
    <row r="37" spans="1:25" x14ac:dyDescent="0.25">
      <c r="A37" t="s">
        <v>145</v>
      </c>
      <c r="B37" t="s">
        <v>146</v>
      </c>
      <c r="C37" t="str">
        <f>PROPER(TRIM(SUBSTITUTE(SUBSTITUTE(SUBSTITUTE(Table1[[#This Row],[name]],"Ms. ",""),"Mr. ",""),"Mrs. ","")))</f>
        <v>Emily Daniels</v>
      </c>
      <c r="D37" t="s">
        <v>39</v>
      </c>
      <c r="E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7">
        <v>52</v>
      </c>
      <c r="G37" t="str">
        <f>TRIM(IF(Table1[[#This Row],[age]]="","Unknown",Table1[[#This Row],[age]]))</f>
        <v>52</v>
      </c>
      <c r="H37" t="s">
        <v>112</v>
      </c>
      <c r="I37" t="s">
        <v>113</v>
      </c>
      <c r="J37" t="s">
        <v>35</v>
      </c>
      <c r="K37">
        <v>28</v>
      </c>
      <c r="L37" s="10" t="str">
        <f>TRIM(IF(Table1[[#This Row],[years_of_experience]]="","Unknown",Table1[[#This Row],[years_of_experience]]))</f>
        <v>28</v>
      </c>
      <c r="M37" t="s">
        <v>121</v>
      </c>
      <c r="N37" t="str">
        <f>IF(Table1[[#This Row],[hourly_rate (USD)]]="",MEDIAN(Table1[hourly_rate (USD)]),Table1[[#This Row],[hourly_rate (USD)]])</f>
        <v>$20</v>
      </c>
      <c r="O37" t="str">
        <f>TRIM(CLEAN(Table1[[#This Row],[Updated hourly_rate (USD)]]))</f>
        <v>$20</v>
      </c>
      <c r="P37" t="str">
        <f>SUBSTITUTE(SUBSTITUTE(Table1[[#This Row],[Formatted hourly rate]],"USD ",""),"$","")</f>
        <v>20</v>
      </c>
      <c r="R37">
        <f>IF(Table1[[#This Row],[rating]]="",2.6,Table1[[#This Row],[rating]])</f>
        <v>2.6</v>
      </c>
      <c r="S37">
        <v>0</v>
      </c>
      <c r="T37" t="str">
        <f>TRIM(CLEAN(Table1[[#This Row],[is_active]]))</f>
        <v>0</v>
      </c>
      <c r="U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7" s="11" t="str">
        <f>TRIM(IF(Table1[[#This Row],[is_active3]]="Unknown","TRUE",Table1[[#This Row],[is_active3]]))</f>
        <v>FALSE</v>
      </c>
      <c r="X37">
        <f>IF(Table1[[#This Row],[client_satisfaction]]&gt;1,Table1[[#This Row],[client_satisfaction]]/100,Table1[[#This Row],[client_satisfaction]])</f>
        <v>0</v>
      </c>
      <c r="Y37">
        <f>IF(Table1[[#This Row],[client_satisfaction2]]=0,0.75,Table1[[#This Row],[client_satisfaction2]])</f>
        <v>0.75</v>
      </c>
    </row>
    <row r="38" spans="1:25" x14ac:dyDescent="0.25">
      <c r="A38" t="s">
        <v>147</v>
      </c>
      <c r="B38" t="s">
        <v>148</v>
      </c>
      <c r="C38" t="str">
        <f>PROPER(TRIM(SUBSTITUTE(SUBSTITUTE(SUBSTITUTE(Table1[[#This Row],[name]],"Ms. ",""),"Mr. ",""),"Mrs. ","")))</f>
        <v>Jamie Ramirez</v>
      </c>
      <c r="D38" t="s">
        <v>14</v>
      </c>
      <c r="E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8">
        <v>42</v>
      </c>
      <c r="G38" t="str">
        <f>TRIM(IF(Table1[[#This Row],[age]]="","Unknown",Table1[[#This Row],[age]]))</f>
        <v>42</v>
      </c>
      <c r="H38" t="s">
        <v>85</v>
      </c>
      <c r="I38" t="s">
        <v>86</v>
      </c>
      <c r="J38" t="s">
        <v>23</v>
      </c>
      <c r="K38">
        <v>6</v>
      </c>
      <c r="L38" s="10" t="str">
        <f>TRIM(IF(Table1[[#This Row],[years_of_experience]]="","Unknown",Table1[[#This Row],[years_of_experience]]))</f>
        <v>6</v>
      </c>
      <c r="M38">
        <v>40</v>
      </c>
      <c r="N38">
        <f>IF(Table1[[#This Row],[hourly_rate (USD)]]="",MEDIAN(Table1[hourly_rate (USD)]),Table1[[#This Row],[hourly_rate (USD)]])</f>
        <v>40</v>
      </c>
      <c r="O38" t="str">
        <f>TRIM(CLEAN(Table1[[#This Row],[Updated hourly_rate (USD)]]))</f>
        <v>40</v>
      </c>
      <c r="P38" t="str">
        <f>SUBSTITUTE(SUBSTITUTE(Table1[[#This Row],[Formatted hourly rate]],"USD ",""),"$","")</f>
        <v>40</v>
      </c>
      <c r="R38">
        <f>IF(Table1[[#This Row],[rating]]="",2.6,Table1[[#This Row],[rating]])</f>
        <v>2.6</v>
      </c>
      <c r="S38">
        <v>0</v>
      </c>
      <c r="T38" t="str">
        <f>TRIM(CLEAN(Table1[[#This Row],[is_active]]))</f>
        <v>0</v>
      </c>
      <c r="U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8" s="11" t="str">
        <f>TRIM(IF(Table1[[#This Row],[is_active3]]="Unknown","TRUE",Table1[[#This Row],[is_active3]]))</f>
        <v>FALSE</v>
      </c>
      <c r="W38">
        <v>0.63</v>
      </c>
      <c r="X38">
        <f>IF(Table1[[#This Row],[client_satisfaction]]&gt;1,Table1[[#This Row],[client_satisfaction]]/100,Table1[[#This Row],[client_satisfaction]])</f>
        <v>0.63</v>
      </c>
      <c r="Y38">
        <f>IF(Table1[[#This Row],[client_satisfaction2]]=0,0.75,Table1[[#This Row],[client_satisfaction2]])</f>
        <v>0.63</v>
      </c>
    </row>
    <row r="39" spans="1:25" x14ac:dyDescent="0.25">
      <c r="A39" t="s">
        <v>149</v>
      </c>
      <c r="B39" t="s">
        <v>150</v>
      </c>
      <c r="C39" t="str">
        <f>PROPER(TRIM(SUBSTITUTE(SUBSTITUTE(SUBSTITUTE(Table1[[#This Row],[name]],"Ms. ",""),"Mr. ",""),"Mrs. ","")))</f>
        <v>Amy Harrison</v>
      </c>
      <c r="D39" t="s">
        <v>34</v>
      </c>
      <c r="E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9">
        <v>29</v>
      </c>
      <c r="G39" t="str">
        <f>TRIM(IF(Table1[[#This Row],[age]]="","Unknown",Table1[[#This Row],[age]]))</f>
        <v>29</v>
      </c>
      <c r="H39" t="s">
        <v>42</v>
      </c>
      <c r="I39" t="s">
        <v>43</v>
      </c>
      <c r="J39" t="s">
        <v>30</v>
      </c>
      <c r="K39">
        <v>10</v>
      </c>
      <c r="L39" s="10" t="str">
        <f>TRIM(IF(Table1[[#This Row],[years_of_experience]]="","Unknown",Table1[[#This Row],[years_of_experience]]))</f>
        <v>10</v>
      </c>
      <c r="M39">
        <v>40</v>
      </c>
      <c r="N39">
        <f>IF(Table1[[#This Row],[hourly_rate (USD)]]="",MEDIAN(Table1[hourly_rate (USD)]),Table1[[#This Row],[hourly_rate (USD)]])</f>
        <v>40</v>
      </c>
      <c r="O39" t="str">
        <f>TRIM(CLEAN(Table1[[#This Row],[Updated hourly_rate (USD)]]))</f>
        <v>40</v>
      </c>
      <c r="P39" t="str">
        <f>SUBSTITUTE(SUBSTITUTE(Table1[[#This Row],[Formatted hourly rate]],"USD ",""),"$","")</f>
        <v>40</v>
      </c>
      <c r="Q39">
        <v>2.2000000000000002</v>
      </c>
      <c r="R39">
        <f>IF(Table1[[#This Row],[rating]]="",2.6,Table1[[#This Row],[rating]])</f>
        <v>2.2000000000000002</v>
      </c>
      <c r="S39" t="s">
        <v>31</v>
      </c>
      <c r="T39" t="str">
        <f>TRIM(CLEAN(Table1[[#This Row],[is_active]]))</f>
        <v>N</v>
      </c>
      <c r="U3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9" s="11" t="str">
        <f>TRIM(IF(Table1[[#This Row],[is_active3]]="Unknown","TRUE",Table1[[#This Row],[is_active3]]))</f>
        <v>FALSE</v>
      </c>
      <c r="W39">
        <v>0.67</v>
      </c>
      <c r="X39">
        <f>IF(Table1[[#This Row],[client_satisfaction]]&gt;1,Table1[[#This Row],[client_satisfaction]]/100,Table1[[#This Row],[client_satisfaction]])</f>
        <v>0.67</v>
      </c>
      <c r="Y39">
        <f>IF(Table1[[#This Row],[client_satisfaction2]]=0,0.75,Table1[[#This Row],[client_satisfaction2]])</f>
        <v>0.67</v>
      </c>
    </row>
    <row r="40" spans="1:25" x14ac:dyDescent="0.25">
      <c r="A40" t="s">
        <v>151</v>
      </c>
      <c r="B40" t="s">
        <v>152</v>
      </c>
      <c r="C40" t="str">
        <f>PROPER(TRIM(SUBSTITUTE(SUBSTITUTE(SUBSTITUTE(Table1[[#This Row],[name]],"Ms. ",""),"Mr. ",""),"Mrs. ","")))</f>
        <v>Melinda White</v>
      </c>
      <c r="D40" t="s">
        <v>34</v>
      </c>
      <c r="E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0">
        <v>42</v>
      </c>
      <c r="G40" t="str">
        <f>TRIM(IF(Table1[[#This Row],[age]]="","Unknown",Table1[[#This Row],[age]]))</f>
        <v>42</v>
      </c>
      <c r="H40" t="s">
        <v>153</v>
      </c>
      <c r="I40" t="s">
        <v>154</v>
      </c>
      <c r="J40" t="s">
        <v>23</v>
      </c>
      <c r="K40">
        <v>23</v>
      </c>
      <c r="L40" s="10" t="str">
        <f>TRIM(IF(Table1[[#This Row],[years_of_experience]]="","Unknown",Table1[[#This Row],[years_of_experience]]))</f>
        <v>23</v>
      </c>
      <c r="M40">
        <v>50</v>
      </c>
      <c r="N40">
        <f>IF(Table1[[#This Row],[hourly_rate (USD)]]="",MEDIAN(Table1[hourly_rate (USD)]),Table1[[#This Row],[hourly_rate (USD)]])</f>
        <v>50</v>
      </c>
      <c r="O40" t="str">
        <f>TRIM(CLEAN(Table1[[#This Row],[Updated hourly_rate (USD)]]))</f>
        <v>50</v>
      </c>
      <c r="P40" t="str">
        <f>SUBSTITUTE(SUBSTITUTE(Table1[[#This Row],[Formatted hourly rate]],"USD ",""),"$","")</f>
        <v>50</v>
      </c>
      <c r="Q40">
        <v>3.2</v>
      </c>
      <c r="R40">
        <f>IF(Table1[[#This Row],[rating]]="",2.6,Table1[[#This Row],[rating]])</f>
        <v>3.2</v>
      </c>
      <c r="S40" t="s">
        <v>68</v>
      </c>
      <c r="T40" t="str">
        <f>TRIM(CLEAN(Table1[[#This Row],[is_active]]))</f>
        <v>yes</v>
      </c>
      <c r="U4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0" s="11" t="str">
        <f>TRIM(IF(Table1[[#This Row],[is_active3]]="Unknown","TRUE",Table1[[#This Row],[is_active3]]))</f>
        <v>TRUE</v>
      </c>
      <c r="X40">
        <f>IF(Table1[[#This Row],[client_satisfaction]]&gt;1,Table1[[#This Row],[client_satisfaction]]/100,Table1[[#This Row],[client_satisfaction]])</f>
        <v>0</v>
      </c>
      <c r="Y40">
        <f>IF(Table1[[#This Row],[client_satisfaction2]]=0,0.75,Table1[[#This Row],[client_satisfaction2]])</f>
        <v>0.75</v>
      </c>
    </row>
    <row r="41" spans="1:25" x14ac:dyDescent="0.25">
      <c r="A41" t="s">
        <v>155</v>
      </c>
      <c r="B41" t="s">
        <v>156</v>
      </c>
      <c r="C41" t="str">
        <f>PROPER(TRIM(SUBSTITUTE(SUBSTITUTE(SUBSTITUTE(Table1[[#This Row],[name]],"Ms. ",""),"Mr. ",""),"Mrs. ","")))</f>
        <v>James Hernandez</v>
      </c>
      <c r="D41" t="s">
        <v>97</v>
      </c>
      <c r="E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1">
        <v>60</v>
      </c>
      <c r="G41" t="str">
        <f>TRIM(IF(Table1[[#This Row],[age]]="","Unknown",Table1[[#This Row],[age]]))</f>
        <v>60</v>
      </c>
      <c r="H41" t="s">
        <v>85</v>
      </c>
      <c r="I41" t="s">
        <v>86</v>
      </c>
      <c r="J41" t="s">
        <v>35</v>
      </c>
      <c r="K41">
        <v>13</v>
      </c>
      <c r="L41" s="10" t="str">
        <f>TRIM(IF(Table1[[#This Row],[years_of_experience]]="","Unknown",Table1[[#This Row],[years_of_experience]]))</f>
        <v>13</v>
      </c>
      <c r="M41" t="s">
        <v>121</v>
      </c>
      <c r="N41" t="str">
        <f>IF(Table1[[#This Row],[hourly_rate (USD)]]="",MEDIAN(Table1[hourly_rate (USD)]),Table1[[#This Row],[hourly_rate (USD)]])</f>
        <v>$20</v>
      </c>
      <c r="O41" t="str">
        <f>TRIM(CLEAN(Table1[[#This Row],[Updated hourly_rate (USD)]]))</f>
        <v>$20</v>
      </c>
      <c r="P41" t="str">
        <f>SUBSTITUTE(SUBSTITUTE(Table1[[#This Row],[Formatted hourly rate]],"USD ",""),"$","")</f>
        <v>20</v>
      </c>
      <c r="Q41">
        <v>3.6</v>
      </c>
      <c r="R41">
        <f>IF(Table1[[#This Row],[rating]]="",2.6,Table1[[#This Row],[rating]])</f>
        <v>3.6</v>
      </c>
      <c r="S41">
        <v>0</v>
      </c>
      <c r="T41" t="str">
        <f>TRIM(CLEAN(Table1[[#This Row],[is_active]]))</f>
        <v>0</v>
      </c>
      <c r="U4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1" s="11" t="str">
        <f>TRIM(IF(Table1[[#This Row],[is_active3]]="Unknown","TRUE",Table1[[#This Row],[is_active3]]))</f>
        <v>FALSE</v>
      </c>
      <c r="W41">
        <v>0.8</v>
      </c>
      <c r="X41">
        <f>IF(Table1[[#This Row],[client_satisfaction]]&gt;1,Table1[[#This Row],[client_satisfaction]]/100,Table1[[#This Row],[client_satisfaction]])</f>
        <v>0.8</v>
      </c>
      <c r="Y41">
        <f>IF(Table1[[#This Row],[client_satisfaction2]]=0,0.75,Table1[[#This Row],[client_satisfaction2]])</f>
        <v>0.8</v>
      </c>
    </row>
    <row r="42" spans="1:25" x14ac:dyDescent="0.25">
      <c r="A42" t="s">
        <v>157</v>
      </c>
      <c r="B42" t="s">
        <v>158</v>
      </c>
      <c r="C42" t="str">
        <f>PROPER(TRIM(SUBSTITUTE(SUBSTITUTE(SUBSTITUTE(Table1[[#This Row],[name]],"Ms. ",""),"Mr. ",""),"Mrs. ","")))</f>
        <v>Angelica Rogers</v>
      </c>
      <c r="D42" t="s">
        <v>77</v>
      </c>
      <c r="E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">
        <v>59</v>
      </c>
      <c r="G42" t="str">
        <f>TRIM(IF(Table1[[#This Row],[age]]="","Unknown",Table1[[#This Row],[age]]))</f>
        <v>59</v>
      </c>
      <c r="H42" t="s">
        <v>67</v>
      </c>
      <c r="I42" t="s">
        <v>22</v>
      </c>
      <c r="J42" t="s">
        <v>44</v>
      </c>
      <c r="K42">
        <v>3</v>
      </c>
      <c r="L42" s="10" t="str">
        <f>TRIM(IF(Table1[[#This Row],[years_of_experience]]="","Unknown",Table1[[#This Row],[years_of_experience]]))</f>
        <v>3</v>
      </c>
      <c r="M42" t="s">
        <v>98</v>
      </c>
      <c r="N42" t="str">
        <f>IF(Table1[[#This Row],[hourly_rate (USD)]]="",MEDIAN(Table1[hourly_rate (USD)]),Table1[[#This Row],[hourly_rate (USD)]])</f>
        <v>USD 50</v>
      </c>
      <c r="O42" t="str">
        <f>TRIM(CLEAN(Table1[[#This Row],[Updated hourly_rate (USD)]]))</f>
        <v>USD 50</v>
      </c>
      <c r="P42" t="str">
        <f>SUBSTITUTE(SUBSTITUTE(Table1[[#This Row],[Formatted hourly rate]],"USD ",""),"$","")</f>
        <v>50</v>
      </c>
      <c r="Q42">
        <v>0</v>
      </c>
      <c r="R42">
        <f>IF(Table1[[#This Row],[rating]]="",2.6,Table1[[#This Row],[rating]])</f>
        <v>0</v>
      </c>
      <c r="S42" t="s">
        <v>159</v>
      </c>
      <c r="T42" t="str">
        <f>TRIM(CLEAN(Table1[[#This Row],[is_active]]))</f>
        <v>no</v>
      </c>
      <c r="U4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2" s="11" t="str">
        <f>TRIM(IF(Table1[[#This Row],[is_active3]]="Unknown","TRUE",Table1[[#This Row],[is_active3]]))</f>
        <v>FALSE</v>
      </c>
      <c r="X42">
        <f>IF(Table1[[#This Row],[client_satisfaction]]&gt;1,Table1[[#This Row],[client_satisfaction]]/100,Table1[[#This Row],[client_satisfaction]])</f>
        <v>0</v>
      </c>
      <c r="Y42">
        <f>IF(Table1[[#This Row],[client_satisfaction2]]=0,0.75,Table1[[#This Row],[client_satisfaction2]])</f>
        <v>0.75</v>
      </c>
    </row>
    <row r="43" spans="1:25" x14ac:dyDescent="0.25">
      <c r="A43" t="s">
        <v>160</v>
      </c>
      <c r="B43" t="s">
        <v>161</v>
      </c>
      <c r="C43" t="str">
        <f>PROPER(TRIM(SUBSTITUTE(SUBSTITUTE(SUBSTITUTE(Table1[[#This Row],[name]],"Ms. ",""),"Mr. ",""),"Mrs. ","")))</f>
        <v>Savannah Williams</v>
      </c>
      <c r="D43" t="s">
        <v>77</v>
      </c>
      <c r="E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3">
        <v>21</v>
      </c>
      <c r="G43" t="str">
        <f>TRIM(IF(Table1[[#This Row],[age]]="","Unknown",Table1[[#This Row],[age]]))</f>
        <v>21</v>
      </c>
      <c r="H43" t="s">
        <v>128</v>
      </c>
      <c r="I43" t="s">
        <v>22</v>
      </c>
      <c r="J43" t="s">
        <v>35</v>
      </c>
      <c r="K43">
        <v>0</v>
      </c>
      <c r="L43" s="10" t="str">
        <f>TRIM(IF(Table1[[#This Row],[years_of_experience]]="","Unknown",Table1[[#This Row],[years_of_experience]]))</f>
        <v>0</v>
      </c>
      <c r="M43">
        <v>30</v>
      </c>
      <c r="N43">
        <f>IF(Table1[[#This Row],[hourly_rate (USD)]]="",MEDIAN(Table1[hourly_rate (USD)]),Table1[[#This Row],[hourly_rate (USD)]])</f>
        <v>30</v>
      </c>
      <c r="O43" t="str">
        <f>TRIM(CLEAN(Table1[[#This Row],[Updated hourly_rate (USD)]]))</f>
        <v>30</v>
      </c>
      <c r="P43" t="str">
        <f>SUBSTITUTE(SUBSTITUTE(Table1[[#This Row],[Formatted hourly rate]],"USD ",""),"$","")</f>
        <v>30</v>
      </c>
      <c r="Q43">
        <v>2.7</v>
      </c>
      <c r="R43">
        <f>IF(Table1[[#This Row],[rating]]="",2.6,Table1[[#This Row],[rating]])</f>
        <v>2.7</v>
      </c>
      <c r="S43">
        <v>1</v>
      </c>
      <c r="T43" t="str">
        <f>TRIM(CLEAN(Table1[[#This Row],[is_active]]))</f>
        <v>1</v>
      </c>
      <c r="U4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3" s="11" t="str">
        <f>TRIM(IF(Table1[[#This Row],[is_active3]]="Unknown","TRUE",Table1[[#This Row],[is_active3]]))</f>
        <v>TRUE</v>
      </c>
      <c r="W43">
        <v>0.84</v>
      </c>
      <c r="X43">
        <f>IF(Table1[[#This Row],[client_satisfaction]]&gt;1,Table1[[#This Row],[client_satisfaction]]/100,Table1[[#This Row],[client_satisfaction]])</f>
        <v>0.84</v>
      </c>
      <c r="Y43">
        <f>IF(Table1[[#This Row],[client_satisfaction2]]=0,0.75,Table1[[#This Row],[client_satisfaction2]])</f>
        <v>0.84</v>
      </c>
    </row>
    <row r="44" spans="1:25" x14ac:dyDescent="0.25">
      <c r="A44" t="s">
        <v>162</v>
      </c>
      <c r="B44" t="s">
        <v>163</v>
      </c>
      <c r="C44" t="str">
        <f>PROPER(TRIM(SUBSTITUTE(SUBSTITUTE(SUBSTITUTE(Table1[[#This Row],[name]],"Ms. ",""),"Mr. ",""),"Mrs. ","")))</f>
        <v>Kaitlyn Schmidt</v>
      </c>
      <c r="D44" t="s">
        <v>77</v>
      </c>
      <c r="E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4">
        <v>35</v>
      </c>
      <c r="G44" t="str">
        <f>TRIM(IF(Table1[[#This Row],[age]]="","Unknown",Table1[[#This Row],[age]]))</f>
        <v>35</v>
      </c>
      <c r="H44" t="s">
        <v>28</v>
      </c>
      <c r="I44" t="s">
        <v>29</v>
      </c>
      <c r="J44" t="s">
        <v>89</v>
      </c>
      <c r="K44">
        <v>10</v>
      </c>
      <c r="L44" s="10" t="str">
        <f>TRIM(IF(Table1[[#This Row],[years_of_experience]]="","Unknown",Table1[[#This Row],[years_of_experience]]))</f>
        <v>10</v>
      </c>
      <c r="M44" t="s">
        <v>64</v>
      </c>
      <c r="N44" t="str">
        <f>IF(Table1[[#This Row],[hourly_rate (USD)]]="",MEDIAN(Table1[hourly_rate (USD)]),Table1[[#This Row],[hourly_rate (USD)]])</f>
        <v>$50</v>
      </c>
      <c r="O44" t="str">
        <f>TRIM(CLEAN(Table1[[#This Row],[Updated hourly_rate (USD)]]))</f>
        <v>$50</v>
      </c>
      <c r="P44" t="str">
        <f>SUBSTITUTE(SUBSTITUTE(Table1[[#This Row],[Formatted hourly rate]],"USD ",""),"$","")</f>
        <v>50</v>
      </c>
      <c r="Q44">
        <v>0</v>
      </c>
      <c r="R44">
        <f>IF(Table1[[#This Row],[rating]]="",2.6,Table1[[#This Row],[rating]])</f>
        <v>0</v>
      </c>
      <c r="S44" t="s">
        <v>159</v>
      </c>
      <c r="T44" t="str">
        <f>TRIM(CLEAN(Table1[[#This Row],[is_active]]))</f>
        <v>no</v>
      </c>
      <c r="U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4" s="11" t="str">
        <f>TRIM(IF(Table1[[#This Row],[is_active3]]="Unknown","TRUE",Table1[[#This Row],[is_active3]]))</f>
        <v>FALSE</v>
      </c>
      <c r="X44">
        <f>IF(Table1[[#This Row],[client_satisfaction]]&gt;1,Table1[[#This Row],[client_satisfaction]]/100,Table1[[#This Row],[client_satisfaction]])</f>
        <v>0</v>
      </c>
      <c r="Y44">
        <f>IF(Table1[[#This Row],[client_satisfaction2]]=0,0.75,Table1[[#This Row],[client_satisfaction2]])</f>
        <v>0.75</v>
      </c>
    </row>
    <row r="45" spans="1:25" x14ac:dyDescent="0.25">
      <c r="A45" t="s">
        <v>164</v>
      </c>
      <c r="B45" t="s">
        <v>165</v>
      </c>
      <c r="C45" t="str">
        <f>PROPER(TRIM(SUBSTITUTE(SUBSTITUTE(SUBSTITUTE(Table1[[#This Row],[name]],"Ms. ",""),"Mr. ",""),"Mrs. ","")))</f>
        <v>Jason Singh</v>
      </c>
      <c r="D45" t="s">
        <v>27</v>
      </c>
      <c r="E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5">
        <v>41</v>
      </c>
      <c r="G45" t="str">
        <f>TRIM(IF(Table1[[#This Row],[age]]="","Unknown",Table1[[#This Row],[age]]))</f>
        <v>41</v>
      </c>
      <c r="H45" t="s">
        <v>67</v>
      </c>
      <c r="I45" t="s">
        <v>22</v>
      </c>
      <c r="J45" t="s">
        <v>51</v>
      </c>
      <c r="L45" s="10" t="str">
        <f>TRIM(IF(Table1[[#This Row],[years_of_experience]]="","Unknown",Table1[[#This Row],[years_of_experience]]))</f>
        <v>Unknown</v>
      </c>
      <c r="M45">
        <v>20</v>
      </c>
      <c r="N45">
        <f>IF(Table1[[#This Row],[hourly_rate (USD)]]="",MEDIAN(Table1[hourly_rate (USD)]),Table1[[#This Row],[hourly_rate (USD)]])</f>
        <v>20</v>
      </c>
      <c r="O45" t="str">
        <f>TRIM(CLEAN(Table1[[#This Row],[Updated hourly_rate (USD)]]))</f>
        <v>20</v>
      </c>
      <c r="P45" t="str">
        <f>SUBSTITUTE(SUBSTITUTE(Table1[[#This Row],[Formatted hourly rate]],"USD ",""),"$","")</f>
        <v>20</v>
      </c>
      <c r="Q45">
        <v>2.8</v>
      </c>
      <c r="R45">
        <f>IF(Table1[[#This Row],[rating]]="",2.6,Table1[[#This Row],[rating]])</f>
        <v>2.8</v>
      </c>
      <c r="S45" t="b">
        <v>1</v>
      </c>
      <c r="T45" t="str">
        <f>TRIM(CLEAN(Table1[[#This Row],[is_active]]))</f>
        <v>TRUE</v>
      </c>
      <c r="U4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5" s="11" t="str">
        <f>TRIM(IF(Table1[[#This Row],[is_active3]]="Unknown","TRUE",Table1[[#This Row],[is_active3]]))</f>
        <v>TRUE</v>
      </c>
      <c r="W45">
        <v>0.63</v>
      </c>
      <c r="X45">
        <f>IF(Table1[[#This Row],[client_satisfaction]]&gt;1,Table1[[#This Row],[client_satisfaction]]/100,Table1[[#This Row],[client_satisfaction]])</f>
        <v>0.63</v>
      </c>
      <c r="Y45">
        <f>IF(Table1[[#This Row],[client_satisfaction2]]=0,0.75,Table1[[#This Row],[client_satisfaction2]])</f>
        <v>0.63</v>
      </c>
    </row>
    <row r="46" spans="1:25" x14ac:dyDescent="0.25">
      <c r="A46" t="s">
        <v>166</v>
      </c>
      <c r="B46" t="s">
        <v>167</v>
      </c>
      <c r="C46" t="str">
        <f>PROPER(TRIM(SUBSTITUTE(SUBSTITUTE(SUBSTITUTE(Table1[[#This Row],[name]],"Ms. ",""),"Mr. ",""),"Mrs. ","")))</f>
        <v>Michelle Ramirez</v>
      </c>
      <c r="D46" t="s">
        <v>77</v>
      </c>
      <c r="E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6">
        <v>51</v>
      </c>
      <c r="G46" t="str">
        <f>TRIM(IF(Table1[[#This Row],[age]]="","Unknown",Table1[[#This Row],[age]]))</f>
        <v>51</v>
      </c>
      <c r="H46" t="s">
        <v>42</v>
      </c>
      <c r="I46" t="s">
        <v>43</v>
      </c>
      <c r="J46" t="s">
        <v>114</v>
      </c>
      <c r="K46">
        <v>23</v>
      </c>
      <c r="L46" s="10" t="str">
        <f>TRIM(IF(Table1[[#This Row],[years_of_experience]]="","Unknown",Table1[[#This Row],[years_of_experience]]))</f>
        <v>23</v>
      </c>
      <c r="M46">
        <v>20</v>
      </c>
      <c r="N46">
        <f>IF(Table1[[#This Row],[hourly_rate (USD)]]="",MEDIAN(Table1[hourly_rate (USD)]),Table1[[#This Row],[hourly_rate (USD)]])</f>
        <v>20</v>
      </c>
      <c r="O46" t="str">
        <f>TRIM(CLEAN(Table1[[#This Row],[Updated hourly_rate (USD)]]))</f>
        <v>20</v>
      </c>
      <c r="P46" t="str">
        <f>SUBSTITUTE(SUBSTITUTE(Table1[[#This Row],[Formatted hourly rate]],"USD ",""),"$","")</f>
        <v>20</v>
      </c>
      <c r="Q46">
        <v>2.5</v>
      </c>
      <c r="R46">
        <f>IF(Table1[[#This Row],[rating]]="",2.6,Table1[[#This Row],[rating]])</f>
        <v>2.5</v>
      </c>
      <c r="S46" t="b">
        <v>0</v>
      </c>
      <c r="T46" t="str">
        <f>TRIM(CLEAN(Table1[[#This Row],[is_active]]))</f>
        <v>FALSE</v>
      </c>
      <c r="U4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6" s="11" t="str">
        <f>TRIM(IF(Table1[[#This Row],[is_active3]]="Unknown","TRUE",Table1[[#This Row],[is_active3]]))</f>
        <v>TRUE</v>
      </c>
      <c r="W46">
        <v>0.8</v>
      </c>
      <c r="X46">
        <f>IF(Table1[[#This Row],[client_satisfaction]]&gt;1,Table1[[#This Row],[client_satisfaction]]/100,Table1[[#This Row],[client_satisfaction]])</f>
        <v>0.8</v>
      </c>
      <c r="Y46">
        <f>IF(Table1[[#This Row],[client_satisfaction2]]=0,0.75,Table1[[#This Row],[client_satisfaction2]])</f>
        <v>0.8</v>
      </c>
    </row>
    <row r="47" spans="1:25" x14ac:dyDescent="0.25">
      <c r="A47" t="s">
        <v>168</v>
      </c>
      <c r="B47" t="s">
        <v>169</v>
      </c>
      <c r="C47" t="str">
        <f>PROPER(TRIM(SUBSTITUTE(SUBSTITUTE(SUBSTITUTE(Table1[[#This Row],[name]],"Ms. ",""),"Mr. ",""),"Mrs. ","")))</f>
        <v>James Brown</v>
      </c>
      <c r="D47" t="s">
        <v>27</v>
      </c>
      <c r="E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7">
        <v>41</v>
      </c>
      <c r="G47" t="str">
        <f>TRIM(IF(Table1[[#This Row],[age]]="","Unknown",Table1[[#This Row],[age]]))</f>
        <v>41</v>
      </c>
      <c r="H47" t="s">
        <v>153</v>
      </c>
      <c r="I47" t="s">
        <v>154</v>
      </c>
      <c r="J47" t="s">
        <v>35</v>
      </c>
      <c r="K47">
        <v>9</v>
      </c>
      <c r="L47" s="10" t="str">
        <f>TRIM(IF(Table1[[#This Row],[years_of_experience]]="","Unknown",Table1[[#This Row],[years_of_experience]]))</f>
        <v>9</v>
      </c>
      <c r="M47" t="s">
        <v>170</v>
      </c>
      <c r="N47" t="str">
        <f>IF(Table1[[#This Row],[hourly_rate (USD)]]="",MEDIAN(Table1[hourly_rate (USD)]),Table1[[#This Row],[hourly_rate (USD)]])</f>
        <v>$75</v>
      </c>
      <c r="O47" t="str">
        <f>TRIM(CLEAN(Table1[[#This Row],[Updated hourly_rate (USD)]]))</f>
        <v>$75</v>
      </c>
      <c r="P47" t="str">
        <f>SUBSTITUTE(SUBSTITUTE(Table1[[#This Row],[Formatted hourly rate]],"USD ",""),"$","")</f>
        <v>75</v>
      </c>
      <c r="Q47">
        <v>4.9000000000000004</v>
      </c>
      <c r="R47">
        <f>IF(Table1[[#This Row],[rating]]="",2.6,Table1[[#This Row],[rating]])</f>
        <v>4.9000000000000004</v>
      </c>
      <c r="S47">
        <v>1</v>
      </c>
      <c r="T47" t="str">
        <f>TRIM(CLEAN(Table1[[#This Row],[is_active]]))</f>
        <v>1</v>
      </c>
      <c r="U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7" s="11" t="str">
        <f>TRIM(IF(Table1[[#This Row],[is_active3]]="Unknown","TRUE",Table1[[#This Row],[is_active3]]))</f>
        <v>TRUE</v>
      </c>
      <c r="W47">
        <v>0.74</v>
      </c>
      <c r="X47">
        <f>IF(Table1[[#This Row],[client_satisfaction]]&gt;1,Table1[[#This Row],[client_satisfaction]]/100,Table1[[#This Row],[client_satisfaction]])</f>
        <v>0.74</v>
      </c>
      <c r="Y47">
        <f>IF(Table1[[#This Row],[client_satisfaction2]]=0,0.75,Table1[[#This Row],[client_satisfaction2]])</f>
        <v>0.74</v>
      </c>
    </row>
    <row r="48" spans="1:25" x14ac:dyDescent="0.25">
      <c r="A48" t="s">
        <v>171</v>
      </c>
      <c r="B48" t="s">
        <v>172</v>
      </c>
      <c r="C48" t="str">
        <f>PROPER(TRIM(SUBSTITUTE(SUBSTITUTE(SUBSTITUTE(Table1[[#This Row],[name]],"Ms. ",""),"Mr. ",""),"Mrs. ","")))</f>
        <v>Samantha Simmons</v>
      </c>
      <c r="D48" t="s">
        <v>77</v>
      </c>
      <c r="E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8">
        <v>47</v>
      </c>
      <c r="G48" t="str">
        <f>TRIM(IF(Table1[[#This Row],[age]]="","Unknown",Table1[[#This Row],[age]]))</f>
        <v>47</v>
      </c>
      <c r="H48" t="s">
        <v>139</v>
      </c>
      <c r="I48" t="s">
        <v>140</v>
      </c>
      <c r="J48" t="s">
        <v>89</v>
      </c>
      <c r="K48">
        <v>15</v>
      </c>
      <c r="L48" s="10" t="str">
        <f>TRIM(IF(Table1[[#This Row],[years_of_experience]]="","Unknown",Table1[[#This Row],[years_of_experience]]))</f>
        <v>15</v>
      </c>
      <c r="M48" t="s">
        <v>109</v>
      </c>
      <c r="N48" t="str">
        <f>IF(Table1[[#This Row],[hourly_rate (USD)]]="",MEDIAN(Table1[hourly_rate (USD)]),Table1[[#This Row],[hourly_rate (USD)]])</f>
        <v>USD 30</v>
      </c>
      <c r="O48" t="str">
        <f>TRIM(CLEAN(Table1[[#This Row],[Updated hourly_rate (USD)]]))</f>
        <v>USD 30</v>
      </c>
      <c r="P48" t="str">
        <f>SUBSTITUTE(SUBSTITUTE(Table1[[#This Row],[Formatted hourly rate]],"USD ",""),"$","")</f>
        <v>30</v>
      </c>
      <c r="Q48">
        <v>4.5</v>
      </c>
      <c r="R48">
        <f>IF(Table1[[#This Row],[rating]]="",2.6,Table1[[#This Row],[rating]])</f>
        <v>4.5</v>
      </c>
      <c r="S48">
        <v>1</v>
      </c>
      <c r="T48" t="str">
        <f>TRIM(CLEAN(Table1[[#This Row],[is_active]]))</f>
        <v>1</v>
      </c>
      <c r="U4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8" s="11" t="str">
        <f>TRIM(IF(Table1[[#This Row],[is_active3]]="Unknown","TRUE",Table1[[#This Row],[is_active3]]))</f>
        <v>TRUE</v>
      </c>
      <c r="W48">
        <v>0.85</v>
      </c>
      <c r="X48">
        <f>IF(Table1[[#This Row],[client_satisfaction]]&gt;1,Table1[[#This Row],[client_satisfaction]]/100,Table1[[#This Row],[client_satisfaction]])</f>
        <v>0.85</v>
      </c>
      <c r="Y48">
        <f>IF(Table1[[#This Row],[client_satisfaction2]]=0,0.75,Table1[[#This Row],[client_satisfaction2]])</f>
        <v>0.85</v>
      </c>
    </row>
    <row r="49" spans="1:25" x14ac:dyDescent="0.25">
      <c r="A49" t="s">
        <v>173</v>
      </c>
      <c r="B49" t="s">
        <v>174</v>
      </c>
      <c r="C49" t="str">
        <f>PROPER(TRIM(SUBSTITUTE(SUBSTITUTE(SUBSTITUTE(Table1[[#This Row],[name]],"Ms. ",""),"Mr. ",""),"Mrs. ","")))</f>
        <v>Chase Mason</v>
      </c>
      <c r="D49" t="s">
        <v>27</v>
      </c>
      <c r="E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9">
        <v>25</v>
      </c>
      <c r="G49" t="str">
        <f>TRIM(IF(Table1[[#This Row],[age]]="","Unknown",Table1[[#This Row],[age]]))</f>
        <v>25</v>
      </c>
      <c r="H49" t="s">
        <v>175</v>
      </c>
      <c r="I49" t="s">
        <v>176</v>
      </c>
      <c r="J49" t="s">
        <v>30</v>
      </c>
      <c r="K49">
        <v>4</v>
      </c>
      <c r="L49" s="10" t="str">
        <f>TRIM(IF(Table1[[#This Row],[years_of_experience]]="","Unknown",Table1[[#This Row],[years_of_experience]]))</f>
        <v>4</v>
      </c>
      <c r="M49">
        <v>50</v>
      </c>
      <c r="N49">
        <f>IF(Table1[[#This Row],[hourly_rate (USD)]]="",MEDIAN(Table1[hourly_rate (USD)]),Table1[[#This Row],[hourly_rate (USD)]])</f>
        <v>50</v>
      </c>
      <c r="O49" t="str">
        <f>TRIM(CLEAN(Table1[[#This Row],[Updated hourly_rate (USD)]]))</f>
        <v>50</v>
      </c>
      <c r="P49" t="str">
        <f>SUBSTITUTE(SUBSTITUTE(Table1[[#This Row],[Formatted hourly rate]],"USD ",""),"$","")</f>
        <v>50</v>
      </c>
      <c r="Q49">
        <v>2.7</v>
      </c>
      <c r="R49">
        <f>IF(Table1[[#This Row],[rating]]="",2.6,Table1[[#This Row],[rating]])</f>
        <v>2.7</v>
      </c>
      <c r="S49" t="s">
        <v>31</v>
      </c>
      <c r="T49" t="str">
        <f>TRIM(CLEAN(Table1[[#This Row],[is_active]]))</f>
        <v>N</v>
      </c>
      <c r="U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9" s="11" t="str">
        <f>TRIM(IF(Table1[[#This Row],[is_active3]]="Unknown","TRUE",Table1[[#This Row],[is_active3]]))</f>
        <v>FALSE</v>
      </c>
      <c r="W49">
        <v>0.77</v>
      </c>
      <c r="X49">
        <f>IF(Table1[[#This Row],[client_satisfaction]]&gt;1,Table1[[#This Row],[client_satisfaction]]/100,Table1[[#This Row],[client_satisfaction]])</f>
        <v>0.77</v>
      </c>
      <c r="Y49">
        <f>IF(Table1[[#This Row],[client_satisfaction2]]=0,0.75,Table1[[#This Row],[client_satisfaction2]])</f>
        <v>0.77</v>
      </c>
    </row>
    <row r="50" spans="1:25" x14ac:dyDescent="0.25">
      <c r="A50" t="s">
        <v>177</v>
      </c>
      <c r="B50" t="s">
        <v>178</v>
      </c>
      <c r="C50" t="str">
        <f>PROPER(TRIM(SUBSTITUTE(SUBSTITUTE(SUBSTITUTE(Table1[[#This Row],[name]],"Ms. ",""),"Mr. ",""),"Mrs. ","")))</f>
        <v>Dominique Ward</v>
      </c>
      <c r="D50" t="s">
        <v>34</v>
      </c>
      <c r="E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0">
        <v>25</v>
      </c>
      <c r="G50" t="str">
        <f>TRIM(IF(Table1[[#This Row],[age]]="","Unknown",Table1[[#This Row],[age]]))</f>
        <v>25</v>
      </c>
      <c r="H50" t="s">
        <v>179</v>
      </c>
      <c r="I50" t="s">
        <v>72</v>
      </c>
      <c r="J50" t="s">
        <v>23</v>
      </c>
      <c r="K50">
        <v>7</v>
      </c>
      <c r="L50" s="10" t="str">
        <f>TRIM(IF(Table1[[#This Row],[years_of_experience]]="","Unknown",Table1[[#This Row],[years_of_experience]]))</f>
        <v>7</v>
      </c>
      <c r="M50">
        <v>20</v>
      </c>
      <c r="N50">
        <f>IF(Table1[[#This Row],[hourly_rate (USD)]]="",MEDIAN(Table1[hourly_rate (USD)]),Table1[[#This Row],[hourly_rate (USD)]])</f>
        <v>20</v>
      </c>
      <c r="O50" t="str">
        <f>TRIM(CLEAN(Table1[[#This Row],[Updated hourly_rate (USD)]]))</f>
        <v>20</v>
      </c>
      <c r="P50" t="str">
        <f>SUBSTITUTE(SUBSTITUTE(Table1[[#This Row],[Formatted hourly rate]],"USD ",""),"$","")</f>
        <v>20</v>
      </c>
      <c r="Q50">
        <v>1.9</v>
      </c>
      <c r="R50">
        <f>IF(Table1[[#This Row],[rating]]="",2.6,Table1[[#This Row],[rating]])</f>
        <v>1.9</v>
      </c>
      <c r="S50">
        <v>0</v>
      </c>
      <c r="T50" t="str">
        <f>TRIM(CLEAN(Table1[[#This Row],[is_active]]))</f>
        <v>0</v>
      </c>
      <c r="U5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0" s="11" t="str">
        <f>TRIM(IF(Table1[[#This Row],[is_active3]]="Unknown","TRUE",Table1[[#This Row],[is_active3]]))</f>
        <v>FALSE</v>
      </c>
      <c r="X50">
        <f>IF(Table1[[#This Row],[client_satisfaction]]&gt;1,Table1[[#This Row],[client_satisfaction]]/100,Table1[[#This Row],[client_satisfaction]])</f>
        <v>0</v>
      </c>
      <c r="Y50">
        <f>IF(Table1[[#This Row],[client_satisfaction2]]=0,0.75,Table1[[#This Row],[client_satisfaction2]])</f>
        <v>0.75</v>
      </c>
    </row>
    <row r="51" spans="1:25" x14ac:dyDescent="0.25">
      <c r="A51" t="s">
        <v>180</v>
      </c>
      <c r="B51" t="s">
        <v>181</v>
      </c>
      <c r="C51" t="str">
        <f>PROPER(TRIM(SUBSTITUTE(SUBSTITUTE(SUBSTITUTE(Table1[[#This Row],[name]],"Ms. ",""),"Mr. ",""),"Mrs. ","")))</f>
        <v>Lance Griffin</v>
      </c>
      <c r="D51" t="s">
        <v>48</v>
      </c>
      <c r="E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1">
        <v>29</v>
      </c>
      <c r="G51" t="str">
        <f>TRIM(IF(Table1[[#This Row],[age]]="","Unknown",Table1[[#This Row],[age]]))</f>
        <v>29</v>
      </c>
      <c r="H51" t="s">
        <v>42</v>
      </c>
      <c r="I51" t="s">
        <v>43</v>
      </c>
      <c r="J51" t="s">
        <v>73</v>
      </c>
      <c r="K51">
        <v>1</v>
      </c>
      <c r="L51" s="10" t="str">
        <f>TRIM(IF(Table1[[#This Row],[years_of_experience]]="","Unknown",Table1[[#This Row],[years_of_experience]]))</f>
        <v>1</v>
      </c>
      <c r="M51">
        <v>20</v>
      </c>
      <c r="N51">
        <f>IF(Table1[[#This Row],[hourly_rate (USD)]]="",MEDIAN(Table1[hourly_rate (USD)]),Table1[[#This Row],[hourly_rate (USD)]])</f>
        <v>20</v>
      </c>
      <c r="O51" t="str">
        <f>TRIM(CLEAN(Table1[[#This Row],[Updated hourly_rate (USD)]]))</f>
        <v>20</v>
      </c>
      <c r="P51" t="str">
        <f>SUBSTITUTE(SUBSTITUTE(Table1[[#This Row],[Formatted hourly rate]],"USD ",""),"$","")</f>
        <v>20</v>
      </c>
      <c r="Q51">
        <v>1.4</v>
      </c>
      <c r="R51">
        <f>IF(Table1[[#This Row],[rating]]="",2.6,Table1[[#This Row],[rating]])</f>
        <v>1.4</v>
      </c>
      <c r="S51">
        <v>1</v>
      </c>
      <c r="T51" t="str">
        <f>TRIM(CLEAN(Table1[[#This Row],[is_active]]))</f>
        <v>1</v>
      </c>
      <c r="U5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1" s="11" t="str">
        <f>TRIM(IF(Table1[[#This Row],[is_active3]]="Unknown","TRUE",Table1[[#This Row],[is_active3]]))</f>
        <v>TRUE</v>
      </c>
      <c r="W51">
        <v>0.63</v>
      </c>
      <c r="X51">
        <f>IF(Table1[[#This Row],[client_satisfaction]]&gt;1,Table1[[#This Row],[client_satisfaction]]/100,Table1[[#This Row],[client_satisfaction]])</f>
        <v>0.63</v>
      </c>
      <c r="Y51">
        <f>IF(Table1[[#This Row],[client_satisfaction2]]=0,0.75,Table1[[#This Row],[client_satisfaction2]])</f>
        <v>0.63</v>
      </c>
    </row>
    <row r="52" spans="1:25" x14ac:dyDescent="0.25">
      <c r="A52" t="s">
        <v>182</v>
      </c>
      <c r="B52" t="s">
        <v>183</v>
      </c>
      <c r="C52" t="str">
        <f>PROPER(TRIM(SUBSTITUTE(SUBSTITUTE(SUBSTITUTE(Table1[[#This Row],[name]],"Ms. ",""),"Mr. ",""),"Mrs. ","")))</f>
        <v>Julie Burgess</v>
      </c>
      <c r="D52" t="s">
        <v>20</v>
      </c>
      <c r="E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2">
        <v>23</v>
      </c>
      <c r="G52" t="str">
        <f>TRIM(IF(Table1[[#This Row],[age]]="","Unknown",Table1[[#This Row],[age]]))</f>
        <v>23</v>
      </c>
      <c r="H52" t="s">
        <v>71</v>
      </c>
      <c r="I52" t="s">
        <v>72</v>
      </c>
      <c r="J52" t="s">
        <v>78</v>
      </c>
      <c r="K52">
        <v>0</v>
      </c>
      <c r="L52" s="10" t="str">
        <f>TRIM(IF(Table1[[#This Row],[years_of_experience]]="","Unknown",Table1[[#This Row],[years_of_experience]]))</f>
        <v>0</v>
      </c>
      <c r="M52">
        <v>75</v>
      </c>
      <c r="N52">
        <f>IF(Table1[[#This Row],[hourly_rate (USD)]]="",MEDIAN(Table1[hourly_rate (USD)]),Table1[[#This Row],[hourly_rate (USD)]])</f>
        <v>75</v>
      </c>
      <c r="O52" t="str">
        <f>TRIM(CLEAN(Table1[[#This Row],[Updated hourly_rate (USD)]]))</f>
        <v>75</v>
      </c>
      <c r="P52" t="str">
        <f>SUBSTITUTE(SUBSTITUTE(Table1[[#This Row],[Formatted hourly rate]],"USD ",""),"$","")</f>
        <v>75</v>
      </c>
      <c r="Q52">
        <v>1.9</v>
      </c>
      <c r="R52">
        <f>IF(Table1[[#This Row],[rating]]="",2.6,Table1[[#This Row],[rating]])</f>
        <v>1.9</v>
      </c>
      <c r="S52" t="b">
        <v>1</v>
      </c>
      <c r="T52" t="str">
        <f>TRIM(CLEAN(Table1[[#This Row],[is_active]]))</f>
        <v>TRUE</v>
      </c>
      <c r="U5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2" s="11" t="str">
        <f>TRIM(IF(Table1[[#This Row],[is_active3]]="Unknown","TRUE",Table1[[#This Row],[is_active3]]))</f>
        <v>TRUE</v>
      </c>
      <c r="W52">
        <v>0.79</v>
      </c>
      <c r="X52">
        <f>IF(Table1[[#This Row],[client_satisfaction]]&gt;1,Table1[[#This Row],[client_satisfaction]]/100,Table1[[#This Row],[client_satisfaction]])</f>
        <v>0.79</v>
      </c>
      <c r="Y52">
        <f>IF(Table1[[#This Row],[client_satisfaction2]]=0,0.75,Table1[[#This Row],[client_satisfaction2]])</f>
        <v>0.79</v>
      </c>
    </row>
    <row r="53" spans="1:25" x14ac:dyDescent="0.25">
      <c r="A53" t="s">
        <v>184</v>
      </c>
      <c r="B53" t="s">
        <v>185</v>
      </c>
      <c r="C53" t="str">
        <f>PROPER(TRIM(SUBSTITUTE(SUBSTITUTE(SUBSTITUTE(Table1[[#This Row],[name]],"Ms. ",""),"Mr. ",""),"Mrs. ","")))</f>
        <v>Don Scott</v>
      </c>
      <c r="D53" t="s">
        <v>27</v>
      </c>
      <c r="E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3">
        <v>31</v>
      </c>
      <c r="G53" t="str">
        <f>TRIM(IF(Table1[[#This Row],[age]]="","Unknown",Table1[[#This Row],[age]]))</f>
        <v>31</v>
      </c>
      <c r="H53" t="s">
        <v>135</v>
      </c>
      <c r="I53" t="s">
        <v>136</v>
      </c>
      <c r="J53" t="s">
        <v>51</v>
      </c>
      <c r="K53">
        <v>8</v>
      </c>
      <c r="L53" s="10" t="str">
        <f>TRIM(IF(Table1[[#This Row],[years_of_experience]]="","Unknown",Table1[[#This Row],[years_of_experience]]))</f>
        <v>8</v>
      </c>
      <c r="M53">
        <v>50</v>
      </c>
      <c r="N53">
        <f>IF(Table1[[#This Row],[hourly_rate (USD)]]="",MEDIAN(Table1[hourly_rate (USD)]),Table1[[#This Row],[hourly_rate (USD)]])</f>
        <v>50</v>
      </c>
      <c r="O53" t="str">
        <f>TRIM(CLEAN(Table1[[#This Row],[Updated hourly_rate (USD)]]))</f>
        <v>50</v>
      </c>
      <c r="P53" t="str">
        <f>SUBSTITUTE(SUBSTITUTE(Table1[[#This Row],[Formatted hourly rate]],"USD ",""),"$","")</f>
        <v>50</v>
      </c>
      <c r="Q53">
        <v>3.4</v>
      </c>
      <c r="R53">
        <f>IF(Table1[[#This Row],[rating]]="",2.6,Table1[[#This Row],[rating]])</f>
        <v>3.4</v>
      </c>
      <c r="S53">
        <v>0</v>
      </c>
      <c r="T53" t="str">
        <f>TRIM(CLEAN(Table1[[#This Row],[is_active]]))</f>
        <v>0</v>
      </c>
      <c r="U5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3" s="11" t="str">
        <f>TRIM(IF(Table1[[#This Row],[is_active3]]="Unknown","TRUE",Table1[[#This Row],[is_active3]]))</f>
        <v>FALSE</v>
      </c>
      <c r="X53">
        <f>IF(Table1[[#This Row],[client_satisfaction]]&gt;1,Table1[[#This Row],[client_satisfaction]]/100,Table1[[#This Row],[client_satisfaction]])</f>
        <v>0</v>
      </c>
      <c r="Y53">
        <f>IF(Table1[[#This Row],[client_satisfaction2]]=0,0.75,Table1[[#This Row],[client_satisfaction2]])</f>
        <v>0.75</v>
      </c>
    </row>
    <row r="54" spans="1:25" x14ac:dyDescent="0.25">
      <c r="A54" t="s">
        <v>186</v>
      </c>
      <c r="B54" t="s">
        <v>187</v>
      </c>
      <c r="C54" t="str">
        <f>PROPER(TRIM(SUBSTITUTE(SUBSTITUTE(SUBSTITUTE(Table1[[#This Row],[name]],"Ms. ",""),"Mr. ",""),"Mrs. ","")))</f>
        <v>Kyle Atkinson</v>
      </c>
      <c r="D54" t="s">
        <v>97</v>
      </c>
      <c r="E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4">
        <v>51</v>
      </c>
      <c r="G54" t="str">
        <f>TRIM(IF(Table1[[#This Row],[age]]="","Unknown",Table1[[#This Row],[age]]))</f>
        <v>51</v>
      </c>
      <c r="H54" t="s">
        <v>28</v>
      </c>
      <c r="I54" t="s">
        <v>29</v>
      </c>
      <c r="J54" t="s">
        <v>114</v>
      </c>
      <c r="K54">
        <v>33</v>
      </c>
      <c r="L54" s="10" t="str">
        <f>TRIM(IF(Table1[[#This Row],[years_of_experience]]="","Unknown",Table1[[#This Row],[years_of_experience]]))</f>
        <v>33</v>
      </c>
      <c r="M54">
        <v>75</v>
      </c>
      <c r="N54">
        <f>IF(Table1[[#This Row],[hourly_rate (USD)]]="",MEDIAN(Table1[hourly_rate (USD)]),Table1[[#This Row],[hourly_rate (USD)]])</f>
        <v>75</v>
      </c>
      <c r="O54" t="str">
        <f>TRIM(CLEAN(Table1[[#This Row],[Updated hourly_rate (USD)]]))</f>
        <v>75</v>
      </c>
      <c r="P54" t="str">
        <f>SUBSTITUTE(SUBSTITUTE(Table1[[#This Row],[Formatted hourly rate]],"USD ",""),"$","")</f>
        <v>75</v>
      </c>
      <c r="Q54">
        <v>3.3</v>
      </c>
      <c r="R54">
        <f>IF(Table1[[#This Row],[rating]]="",2.6,Table1[[#This Row],[rating]])</f>
        <v>3.3</v>
      </c>
      <c r="T54" t="str">
        <f>TRIM(CLEAN(Table1[[#This Row],[is_active]]))</f>
        <v/>
      </c>
      <c r="U5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4" s="11" t="str">
        <f>TRIM(IF(Table1[[#This Row],[is_active3]]="Unknown","TRUE",Table1[[#This Row],[is_active3]]))</f>
        <v>TRUE</v>
      </c>
      <c r="W54">
        <v>0.68</v>
      </c>
      <c r="X54">
        <f>IF(Table1[[#This Row],[client_satisfaction]]&gt;1,Table1[[#This Row],[client_satisfaction]]/100,Table1[[#This Row],[client_satisfaction]])</f>
        <v>0.68</v>
      </c>
      <c r="Y54">
        <f>IF(Table1[[#This Row],[client_satisfaction2]]=0,0.75,Table1[[#This Row],[client_satisfaction2]])</f>
        <v>0.68</v>
      </c>
    </row>
    <row r="55" spans="1:25" x14ac:dyDescent="0.25">
      <c r="A55" t="s">
        <v>188</v>
      </c>
      <c r="B55" t="s">
        <v>189</v>
      </c>
      <c r="C55" t="str">
        <f>PROPER(TRIM(SUBSTITUTE(SUBSTITUTE(SUBSTITUTE(Table1[[#This Row],[name]],"Ms. ",""),"Mr. ",""),"Mrs. ","")))</f>
        <v>Jimmy Hogan</v>
      </c>
      <c r="D55" t="s">
        <v>48</v>
      </c>
      <c r="E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55" t="str">
        <f>TRIM(IF(Table1[[#This Row],[age]]="","Unknown",Table1[[#This Row],[age]]))</f>
        <v>Unknown</v>
      </c>
      <c r="H55" t="s">
        <v>190</v>
      </c>
      <c r="I55" t="s">
        <v>72</v>
      </c>
      <c r="J55" t="s">
        <v>73</v>
      </c>
      <c r="K55">
        <v>1</v>
      </c>
      <c r="L55" s="10" t="str">
        <f>TRIM(IF(Table1[[#This Row],[years_of_experience]]="","Unknown",Table1[[#This Row],[years_of_experience]]))</f>
        <v>1</v>
      </c>
      <c r="M55">
        <v>30</v>
      </c>
      <c r="N55">
        <f>IF(Table1[[#This Row],[hourly_rate (USD)]]="",MEDIAN(Table1[hourly_rate (USD)]),Table1[[#This Row],[hourly_rate (USD)]])</f>
        <v>30</v>
      </c>
      <c r="O55" t="str">
        <f>TRIM(CLEAN(Table1[[#This Row],[Updated hourly_rate (USD)]]))</f>
        <v>30</v>
      </c>
      <c r="P55" t="str">
        <f>SUBSTITUTE(SUBSTITUTE(Table1[[#This Row],[Formatted hourly rate]],"USD ",""),"$","")</f>
        <v>30</v>
      </c>
      <c r="Q55">
        <v>0</v>
      </c>
      <c r="R55">
        <f>IF(Table1[[#This Row],[rating]]="",2.6,Table1[[#This Row],[rating]])</f>
        <v>0</v>
      </c>
      <c r="S55">
        <v>0</v>
      </c>
      <c r="T55" t="str">
        <f>TRIM(CLEAN(Table1[[#This Row],[is_active]]))</f>
        <v>0</v>
      </c>
      <c r="U5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5" s="11" t="str">
        <f>TRIM(IF(Table1[[#This Row],[is_active3]]="Unknown","TRUE",Table1[[#This Row],[is_active3]]))</f>
        <v>FALSE</v>
      </c>
      <c r="W55">
        <v>0.68</v>
      </c>
      <c r="X55">
        <f>IF(Table1[[#This Row],[client_satisfaction]]&gt;1,Table1[[#This Row],[client_satisfaction]]/100,Table1[[#This Row],[client_satisfaction]])</f>
        <v>0.68</v>
      </c>
      <c r="Y55">
        <f>IF(Table1[[#This Row],[client_satisfaction2]]=0,0.75,Table1[[#This Row],[client_satisfaction2]])</f>
        <v>0.68</v>
      </c>
    </row>
    <row r="56" spans="1:25" x14ac:dyDescent="0.25">
      <c r="A56" t="s">
        <v>191</v>
      </c>
      <c r="B56" t="s">
        <v>192</v>
      </c>
      <c r="C56" t="str">
        <f>PROPER(TRIM(SUBSTITUTE(SUBSTITUTE(SUBSTITUTE(Table1[[#This Row],[name]],"Ms. ",""),"Mr. ",""),"Mrs. ","")))</f>
        <v>Jennifer Mcintyre</v>
      </c>
      <c r="D56" t="s">
        <v>14</v>
      </c>
      <c r="E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6">
        <v>29</v>
      </c>
      <c r="G56" t="str">
        <f>TRIM(IF(Table1[[#This Row],[age]]="","Unknown",Table1[[#This Row],[age]]))</f>
        <v>29</v>
      </c>
      <c r="H56" t="s">
        <v>62</v>
      </c>
      <c r="I56" t="s">
        <v>63</v>
      </c>
      <c r="J56" t="s">
        <v>78</v>
      </c>
      <c r="K56">
        <v>11</v>
      </c>
      <c r="L56" s="10" t="str">
        <f>TRIM(IF(Table1[[#This Row],[years_of_experience]]="","Unknown",Table1[[#This Row],[years_of_experience]]))</f>
        <v>11</v>
      </c>
      <c r="M56">
        <v>100</v>
      </c>
      <c r="N56">
        <f>IF(Table1[[#This Row],[hourly_rate (USD)]]="",MEDIAN(Table1[hourly_rate (USD)]),Table1[[#This Row],[hourly_rate (USD)]])</f>
        <v>100</v>
      </c>
      <c r="O56" t="str">
        <f>TRIM(CLEAN(Table1[[#This Row],[Updated hourly_rate (USD)]]))</f>
        <v>100</v>
      </c>
      <c r="P56" t="str">
        <f>SUBSTITUTE(SUBSTITUTE(Table1[[#This Row],[Formatted hourly rate]],"USD ",""),"$","")</f>
        <v>100</v>
      </c>
      <c r="Q56">
        <v>2.2999999999999998</v>
      </c>
      <c r="R56">
        <f>IF(Table1[[#This Row],[rating]]="",2.6,Table1[[#This Row],[rating]])</f>
        <v>2.2999999999999998</v>
      </c>
      <c r="S56" t="b">
        <v>1</v>
      </c>
      <c r="T56" t="str">
        <f>TRIM(CLEAN(Table1[[#This Row],[is_active]]))</f>
        <v>TRUE</v>
      </c>
      <c r="U5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6" s="11" t="str">
        <f>TRIM(IF(Table1[[#This Row],[is_active3]]="Unknown","TRUE",Table1[[#This Row],[is_active3]]))</f>
        <v>TRUE</v>
      </c>
      <c r="W56">
        <v>0.72</v>
      </c>
      <c r="X56">
        <f>IF(Table1[[#This Row],[client_satisfaction]]&gt;1,Table1[[#This Row],[client_satisfaction]]/100,Table1[[#This Row],[client_satisfaction]])</f>
        <v>0.72</v>
      </c>
      <c r="Y56">
        <f>IF(Table1[[#This Row],[client_satisfaction2]]=0,0.75,Table1[[#This Row],[client_satisfaction2]])</f>
        <v>0.72</v>
      </c>
    </row>
    <row r="57" spans="1:25" x14ac:dyDescent="0.25">
      <c r="A57" t="s">
        <v>193</v>
      </c>
      <c r="B57" t="s">
        <v>194</v>
      </c>
      <c r="C57" t="str">
        <f>PROPER(TRIM(SUBSTITUTE(SUBSTITUTE(SUBSTITUTE(Table1[[#This Row],[name]],"Ms. ",""),"Mr. ",""),"Mrs. ","")))</f>
        <v>Larry Simpson</v>
      </c>
      <c r="D57" t="s">
        <v>48</v>
      </c>
      <c r="E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7">
        <v>50</v>
      </c>
      <c r="G57" t="str">
        <f>TRIM(IF(Table1[[#This Row],[age]]="","Unknown",Table1[[#This Row],[age]]))</f>
        <v>50</v>
      </c>
      <c r="H57" t="s">
        <v>67</v>
      </c>
      <c r="I57" t="s">
        <v>22</v>
      </c>
      <c r="J57" t="s">
        <v>44</v>
      </c>
      <c r="K57">
        <v>15</v>
      </c>
      <c r="L57" s="10" t="str">
        <f>TRIM(IF(Table1[[#This Row],[years_of_experience]]="","Unknown",Table1[[#This Row],[years_of_experience]]))</f>
        <v>15</v>
      </c>
      <c r="N57">
        <f>IF(Table1[[#This Row],[hourly_rate (USD)]]="",MEDIAN(Table1[hourly_rate (USD)]),Table1[[#This Row],[hourly_rate (USD)]])</f>
        <v>50</v>
      </c>
      <c r="O57" t="str">
        <f>TRIM(CLEAN(Table1[[#This Row],[Updated hourly_rate (USD)]]))</f>
        <v>50</v>
      </c>
      <c r="P57" t="str">
        <f>SUBSTITUTE(SUBSTITUTE(Table1[[#This Row],[Formatted hourly rate]],"USD ",""),"$","")</f>
        <v>50</v>
      </c>
      <c r="Q57">
        <v>2</v>
      </c>
      <c r="R57">
        <f>IF(Table1[[#This Row],[rating]]="",2.6,Table1[[#This Row],[rating]])</f>
        <v>2</v>
      </c>
      <c r="S57" t="s">
        <v>68</v>
      </c>
      <c r="T57" t="str">
        <f>TRIM(CLEAN(Table1[[#This Row],[is_active]]))</f>
        <v>yes</v>
      </c>
      <c r="U5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7" s="11" t="str">
        <f>TRIM(IF(Table1[[#This Row],[is_active3]]="Unknown","TRUE",Table1[[#This Row],[is_active3]]))</f>
        <v>TRUE</v>
      </c>
      <c r="W57">
        <v>0.65</v>
      </c>
      <c r="X57">
        <f>IF(Table1[[#This Row],[client_satisfaction]]&gt;1,Table1[[#This Row],[client_satisfaction]]/100,Table1[[#This Row],[client_satisfaction]])</f>
        <v>0.65</v>
      </c>
      <c r="Y57">
        <f>IF(Table1[[#This Row],[client_satisfaction2]]=0,0.75,Table1[[#This Row],[client_satisfaction2]])</f>
        <v>0.65</v>
      </c>
    </row>
    <row r="58" spans="1:25" x14ac:dyDescent="0.25">
      <c r="A58" t="s">
        <v>195</v>
      </c>
      <c r="B58" t="s">
        <v>196</v>
      </c>
      <c r="C58" t="str">
        <f>PROPER(TRIM(SUBSTITUTE(SUBSTITUTE(SUBSTITUTE(Table1[[#This Row],[name]],"Ms. ",""),"Mr. ",""),"Mrs. ","")))</f>
        <v>Laura Price</v>
      </c>
      <c r="D58" t="s">
        <v>14</v>
      </c>
      <c r="E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8">
        <v>26</v>
      </c>
      <c r="G58" t="str">
        <f>TRIM(IF(Table1[[#This Row],[age]]="","Unknown",Table1[[#This Row],[age]]))</f>
        <v>26</v>
      </c>
      <c r="H58" t="s">
        <v>67</v>
      </c>
      <c r="I58" t="s">
        <v>22</v>
      </c>
      <c r="J58" t="s">
        <v>89</v>
      </c>
      <c r="K58">
        <v>8</v>
      </c>
      <c r="L58" s="10" t="str">
        <f>TRIM(IF(Table1[[#This Row],[years_of_experience]]="","Unknown",Table1[[#This Row],[years_of_experience]]))</f>
        <v>8</v>
      </c>
      <c r="M58">
        <v>50</v>
      </c>
      <c r="N58">
        <f>IF(Table1[[#This Row],[hourly_rate (USD)]]="",MEDIAN(Table1[hourly_rate (USD)]),Table1[[#This Row],[hourly_rate (USD)]])</f>
        <v>50</v>
      </c>
      <c r="O58" t="str">
        <f>TRIM(CLEAN(Table1[[#This Row],[Updated hourly_rate (USD)]]))</f>
        <v>50</v>
      </c>
      <c r="P58" t="str">
        <f>SUBSTITUTE(SUBSTITUTE(Table1[[#This Row],[Formatted hourly rate]],"USD ",""),"$","")</f>
        <v>50</v>
      </c>
      <c r="Q58">
        <v>1.3</v>
      </c>
      <c r="R58">
        <f>IF(Table1[[#This Row],[rating]]="",2.6,Table1[[#This Row],[rating]])</f>
        <v>1.3</v>
      </c>
      <c r="S58" t="b">
        <v>0</v>
      </c>
      <c r="T58" t="str">
        <f>TRIM(CLEAN(Table1[[#This Row],[is_active]]))</f>
        <v>FALSE</v>
      </c>
      <c r="U5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8" s="11" t="str">
        <f>TRIM(IF(Table1[[#This Row],[is_active3]]="Unknown","TRUE",Table1[[#This Row],[is_active3]]))</f>
        <v>TRUE</v>
      </c>
      <c r="W58">
        <v>0.76</v>
      </c>
      <c r="X58">
        <f>IF(Table1[[#This Row],[client_satisfaction]]&gt;1,Table1[[#This Row],[client_satisfaction]]/100,Table1[[#This Row],[client_satisfaction]])</f>
        <v>0.76</v>
      </c>
      <c r="Y58">
        <f>IF(Table1[[#This Row],[client_satisfaction2]]=0,0.75,Table1[[#This Row],[client_satisfaction2]])</f>
        <v>0.76</v>
      </c>
    </row>
    <row r="59" spans="1:25" x14ac:dyDescent="0.25">
      <c r="A59" t="s">
        <v>197</v>
      </c>
      <c r="B59" t="s">
        <v>198</v>
      </c>
      <c r="C59" t="str">
        <f>PROPER(TRIM(SUBSTITUTE(SUBSTITUTE(SUBSTITUTE(Table1[[#This Row],[name]],"Ms. ",""),"Mr. ",""),"Mrs. ","")))</f>
        <v>Mark Wright</v>
      </c>
      <c r="D59" t="s">
        <v>97</v>
      </c>
      <c r="E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9">
        <v>38</v>
      </c>
      <c r="G59" t="str">
        <f>TRIM(IF(Table1[[#This Row],[age]]="","Unknown",Table1[[#This Row],[age]]))</f>
        <v>38</v>
      </c>
      <c r="H59" t="s">
        <v>128</v>
      </c>
      <c r="I59" t="s">
        <v>22</v>
      </c>
      <c r="J59" t="s">
        <v>44</v>
      </c>
      <c r="K59">
        <v>17</v>
      </c>
      <c r="L59" s="10" t="str">
        <f>TRIM(IF(Table1[[#This Row],[years_of_experience]]="","Unknown",Table1[[#This Row],[years_of_experience]]))</f>
        <v>17</v>
      </c>
      <c r="M59" t="s">
        <v>55</v>
      </c>
      <c r="N59" t="str">
        <f>IF(Table1[[#This Row],[hourly_rate (USD)]]="",MEDIAN(Table1[hourly_rate (USD)]),Table1[[#This Row],[hourly_rate (USD)]])</f>
        <v>USD 40</v>
      </c>
      <c r="O59" t="str">
        <f>TRIM(CLEAN(Table1[[#This Row],[Updated hourly_rate (USD)]]))</f>
        <v>USD 40</v>
      </c>
      <c r="P59" t="str">
        <f>SUBSTITUTE(SUBSTITUTE(Table1[[#This Row],[Formatted hourly rate]],"USD ",""),"$","")</f>
        <v>40</v>
      </c>
      <c r="Q59">
        <v>4</v>
      </c>
      <c r="R59">
        <f>IF(Table1[[#This Row],[rating]]="",2.6,Table1[[#This Row],[rating]])</f>
        <v>4</v>
      </c>
      <c r="S59" t="b">
        <v>1</v>
      </c>
      <c r="T59" t="str">
        <f>TRIM(CLEAN(Table1[[#This Row],[is_active]]))</f>
        <v>TRUE</v>
      </c>
      <c r="U5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9" s="11" t="str">
        <f>TRIM(IF(Table1[[#This Row],[is_active3]]="Unknown","TRUE",Table1[[#This Row],[is_active3]]))</f>
        <v>TRUE</v>
      </c>
      <c r="W59">
        <v>0.9</v>
      </c>
      <c r="X59">
        <f>IF(Table1[[#This Row],[client_satisfaction]]&gt;1,Table1[[#This Row],[client_satisfaction]]/100,Table1[[#This Row],[client_satisfaction]])</f>
        <v>0.9</v>
      </c>
      <c r="Y59">
        <f>IF(Table1[[#This Row],[client_satisfaction2]]=0,0.75,Table1[[#This Row],[client_satisfaction2]])</f>
        <v>0.9</v>
      </c>
    </row>
    <row r="60" spans="1:25" x14ac:dyDescent="0.25">
      <c r="A60" t="s">
        <v>199</v>
      </c>
      <c r="B60" t="s">
        <v>200</v>
      </c>
      <c r="C60" t="str">
        <f>PROPER(TRIM(SUBSTITUTE(SUBSTITUTE(SUBSTITUTE(Table1[[#This Row],[name]],"Ms. ",""),"Mr. ",""),"Mrs. ","")))</f>
        <v>Samantha Mcdaniel</v>
      </c>
      <c r="D60" t="s">
        <v>20</v>
      </c>
      <c r="E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0">
        <v>23</v>
      </c>
      <c r="G60" t="str">
        <f>TRIM(IF(Table1[[#This Row],[age]]="","Unknown",Table1[[#This Row],[age]]))</f>
        <v>23</v>
      </c>
      <c r="H60" t="s">
        <v>93</v>
      </c>
      <c r="I60" t="s">
        <v>94</v>
      </c>
      <c r="J60" t="s">
        <v>23</v>
      </c>
      <c r="L60" s="10" t="str">
        <f>TRIM(IF(Table1[[#This Row],[years_of_experience]]="","Unknown",Table1[[#This Row],[years_of_experience]]))</f>
        <v>Unknown</v>
      </c>
      <c r="M60">
        <v>75</v>
      </c>
      <c r="N60">
        <f>IF(Table1[[#This Row],[hourly_rate (USD)]]="",MEDIAN(Table1[hourly_rate (USD)]),Table1[[#This Row],[hourly_rate (USD)]])</f>
        <v>75</v>
      </c>
      <c r="O60" t="str">
        <f>TRIM(CLEAN(Table1[[#This Row],[Updated hourly_rate (USD)]]))</f>
        <v>75</v>
      </c>
      <c r="P60" t="str">
        <f>SUBSTITUTE(SUBSTITUTE(Table1[[#This Row],[Formatted hourly rate]],"USD ",""),"$","")</f>
        <v>75</v>
      </c>
      <c r="Q60">
        <v>3.6</v>
      </c>
      <c r="R60">
        <f>IF(Table1[[#This Row],[rating]]="",2.6,Table1[[#This Row],[rating]])</f>
        <v>3.6</v>
      </c>
      <c r="S60">
        <v>1</v>
      </c>
      <c r="T60" t="str">
        <f>TRIM(CLEAN(Table1[[#This Row],[is_active]]))</f>
        <v>1</v>
      </c>
      <c r="U6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0" s="11" t="str">
        <f>TRIM(IF(Table1[[#This Row],[is_active3]]="Unknown","TRUE",Table1[[#This Row],[is_active3]]))</f>
        <v>TRUE</v>
      </c>
      <c r="W60">
        <v>0.65</v>
      </c>
      <c r="X60">
        <f>IF(Table1[[#This Row],[client_satisfaction]]&gt;1,Table1[[#This Row],[client_satisfaction]]/100,Table1[[#This Row],[client_satisfaction]])</f>
        <v>0.65</v>
      </c>
      <c r="Y60">
        <f>IF(Table1[[#This Row],[client_satisfaction2]]=0,0.75,Table1[[#This Row],[client_satisfaction2]])</f>
        <v>0.65</v>
      </c>
    </row>
    <row r="61" spans="1:25" x14ac:dyDescent="0.25">
      <c r="A61" t="s">
        <v>201</v>
      </c>
      <c r="B61" t="s">
        <v>202</v>
      </c>
      <c r="C61" t="str">
        <f>PROPER(TRIM(SUBSTITUTE(SUBSTITUTE(SUBSTITUTE(Table1[[#This Row],[name]],"Ms. ",""),"Mr. ",""),"Mrs. ","")))</f>
        <v>Barbara Foster</v>
      </c>
      <c r="D61" t="s">
        <v>77</v>
      </c>
      <c r="E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1">
        <v>51</v>
      </c>
      <c r="G61" t="str">
        <f>TRIM(IF(Table1[[#This Row],[age]]="","Unknown",Table1[[#This Row],[age]]))</f>
        <v>51</v>
      </c>
      <c r="H61" t="s">
        <v>153</v>
      </c>
      <c r="I61" t="s">
        <v>154</v>
      </c>
      <c r="J61" t="s">
        <v>89</v>
      </c>
      <c r="K61">
        <v>28</v>
      </c>
      <c r="L61" s="10" t="str">
        <f>TRIM(IF(Table1[[#This Row],[years_of_experience]]="","Unknown",Table1[[#This Row],[years_of_experience]]))</f>
        <v>28</v>
      </c>
      <c r="M61">
        <v>40</v>
      </c>
      <c r="N61">
        <f>IF(Table1[[#This Row],[hourly_rate (USD)]]="",MEDIAN(Table1[hourly_rate (USD)]),Table1[[#This Row],[hourly_rate (USD)]])</f>
        <v>40</v>
      </c>
      <c r="O61" t="str">
        <f>TRIM(CLEAN(Table1[[#This Row],[Updated hourly_rate (USD)]]))</f>
        <v>40</v>
      </c>
      <c r="P61" t="str">
        <f>SUBSTITUTE(SUBSTITUTE(Table1[[#This Row],[Formatted hourly rate]],"USD ",""),"$","")</f>
        <v>40</v>
      </c>
      <c r="Q61">
        <v>3.9</v>
      </c>
      <c r="R61">
        <f>IF(Table1[[#This Row],[rating]]="",2.6,Table1[[#This Row],[rating]])</f>
        <v>3.9</v>
      </c>
      <c r="S61">
        <v>0</v>
      </c>
      <c r="T61" t="str">
        <f>TRIM(CLEAN(Table1[[#This Row],[is_active]]))</f>
        <v>0</v>
      </c>
      <c r="U6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1" s="11" t="str">
        <f>TRIM(IF(Table1[[#This Row],[is_active3]]="Unknown","TRUE",Table1[[#This Row],[is_active3]]))</f>
        <v>FALSE</v>
      </c>
      <c r="W61">
        <v>0.63</v>
      </c>
      <c r="X61">
        <f>IF(Table1[[#This Row],[client_satisfaction]]&gt;1,Table1[[#This Row],[client_satisfaction]]/100,Table1[[#This Row],[client_satisfaction]])</f>
        <v>0.63</v>
      </c>
      <c r="Y61">
        <f>IF(Table1[[#This Row],[client_satisfaction2]]=0,0.75,Table1[[#This Row],[client_satisfaction2]])</f>
        <v>0.63</v>
      </c>
    </row>
    <row r="62" spans="1:25" x14ac:dyDescent="0.25">
      <c r="A62" t="s">
        <v>203</v>
      </c>
      <c r="B62" t="s">
        <v>204</v>
      </c>
      <c r="C62" t="str">
        <f>PROPER(TRIM(SUBSTITUTE(SUBSTITUTE(SUBSTITUTE(Table1[[#This Row],[name]],"Ms. ",""),"Mr. ",""),"Mrs. ","")))</f>
        <v>Courtney Tran</v>
      </c>
      <c r="D62" t="s">
        <v>34</v>
      </c>
      <c r="E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2">
        <v>51</v>
      </c>
      <c r="G62" t="str">
        <f>TRIM(IF(Table1[[#This Row],[age]]="","Unknown",Table1[[#This Row],[age]]))</f>
        <v>51</v>
      </c>
      <c r="H62" t="s">
        <v>49</v>
      </c>
      <c r="I62" t="s">
        <v>50</v>
      </c>
      <c r="J62" t="s">
        <v>44</v>
      </c>
      <c r="K62">
        <v>33</v>
      </c>
      <c r="L62" s="10" t="str">
        <f>TRIM(IF(Table1[[#This Row],[years_of_experience]]="","Unknown",Table1[[#This Row],[years_of_experience]]))</f>
        <v>33</v>
      </c>
      <c r="M62" t="s">
        <v>170</v>
      </c>
      <c r="N62" t="str">
        <f>IF(Table1[[#This Row],[hourly_rate (USD)]]="",MEDIAN(Table1[hourly_rate (USD)]),Table1[[#This Row],[hourly_rate (USD)]])</f>
        <v>$75</v>
      </c>
      <c r="O62" t="str">
        <f>TRIM(CLEAN(Table1[[#This Row],[Updated hourly_rate (USD)]]))</f>
        <v>$75</v>
      </c>
      <c r="P62" t="str">
        <f>SUBSTITUTE(SUBSTITUTE(Table1[[#This Row],[Formatted hourly rate]],"USD ",""),"$","")</f>
        <v>75</v>
      </c>
      <c r="Q62">
        <v>0</v>
      </c>
      <c r="R62">
        <f>IF(Table1[[#This Row],[rating]]="",2.6,Table1[[#This Row],[rating]])</f>
        <v>0</v>
      </c>
      <c r="S62" t="b">
        <v>1</v>
      </c>
      <c r="T62" t="str">
        <f>TRIM(CLEAN(Table1[[#This Row],[is_active]]))</f>
        <v>TRUE</v>
      </c>
      <c r="U6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2" s="11" t="str">
        <f>TRIM(IF(Table1[[#This Row],[is_active3]]="Unknown","TRUE",Table1[[#This Row],[is_active3]]))</f>
        <v>TRUE</v>
      </c>
      <c r="X62">
        <f>IF(Table1[[#This Row],[client_satisfaction]]&gt;1,Table1[[#This Row],[client_satisfaction]]/100,Table1[[#This Row],[client_satisfaction]])</f>
        <v>0</v>
      </c>
      <c r="Y62">
        <f>IF(Table1[[#This Row],[client_satisfaction2]]=0,0.75,Table1[[#This Row],[client_satisfaction2]])</f>
        <v>0.75</v>
      </c>
    </row>
    <row r="63" spans="1:25" x14ac:dyDescent="0.25">
      <c r="A63" t="s">
        <v>205</v>
      </c>
      <c r="B63" t="s">
        <v>206</v>
      </c>
      <c r="C63" t="str">
        <f>PROPER(TRIM(SUBSTITUTE(SUBSTITUTE(SUBSTITUTE(Table1[[#This Row],[name]],"Ms. ",""),"Mr. ",""),"Mrs. ","")))</f>
        <v>Eddie Todd</v>
      </c>
      <c r="D63" t="s">
        <v>97</v>
      </c>
      <c r="E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3">
        <v>47</v>
      </c>
      <c r="G63" t="str">
        <f>TRIM(IF(Table1[[#This Row],[age]]="","Unknown",Table1[[#This Row],[age]]))</f>
        <v>47</v>
      </c>
      <c r="H63" t="s">
        <v>28</v>
      </c>
      <c r="I63" t="s">
        <v>29</v>
      </c>
      <c r="J63" t="s">
        <v>44</v>
      </c>
      <c r="K63">
        <v>18</v>
      </c>
      <c r="L63" s="10" t="str">
        <f>TRIM(IF(Table1[[#This Row],[years_of_experience]]="","Unknown",Table1[[#This Row],[years_of_experience]]))</f>
        <v>18</v>
      </c>
      <c r="M63">
        <v>75</v>
      </c>
      <c r="N63">
        <f>IF(Table1[[#This Row],[hourly_rate (USD)]]="",MEDIAN(Table1[hourly_rate (USD)]),Table1[[#This Row],[hourly_rate (USD)]])</f>
        <v>75</v>
      </c>
      <c r="O63" t="str">
        <f>TRIM(CLEAN(Table1[[#This Row],[Updated hourly_rate (USD)]]))</f>
        <v>75</v>
      </c>
      <c r="P63" t="str">
        <f>SUBSTITUTE(SUBSTITUTE(Table1[[#This Row],[Formatted hourly rate]],"USD ",""),"$","")</f>
        <v>75</v>
      </c>
      <c r="Q63">
        <v>0</v>
      </c>
      <c r="R63">
        <f>IF(Table1[[#This Row],[rating]]="",2.6,Table1[[#This Row],[rating]])</f>
        <v>0</v>
      </c>
      <c r="S63">
        <v>0</v>
      </c>
      <c r="T63" t="str">
        <f>TRIM(CLEAN(Table1[[#This Row],[is_active]]))</f>
        <v>0</v>
      </c>
      <c r="U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3" s="11" t="str">
        <f>TRIM(IF(Table1[[#This Row],[is_active3]]="Unknown","TRUE",Table1[[#This Row],[is_active3]]))</f>
        <v>FALSE</v>
      </c>
      <c r="X63">
        <f>IF(Table1[[#This Row],[client_satisfaction]]&gt;1,Table1[[#This Row],[client_satisfaction]]/100,Table1[[#This Row],[client_satisfaction]])</f>
        <v>0</v>
      </c>
      <c r="Y63">
        <f>IF(Table1[[#This Row],[client_satisfaction2]]=0,0.75,Table1[[#This Row],[client_satisfaction2]])</f>
        <v>0.75</v>
      </c>
    </row>
    <row r="64" spans="1:25" x14ac:dyDescent="0.25">
      <c r="A64" t="s">
        <v>207</v>
      </c>
      <c r="B64" t="s">
        <v>208</v>
      </c>
      <c r="C64" t="str">
        <f>PROPER(TRIM(SUBSTITUTE(SUBSTITUTE(SUBSTITUTE(Table1[[#This Row],[name]],"Ms. ",""),"Mr. ",""),"Mrs. ","")))</f>
        <v>Christine Johnson</v>
      </c>
      <c r="D64" t="s">
        <v>77</v>
      </c>
      <c r="E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4">
        <v>34</v>
      </c>
      <c r="G64" t="str">
        <f>TRIM(IF(Table1[[#This Row],[age]]="","Unknown",Table1[[#This Row],[age]]))</f>
        <v>34</v>
      </c>
      <c r="H64" t="s">
        <v>124</v>
      </c>
      <c r="I64" t="s">
        <v>125</v>
      </c>
      <c r="J64" t="s">
        <v>73</v>
      </c>
      <c r="K64">
        <v>16</v>
      </c>
      <c r="L64" s="10" t="str">
        <f>TRIM(IF(Table1[[#This Row],[years_of_experience]]="","Unknown",Table1[[#This Row],[years_of_experience]]))</f>
        <v>16</v>
      </c>
      <c r="M64" t="s">
        <v>121</v>
      </c>
      <c r="N64" t="str">
        <f>IF(Table1[[#This Row],[hourly_rate (USD)]]="",MEDIAN(Table1[hourly_rate (USD)]),Table1[[#This Row],[hourly_rate (USD)]])</f>
        <v>$20</v>
      </c>
      <c r="O64" t="str">
        <f>TRIM(CLEAN(Table1[[#This Row],[Updated hourly_rate (USD)]]))</f>
        <v>$20</v>
      </c>
      <c r="P64" t="str">
        <f>SUBSTITUTE(SUBSTITUTE(Table1[[#This Row],[Formatted hourly rate]],"USD ",""),"$","")</f>
        <v>20</v>
      </c>
      <c r="Q64">
        <v>2.2999999999999998</v>
      </c>
      <c r="R64">
        <f>IF(Table1[[#This Row],[rating]]="",2.6,Table1[[#This Row],[rating]])</f>
        <v>2.2999999999999998</v>
      </c>
      <c r="S64" t="s">
        <v>68</v>
      </c>
      <c r="T64" t="str">
        <f>TRIM(CLEAN(Table1[[#This Row],[is_active]]))</f>
        <v>yes</v>
      </c>
      <c r="U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4" s="11" t="str">
        <f>TRIM(IF(Table1[[#This Row],[is_active3]]="Unknown","TRUE",Table1[[#This Row],[is_active3]]))</f>
        <v>TRUE</v>
      </c>
      <c r="W64">
        <v>0.93</v>
      </c>
      <c r="X64">
        <f>IF(Table1[[#This Row],[client_satisfaction]]&gt;1,Table1[[#This Row],[client_satisfaction]]/100,Table1[[#This Row],[client_satisfaction]])</f>
        <v>0.93</v>
      </c>
      <c r="Y64">
        <f>IF(Table1[[#This Row],[client_satisfaction2]]=0,0.75,Table1[[#This Row],[client_satisfaction2]])</f>
        <v>0.93</v>
      </c>
    </row>
    <row r="65" spans="1:25" x14ac:dyDescent="0.25">
      <c r="A65" t="s">
        <v>209</v>
      </c>
      <c r="B65" t="s">
        <v>210</v>
      </c>
      <c r="C65" t="str">
        <f>PROPER(TRIM(SUBSTITUTE(SUBSTITUTE(SUBSTITUTE(Table1[[#This Row],[name]],"Ms. ",""),"Mr. ",""),"Mrs. ","")))</f>
        <v>Leah Phelps</v>
      </c>
      <c r="D65" t="s">
        <v>14</v>
      </c>
      <c r="E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5">
        <v>58</v>
      </c>
      <c r="G65" t="str">
        <f>TRIM(IF(Table1[[#This Row],[age]]="","Unknown",Table1[[#This Row],[age]]))</f>
        <v>58</v>
      </c>
      <c r="H65" t="s">
        <v>49</v>
      </c>
      <c r="I65" t="s">
        <v>50</v>
      </c>
      <c r="J65" t="s">
        <v>51</v>
      </c>
      <c r="K65">
        <v>35</v>
      </c>
      <c r="L65" s="10" t="str">
        <f>TRIM(IF(Table1[[#This Row],[years_of_experience]]="","Unknown",Table1[[#This Row],[years_of_experience]]))</f>
        <v>35</v>
      </c>
      <c r="M65" t="s">
        <v>98</v>
      </c>
      <c r="N65" t="str">
        <f>IF(Table1[[#This Row],[hourly_rate (USD)]]="",MEDIAN(Table1[hourly_rate (USD)]),Table1[[#This Row],[hourly_rate (USD)]])</f>
        <v>USD 50</v>
      </c>
      <c r="O65" t="str">
        <f>TRIM(CLEAN(Table1[[#This Row],[Updated hourly_rate (USD)]]))</f>
        <v>USD 50</v>
      </c>
      <c r="P65" t="str">
        <f>SUBSTITUTE(SUBSTITUTE(Table1[[#This Row],[Formatted hourly rate]],"USD ",""),"$","")</f>
        <v>50</v>
      </c>
      <c r="Q65">
        <v>4.7</v>
      </c>
      <c r="R65">
        <f>IF(Table1[[#This Row],[rating]]="",2.6,Table1[[#This Row],[rating]])</f>
        <v>4.7</v>
      </c>
      <c r="S65" t="s">
        <v>159</v>
      </c>
      <c r="T65" t="str">
        <f>TRIM(CLEAN(Table1[[#This Row],[is_active]]))</f>
        <v>no</v>
      </c>
      <c r="U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5" s="11" t="str">
        <f>TRIM(IF(Table1[[#This Row],[is_active3]]="Unknown","TRUE",Table1[[#This Row],[is_active3]]))</f>
        <v>FALSE</v>
      </c>
      <c r="W65">
        <v>0.7</v>
      </c>
      <c r="X65">
        <f>IF(Table1[[#This Row],[client_satisfaction]]&gt;1,Table1[[#This Row],[client_satisfaction]]/100,Table1[[#This Row],[client_satisfaction]])</f>
        <v>0.7</v>
      </c>
      <c r="Y65">
        <f>IF(Table1[[#This Row],[client_satisfaction2]]=0,0.75,Table1[[#This Row],[client_satisfaction2]])</f>
        <v>0.7</v>
      </c>
    </row>
    <row r="66" spans="1:25" x14ac:dyDescent="0.25">
      <c r="A66" t="s">
        <v>211</v>
      </c>
      <c r="B66" t="s">
        <v>212</v>
      </c>
      <c r="C66" t="str">
        <f>PROPER(TRIM(SUBSTITUTE(SUBSTITUTE(SUBSTITUTE(Table1[[#This Row],[name]],"Ms. ",""),"Mr. ",""),"Mrs. ","")))</f>
        <v>Rebekah Williams</v>
      </c>
      <c r="D66" t="s">
        <v>34</v>
      </c>
      <c r="E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6">
        <v>50</v>
      </c>
      <c r="G66" t="str">
        <f>TRIM(IF(Table1[[#This Row],[age]]="","Unknown",Table1[[#This Row],[age]]))</f>
        <v>50</v>
      </c>
      <c r="H66" t="s">
        <v>124</v>
      </c>
      <c r="I66" t="s">
        <v>125</v>
      </c>
      <c r="J66" t="s">
        <v>44</v>
      </c>
      <c r="K66">
        <v>14</v>
      </c>
      <c r="L66" s="10" t="str">
        <f>TRIM(IF(Table1[[#This Row],[years_of_experience]]="","Unknown",Table1[[#This Row],[years_of_experience]]))</f>
        <v>14</v>
      </c>
      <c r="N66">
        <f>IF(Table1[[#This Row],[hourly_rate (USD)]]="",MEDIAN(Table1[hourly_rate (USD)]),Table1[[#This Row],[hourly_rate (USD)]])</f>
        <v>50</v>
      </c>
      <c r="O66" t="str">
        <f>TRIM(CLEAN(Table1[[#This Row],[Updated hourly_rate (USD)]]))</f>
        <v>50</v>
      </c>
      <c r="P66" t="str">
        <f>SUBSTITUTE(SUBSTITUTE(Table1[[#This Row],[Formatted hourly rate]],"USD ",""),"$","")</f>
        <v>50</v>
      </c>
      <c r="Q66">
        <v>3.5</v>
      </c>
      <c r="R66">
        <f>IF(Table1[[#This Row],[rating]]="",2.6,Table1[[#This Row],[rating]])</f>
        <v>3.5</v>
      </c>
      <c r="S66" t="s">
        <v>74</v>
      </c>
      <c r="T66" t="str">
        <f>TRIM(CLEAN(Table1[[#This Row],[is_active]]))</f>
        <v>Y</v>
      </c>
      <c r="U6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6" s="11" t="str">
        <f>TRIM(IF(Table1[[#This Row],[is_active3]]="Unknown","TRUE",Table1[[#This Row],[is_active3]]))</f>
        <v>TRUE</v>
      </c>
      <c r="W66">
        <v>0.83</v>
      </c>
      <c r="X66">
        <f>IF(Table1[[#This Row],[client_satisfaction]]&gt;1,Table1[[#This Row],[client_satisfaction]]/100,Table1[[#This Row],[client_satisfaction]])</f>
        <v>0.83</v>
      </c>
      <c r="Y66">
        <f>IF(Table1[[#This Row],[client_satisfaction2]]=0,0.75,Table1[[#This Row],[client_satisfaction2]])</f>
        <v>0.83</v>
      </c>
    </row>
    <row r="67" spans="1:25" x14ac:dyDescent="0.25">
      <c r="A67" t="s">
        <v>213</v>
      </c>
      <c r="B67" t="s">
        <v>214</v>
      </c>
      <c r="C67" t="str">
        <f>PROPER(TRIM(SUBSTITUTE(SUBSTITUTE(SUBSTITUTE(Table1[[#This Row],[name]],"Ms. ",""),"Mr. ",""),"Mrs. ","")))</f>
        <v>Crystal Wilson</v>
      </c>
      <c r="D67" t="s">
        <v>20</v>
      </c>
      <c r="E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7">
        <v>34</v>
      </c>
      <c r="G67" t="str">
        <f>TRIM(IF(Table1[[#This Row],[age]]="","Unknown",Table1[[#This Row],[age]]))</f>
        <v>34</v>
      </c>
      <c r="H67" t="s">
        <v>190</v>
      </c>
      <c r="I67" t="s">
        <v>72</v>
      </c>
      <c r="J67" t="s">
        <v>35</v>
      </c>
      <c r="K67">
        <v>12</v>
      </c>
      <c r="L67" s="10" t="str">
        <f>TRIM(IF(Table1[[#This Row],[years_of_experience]]="","Unknown",Table1[[#This Row],[years_of_experience]]))</f>
        <v>12</v>
      </c>
      <c r="M67">
        <v>40</v>
      </c>
      <c r="N67">
        <f>IF(Table1[[#This Row],[hourly_rate (USD)]]="",MEDIAN(Table1[hourly_rate (USD)]),Table1[[#This Row],[hourly_rate (USD)]])</f>
        <v>40</v>
      </c>
      <c r="O67" t="str">
        <f>TRIM(CLEAN(Table1[[#This Row],[Updated hourly_rate (USD)]]))</f>
        <v>40</v>
      </c>
      <c r="P67" t="str">
        <f>SUBSTITUTE(SUBSTITUTE(Table1[[#This Row],[Formatted hourly rate]],"USD ",""),"$","")</f>
        <v>40</v>
      </c>
      <c r="Q67">
        <v>2.4</v>
      </c>
      <c r="R67">
        <f>IF(Table1[[#This Row],[rating]]="",2.6,Table1[[#This Row],[rating]])</f>
        <v>2.4</v>
      </c>
      <c r="S67">
        <v>1</v>
      </c>
      <c r="T67" t="str">
        <f>TRIM(CLEAN(Table1[[#This Row],[is_active]]))</f>
        <v>1</v>
      </c>
      <c r="U6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7" s="11" t="str">
        <f>TRIM(IF(Table1[[#This Row],[is_active3]]="Unknown","TRUE",Table1[[#This Row],[is_active3]]))</f>
        <v>TRUE</v>
      </c>
      <c r="W67">
        <v>64</v>
      </c>
      <c r="X67">
        <f>IF(Table1[[#This Row],[client_satisfaction]]&gt;1,Table1[[#This Row],[client_satisfaction]]/100,Table1[[#This Row],[client_satisfaction]])</f>
        <v>0.64</v>
      </c>
      <c r="Y67">
        <f>IF(Table1[[#This Row],[client_satisfaction2]]=0,0.75,Table1[[#This Row],[client_satisfaction2]])</f>
        <v>0.64</v>
      </c>
    </row>
    <row r="68" spans="1:25" x14ac:dyDescent="0.25">
      <c r="A68" t="s">
        <v>215</v>
      </c>
      <c r="B68" t="s">
        <v>216</v>
      </c>
      <c r="C68" t="str">
        <f>PROPER(TRIM(SUBSTITUTE(SUBSTITUTE(SUBSTITUTE(Table1[[#This Row],[name]],"Ms. ",""),"Mr. ",""),"Mrs. ","")))</f>
        <v>Ashley Cordova</v>
      </c>
      <c r="D68" t="s">
        <v>77</v>
      </c>
      <c r="E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8">
        <v>45</v>
      </c>
      <c r="G68" t="str">
        <f>TRIM(IF(Table1[[#This Row],[age]]="","Unknown",Table1[[#This Row],[age]]))</f>
        <v>45</v>
      </c>
      <c r="H68" t="s">
        <v>107</v>
      </c>
      <c r="I68" t="s">
        <v>108</v>
      </c>
      <c r="J68" t="s">
        <v>44</v>
      </c>
      <c r="K68">
        <v>11</v>
      </c>
      <c r="L68" s="10" t="str">
        <f>TRIM(IF(Table1[[#This Row],[years_of_experience]]="","Unknown",Table1[[#This Row],[years_of_experience]]))</f>
        <v>11</v>
      </c>
      <c r="M68" t="s">
        <v>52</v>
      </c>
      <c r="N68" t="str">
        <f>IF(Table1[[#This Row],[hourly_rate (USD)]]="",MEDIAN(Table1[hourly_rate (USD)]),Table1[[#This Row],[hourly_rate (USD)]])</f>
        <v>USD 75</v>
      </c>
      <c r="O68" t="str">
        <f>TRIM(CLEAN(Table1[[#This Row],[Updated hourly_rate (USD)]]))</f>
        <v>USD 75</v>
      </c>
      <c r="P68" t="str">
        <f>SUBSTITUTE(SUBSTITUTE(Table1[[#This Row],[Formatted hourly rate]],"USD ",""),"$","")</f>
        <v>75</v>
      </c>
      <c r="Q68">
        <v>4</v>
      </c>
      <c r="R68">
        <f>IF(Table1[[#This Row],[rating]]="",2.6,Table1[[#This Row],[rating]])</f>
        <v>4</v>
      </c>
      <c r="S68" t="s">
        <v>31</v>
      </c>
      <c r="T68" t="str">
        <f>TRIM(CLEAN(Table1[[#This Row],[is_active]]))</f>
        <v>N</v>
      </c>
      <c r="U6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8" s="11" t="str">
        <f>TRIM(IF(Table1[[#This Row],[is_active3]]="Unknown","TRUE",Table1[[#This Row],[is_active3]]))</f>
        <v>FALSE</v>
      </c>
      <c r="W68">
        <v>1</v>
      </c>
      <c r="X68">
        <f>IF(Table1[[#This Row],[client_satisfaction]]&gt;1,Table1[[#This Row],[client_satisfaction]]/100,Table1[[#This Row],[client_satisfaction]])</f>
        <v>1</v>
      </c>
      <c r="Y68">
        <f>IF(Table1[[#This Row],[client_satisfaction2]]=0,0.75,Table1[[#This Row],[client_satisfaction2]])</f>
        <v>1</v>
      </c>
    </row>
    <row r="69" spans="1:25" x14ac:dyDescent="0.25">
      <c r="A69" t="s">
        <v>217</v>
      </c>
      <c r="B69" t="s">
        <v>218</v>
      </c>
      <c r="C69" t="str">
        <f>PROPER(TRIM(SUBSTITUTE(SUBSTITUTE(SUBSTITUTE(Table1[[#This Row],[name]],"Ms. ",""),"Mr. ",""),"Mrs. ","")))</f>
        <v>Vicki Kelly</v>
      </c>
      <c r="D69" t="s">
        <v>20</v>
      </c>
      <c r="E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9">
        <v>55</v>
      </c>
      <c r="G69" t="str">
        <f>TRIM(IF(Table1[[#This Row],[age]]="","Unknown",Table1[[#This Row],[age]]))</f>
        <v>55</v>
      </c>
      <c r="H69" t="s">
        <v>107</v>
      </c>
      <c r="I69" t="s">
        <v>108</v>
      </c>
      <c r="J69" t="s">
        <v>35</v>
      </c>
      <c r="K69">
        <v>0</v>
      </c>
      <c r="L69" s="10" t="str">
        <f>TRIM(IF(Table1[[#This Row],[years_of_experience]]="","Unknown",Table1[[#This Row],[years_of_experience]]))</f>
        <v>0</v>
      </c>
      <c r="M69" t="s">
        <v>36</v>
      </c>
      <c r="N69" t="str">
        <f>IF(Table1[[#This Row],[hourly_rate (USD)]]="",MEDIAN(Table1[hourly_rate (USD)]),Table1[[#This Row],[hourly_rate (USD)]])</f>
        <v>$40</v>
      </c>
      <c r="O69" t="str">
        <f>TRIM(CLEAN(Table1[[#This Row],[Updated hourly_rate (USD)]]))</f>
        <v>$40</v>
      </c>
      <c r="P69" t="str">
        <f>SUBSTITUTE(SUBSTITUTE(Table1[[#This Row],[Formatted hourly rate]],"USD ",""),"$","")</f>
        <v>40</v>
      </c>
      <c r="Q69">
        <v>0</v>
      </c>
      <c r="R69">
        <f>IF(Table1[[#This Row],[rating]]="",2.6,Table1[[#This Row],[rating]])</f>
        <v>0</v>
      </c>
      <c r="S69" t="b">
        <v>1</v>
      </c>
      <c r="T69" t="str">
        <f>TRIM(CLEAN(Table1[[#This Row],[is_active]]))</f>
        <v>TRUE</v>
      </c>
      <c r="U6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9" s="11" t="str">
        <f>TRIM(IF(Table1[[#This Row],[is_active3]]="Unknown","TRUE",Table1[[#This Row],[is_active3]]))</f>
        <v>TRUE</v>
      </c>
      <c r="X69">
        <f>IF(Table1[[#This Row],[client_satisfaction]]&gt;1,Table1[[#This Row],[client_satisfaction]]/100,Table1[[#This Row],[client_satisfaction]])</f>
        <v>0</v>
      </c>
      <c r="Y69">
        <f>IF(Table1[[#This Row],[client_satisfaction2]]=0,0.75,Table1[[#This Row],[client_satisfaction2]])</f>
        <v>0.75</v>
      </c>
    </row>
    <row r="70" spans="1:25" x14ac:dyDescent="0.25">
      <c r="A70" t="s">
        <v>219</v>
      </c>
      <c r="B70" t="s">
        <v>220</v>
      </c>
      <c r="C70" t="str">
        <f>PROPER(TRIM(SUBSTITUTE(SUBSTITUTE(SUBSTITUTE(Table1[[#This Row],[name]],"Ms. ",""),"Mr. ",""),"Mrs. ","")))</f>
        <v>Corey Warren</v>
      </c>
      <c r="D70" t="s">
        <v>48</v>
      </c>
      <c r="E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70" t="str">
        <f>TRIM(IF(Table1[[#This Row],[age]]="","Unknown",Table1[[#This Row],[age]]))</f>
        <v>Unknown</v>
      </c>
      <c r="H70" t="s">
        <v>71</v>
      </c>
      <c r="I70" t="s">
        <v>72</v>
      </c>
      <c r="J70" t="s">
        <v>73</v>
      </c>
      <c r="K70">
        <v>6</v>
      </c>
      <c r="L70" s="10" t="str">
        <f>TRIM(IF(Table1[[#This Row],[years_of_experience]]="","Unknown",Table1[[#This Row],[years_of_experience]]))</f>
        <v>6</v>
      </c>
      <c r="M70">
        <v>100</v>
      </c>
      <c r="N70">
        <f>IF(Table1[[#This Row],[hourly_rate (USD)]]="",MEDIAN(Table1[hourly_rate (USD)]),Table1[[#This Row],[hourly_rate (USD)]])</f>
        <v>100</v>
      </c>
      <c r="O70" t="str">
        <f>TRIM(CLEAN(Table1[[#This Row],[Updated hourly_rate (USD)]]))</f>
        <v>100</v>
      </c>
      <c r="P70" t="str">
        <f>SUBSTITUTE(SUBSTITUTE(Table1[[#This Row],[Formatted hourly rate]],"USD ",""),"$","")</f>
        <v>100</v>
      </c>
      <c r="Q70">
        <v>1.5</v>
      </c>
      <c r="R70">
        <f>IF(Table1[[#This Row],[rating]]="",2.6,Table1[[#This Row],[rating]])</f>
        <v>1.5</v>
      </c>
      <c r="S70" t="b">
        <v>0</v>
      </c>
      <c r="T70" t="str">
        <f>TRIM(CLEAN(Table1[[#This Row],[is_active]]))</f>
        <v>FALSE</v>
      </c>
      <c r="U7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0" s="11" t="str">
        <f>TRIM(IF(Table1[[#This Row],[is_active3]]="Unknown","TRUE",Table1[[#This Row],[is_active3]]))</f>
        <v>TRUE</v>
      </c>
      <c r="X70">
        <f>IF(Table1[[#This Row],[client_satisfaction]]&gt;1,Table1[[#This Row],[client_satisfaction]]/100,Table1[[#This Row],[client_satisfaction]])</f>
        <v>0</v>
      </c>
      <c r="Y70">
        <f>IF(Table1[[#This Row],[client_satisfaction2]]=0,0.75,Table1[[#This Row],[client_satisfaction2]])</f>
        <v>0.75</v>
      </c>
    </row>
    <row r="71" spans="1:25" x14ac:dyDescent="0.25">
      <c r="A71" t="s">
        <v>221</v>
      </c>
      <c r="B71" t="s">
        <v>222</v>
      </c>
      <c r="C71" t="str">
        <f>PROPER(TRIM(SUBSTITUTE(SUBSTITUTE(SUBSTITUTE(Table1[[#This Row],[name]],"Ms. ",""),"Mr. ",""),"Mrs. ","")))</f>
        <v>Gina Thompson</v>
      </c>
      <c r="D71" t="s">
        <v>20</v>
      </c>
      <c r="E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1">
        <v>60</v>
      </c>
      <c r="G71" t="str">
        <f>TRIM(IF(Table1[[#This Row],[age]]="","Unknown",Table1[[#This Row],[age]]))</f>
        <v>60</v>
      </c>
      <c r="H71" t="s">
        <v>175</v>
      </c>
      <c r="I71" t="s">
        <v>176</v>
      </c>
      <c r="J71" t="s">
        <v>73</v>
      </c>
      <c r="K71">
        <v>38</v>
      </c>
      <c r="L71" s="10" t="str">
        <f>TRIM(IF(Table1[[#This Row],[years_of_experience]]="","Unknown",Table1[[#This Row],[years_of_experience]]))</f>
        <v>38</v>
      </c>
      <c r="M71" t="s">
        <v>121</v>
      </c>
      <c r="N71" t="str">
        <f>IF(Table1[[#This Row],[hourly_rate (USD)]]="",MEDIAN(Table1[hourly_rate (USD)]),Table1[[#This Row],[hourly_rate (USD)]])</f>
        <v>$20</v>
      </c>
      <c r="O71" t="str">
        <f>TRIM(CLEAN(Table1[[#This Row],[Updated hourly_rate (USD)]]))</f>
        <v>$20</v>
      </c>
      <c r="P71" t="str">
        <f>SUBSTITUTE(SUBSTITUTE(Table1[[#This Row],[Formatted hourly rate]],"USD ",""),"$","")</f>
        <v>20</v>
      </c>
      <c r="Q71">
        <v>2</v>
      </c>
      <c r="R71">
        <f>IF(Table1[[#This Row],[rating]]="",2.6,Table1[[#This Row],[rating]])</f>
        <v>2</v>
      </c>
      <c r="S71" t="s">
        <v>159</v>
      </c>
      <c r="T71" t="str">
        <f>TRIM(CLEAN(Table1[[#This Row],[is_active]]))</f>
        <v>no</v>
      </c>
      <c r="U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1" s="11" t="str">
        <f>TRIM(IF(Table1[[#This Row],[is_active3]]="Unknown","TRUE",Table1[[#This Row],[is_active3]]))</f>
        <v>FALSE</v>
      </c>
      <c r="W71">
        <v>0.71</v>
      </c>
      <c r="X71">
        <f>IF(Table1[[#This Row],[client_satisfaction]]&gt;1,Table1[[#This Row],[client_satisfaction]]/100,Table1[[#This Row],[client_satisfaction]])</f>
        <v>0.71</v>
      </c>
      <c r="Y71">
        <f>IF(Table1[[#This Row],[client_satisfaction2]]=0,0.75,Table1[[#This Row],[client_satisfaction2]])</f>
        <v>0.71</v>
      </c>
    </row>
    <row r="72" spans="1:25" x14ac:dyDescent="0.25">
      <c r="A72" t="s">
        <v>223</v>
      </c>
      <c r="B72" t="s">
        <v>224</v>
      </c>
      <c r="C72" t="str">
        <f>PROPER(TRIM(SUBSTITUTE(SUBSTITUTE(SUBSTITUTE(Table1[[#This Row],[name]],"Ms. ",""),"Mr. ",""),"Mrs. ","")))</f>
        <v>Yvonne Berg</v>
      </c>
      <c r="D72" t="s">
        <v>14</v>
      </c>
      <c r="E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2">
        <v>33</v>
      </c>
      <c r="G72" t="str">
        <f>TRIM(IF(Table1[[#This Row],[age]]="","Unknown",Table1[[#This Row],[age]]))</f>
        <v>33</v>
      </c>
      <c r="H72" t="s">
        <v>153</v>
      </c>
      <c r="I72" t="s">
        <v>154</v>
      </c>
      <c r="J72" t="s">
        <v>23</v>
      </c>
      <c r="K72">
        <v>11</v>
      </c>
      <c r="L72" s="10" t="str">
        <f>TRIM(IF(Table1[[#This Row],[years_of_experience]]="","Unknown",Table1[[#This Row],[years_of_experience]]))</f>
        <v>11</v>
      </c>
      <c r="N72">
        <f>IF(Table1[[#This Row],[hourly_rate (USD)]]="",MEDIAN(Table1[hourly_rate (USD)]),Table1[[#This Row],[hourly_rate (USD)]])</f>
        <v>50</v>
      </c>
      <c r="O72" t="str">
        <f>TRIM(CLEAN(Table1[[#This Row],[Updated hourly_rate (USD)]]))</f>
        <v>50</v>
      </c>
      <c r="P72" t="str">
        <f>SUBSTITUTE(SUBSTITUTE(Table1[[#This Row],[Formatted hourly rate]],"USD ",""),"$","")</f>
        <v>50</v>
      </c>
      <c r="R72">
        <f>IF(Table1[[#This Row],[rating]]="",2.6,Table1[[#This Row],[rating]])</f>
        <v>2.6</v>
      </c>
      <c r="S72" t="s">
        <v>68</v>
      </c>
      <c r="T72" t="str">
        <f>TRIM(CLEAN(Table1[[#This Row],[is_active]]))</f>
        <v>yes</v>
      </c>
      <c r="U7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2" s="11" t="str">
        <f>TRIM(IF(Table1[[#This Row],[is_active3]]="Unknown","TRUE",Table1[[#This Row],[is_active3]]))</f>
        <v>TRUE</v>
      </c>
      <c r="W72">
        <v>0.84</v>
      </c>
      <c r="X72">
        <f>IF(Table1[[#This Row],[client_satisfaction]]&gt;1,Table1[[#This Row],[client_satisfaction]]/100,Table1[[#This Row],[client_satisfaction]])</f>
        <v>0.84</v>
      </c>
      <c r="Y72">
        <f>IF(Table1[[#This Row],[client_satisfaction2]]=0,0.75,Table1[[#This Row],[client_satisfaction2]])</f>
        <v>0.84</v>
      </c>
    </row>
    <row r="73" spans="1:25" x14ac:dyDescent="0.25">
      <c r="A73" t="s">
        <v>225</v>
      </c>
      <c r="B73" t="s">
        <v>226</v>
      </c>
      <c r="C73" t="str">
        <f>PROPER(TRIM(SUBSTITUTE(SUBSTITUTE(SUBSTITUTE(Table1[[#This Row],[name]],"Ms. ",""),"Mr. ",""),"Mrs. ","")))</f>
        <v>Thomas Miller</v>
      </c>
      <c r="D73" t="s">
        <v>92</v>
      </c>
      <c r="E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3">
        <v>60</v>
      </c>
      <c r="G73" t="str">
        <f>TRIM(IF(Table1[[#This Row],[age]]="","Unknown",Table1[[#This Row],[age]]))</f>
        <v>60</v>
      </c>
      <c r="H73" t="s">
        <v>15</v>
      </c>
      <c r="I73" t="s">
        <v>16</v>
      </c>
      <c r="J73" t="s">
        <v>89</v>
      </c>
      <c r="K73">
        <v>13</v>
      </c>
      <c r="L73" s="10" t="str">
        <f>TRIM(IF(Table1[[#This Row],[years_of_experience]]="","Unknown",Table1[[#This Row],[years_of_experience]]))</f>
        <v>13</v>
      </c>
      <c r="M73" t="s">
        <v>98</v>
      </c>
      <c r="N73" t="str">
        <f>IF(Table1[[#This Row],[hourly_rate (USD)]]="",MEDIAN(Table1[hourly_rate (USD)]),Table1[[#This Row],[hourly_rate (USD)]])</f>
        <v>USD 50</v>
      </c>
      <c r="O73" t="str">
        <f>TRIM(CLEAN(Table1[[#This Row],[Updated hourly_rate (USD)]]))</f>
        <v>USD 50</v>
      </c>
      <c r="P73" t="str">
        <f>SUBSTITUTE(SUBSTITUTE(Table1[[#This Row],[Formatted hourly rate]],"USD ",""),"$","")</f>
        <v>50</v>
      </c>
      <c r="Q73">
        <v>1</v>
      </c>
      <c r="R73">
        <f>IF(Table1[[#This Row],[rating]]="",2.6,Table1[[#This Row],[rating]])</f>
        <v>1</v>
      </c>
      <c r="S73" t="b">
        <v>0</v>
      </c>
      <c r="T73" t="str">
        <f>TRIM(CLEAN(Table1[[#This Row],[is_active]]))</f>
        <v>FALSE</v>
      </c>
      <c r="U7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3" s="11" t="str">
        <f>TRIM(IF(Table1[[#This Row],[is_active3]]="Unknown","TRUE",Table1[[#This Row],[is_active3]]))</f>
        <v>TRUE</v>
      </c>
      <c r="X73">
        <f>IF(Table1[[#This Row],[client_satisfaction]]&gt;1,Table1[[#This Row],[client_satisfaction]]/100,Table1[[#This Row],[client_satisfaction]])</f>
        <v>0</v>
      </c>
      <c r="Y73">
        <f>IF(Table1[[#This Row],[client_satisfaction2]]=0,0.75,Table1[[#This Row],[client_satisfaction2]])</f>
        <v>0.75</v>
      </c>
    </row>
    <row r="74" spans="1:25" x14ac:dyDescent="0.25">
      <c r="A74" t="s">
        <v>227</v>
      </c>
      <c r="B74" t="s">
        <v>228</v>
      </c>
      <c r="C74" t="str">
        <f>PROPER(TRIM(SUBSTITUTE(SUBSTITUTE(SUBSTITUTE(Table1[[#This Row],[name]],"Ms. ",""),"Mr. ",""),"Mrs. ","")))</f>
        <v>Nicholas Burton</v>
      </c>
      <c r="D74" t="s">
        <v>61</v>
      </c>
      <c r="E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4">
        <v>40</v>
      </c>
      <c r="G74" t="str">
        <f>TRIM(IF(Table1[[#This Row],[age]]="","Unknown",Table1[[#This Row],[age]]))</f>
        <v>40</v>
      </c>
      <c r="H74" t="s">
        <v>58</v>
      </c>
      <c r="I74" t="s">
        <v>22</v>
      </c>
      <c r="J74" t="s">
        <v>35</v>
      </c>
      <c r="K74">
        <v>9</v>
      </c>
      <c r="L74" s="10" t="str">
        <f>TRIM(IF(Table1[[#This Row],[years_of_experience]]="","Unknown",Table1[[#This Row],[years_of_experience]]))</f>
        <v>9</v>
      </c>
      <c r="M74" t="s">
        <v>229</v>
      </c>
      <c r="N74" t="str">
        <f>IF(Table1[[#This Row],[hourly_rate (USD)]]="",MEDIAN(Table1[hourly_rate (USD)]),Table1[[#This Row],[hourly_rate (USD)]])</f>
        <v>$100</v>
      </c>
      <c r="O74" t="str">
        <f>TRIM(CLEAN(Table1[[#This Row],[Updated hourly_rate (USD)]]))</f>
        <v>$100</v>
      </c>
      <c r="P74" t="str">
        <f>SUBSTITUTE(SUBSTITUTE(Table1[[#This Row],[Formatted hourly rate]],"USD ",""),"$","")</f>
        <v>100</v>
      </c>
      <c r="Q74">
        <v>4.5</v>
      </c>
      <c r="R74">
        <f>IF(Table1[[#This Row],[rating]]="",2.6,Table1[[#This Row],[rating]])</f>
        <v>4.5</v>
      </c>
      <c r="S74" t="s">
        <v>68</v>
      </c>
      <c r="T74" t="str">
        <f>TRIM(CLEAN(Table1[[#This Row],[is_active]]))</f>
        <v>yes</v>
      </c>
      <c r="U7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4" s="11" t="str">
        <f>TRIM(IF(Table1[[#This Row],[is_active3]]="Unknown","TRUE",Table1[[#This Row],[is_active3]]))</f>
        <v>TRUE</v>
      </c>
      <c r="W74">
        <v>0.69</v>
      </c>
      <c r="X74">
        <f>IF(Table1[[#This Row],[client_satisfaction]]&gt;1,Table1[[#This Row],[client_satisfaction]]/100,Table1[[#This Row],[client_satisfaction]])</f>
        <v>0.69</v>
      </c>
      <c r="Y74">
        <f>IF(Table1[[#This Row],[client_satisfaction2]]=0,0.75,Table1[[#This Row],[client_satisfaction2]])</f>
        <v>0.69</v>
      </c>
    </row>
    <row r="75" spans="1:25" x14ac:dyDescent="0.25">
      <c r="A75" t="s">
        <v>230</v>
      </c>
      <c r="B75" t="s">
        <v>231</v>
      </c>
      <c r="C75" t="str">
        <f>PROPER(TRIM(SUBSTITUTE(SUBSTITUTE(SUBSTITUTE(Table1[[#This Row],[name]],"Ms. ",""),"Mr. ",""),"Mrs. ","")))</f>
        <v>Jorge Riley</v>
      </c>
      <c r="D75" t="s">
        <v>97</v>
      </c>
      <c r="E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5">
        <v>59</v>
      </c>
      <c r="G75" t="str">
        <f>TRIM(IF(Table1[[#This Row],[age]]="","Unknown",Table1[[#This Row],[age]]))</f>
        <v>59</v>
      </c>
      <c r="H75" t="s">
        <v>21</v>
      </c>
      <c r="I75" t="s">
        <v>22</v>
      </c>
      <c r="J75" t="s">
        <v>17</v>
      </c>
      <c r="K75">
        <v>4</v>
      </c>
      <c r="L75" s="10" t="str">
        <f>TRIM(IF(Table1[[#This Row],[years_of_experience]]="","Unknown",Table1[[#This Row],[years_of_experience]]))</f>
        <v>4</v>
      </c>
      <c r="N75">
        <f>IF(Table1[[#This Row],[hourly_rate (USD)]]="",MEDIAN(Table1[hourly_rate (USD)]),Table1[[#This Row],[hourly_rate (USD)]])</f>
        <v>50</v>
      </c>
      <c r="O75" t="str">
        <f>TRIM(CLEAN(Table1[[#This Row],[Updated hourly_rate (USD)]]))</f>
        <v>50</v>
      </c>
      <c r="P75" t="str">
        <f>SUBSTITUTE(SUBSTITUTE(Table1[[#This Row],[Formatted hourly rate]],"USD ",""),"$","")</f>
        <v>50</v>
      </c>
      <c r="Q75">
        <v>1.9</v>
      </c>
      <c r="R75">
        <f>IF(Table1[[#This Row],[rating]]="",2.6,Table1[[#This Row],[rating]])</f>
        <v>1.9</v>
      </c>
      <c r="S75" t="b">
        <v>0</v>
      </c>
      <c r="T75" t="str">
        <f>TRIM(CLEAN(Table1[[#This Row],[is_active]]))</f>
        <v>FALSE</v>
      </c>
      <c r="U7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5" s="11" t="str">
        <f>TRIM(IF(Table1[[#This Row],[is_active3]]="Unknown","TRUE",Table1[[#This Row],[is_active3]]))</f>
        <v>TRUE</v>
      </c>
      <c r="W75">
        <v>88</v>
      </c>
      <c r="X75">
        <f>IF(Table1[[#This Row],[client_satisfaction]]&gt;1,Table1[[#This Row],[client_satisfaction]]/100,Table1[[#This Row],[client_satisfaction]])</f>
        <v>0.88</v>
      </c>
      <c r="Y75">
        <f>IF(Table1[[#This Row],[client_satisfaction2]]=0,0.75,Table1[[#This Row],[client_satisfaction2]])</f>
        <v>0.88</v>
      </c>
    </row>
    <row r="76" spans="1:25" x14ac:dyDescent="0.25">
      <c r="A76" t="s">
        <v>232</v>
      </c>
      <c r="B76" t="s">
        <v>233</v>
      </c>
      <c r="C76" t="str">
        <f>PROPER(TRIM(SUBSTITUTE(SUBSTITUTE(SUBSTITUTE(Table1[[#This Row],[name]],"Ms. ",""),"Mr. ",""),"Mrs. ","")))</f>
        <v>Melvin Harris</v>
      </c>
      <c r="D76" t="s">
        <v>92</v>
      </c>
      <c r="E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">
        <v>36</v>
      </c>
      <c r="G76" t="str">
        <f>TRIM(IF(Table1[[#This Row],[age]]="","Unknown",Table1[[#This Row],[age]]))</f>
        <v>36</v>
      </c>
      <c r="H76" t="s">
        <v>15</v>
      </c>
      <c r="I76" t="s">
        <v>16</v>
      </c>
      <c r="J76" t="s">
        <v>114</v>
      </c>
      <c r="K76">
        <v>14</v>
      </c>
      <c r="L76" s="10" t="str">
        <f>TRIM(IF(Table1[[#This Row],[years_of_experience]]="","Unknown",Table1[[#This Row],[years_of_experience]]))</f>
        <v>14</v>
      </c>
      <c r="M76" t="s">
        <v>229</v>
      </c>
      <c r="N76" t="str">
        <f>IF(Table1[[#This Row],[hourly_rate (USD)]]="",MEDIAN(Table1[hourly_rate (USD)]),Table1[[#This Row],[hourly_rate (USD)]])</f>
        <v>$100</v>
      </c>
      <c r="O76" t="str">
        <f>TRIM(CLEAN(Table1[[#This Row],[Updated hourly_rate (USD)]]))</f>
        <v>$100</v>
      </c>
      <c r="P76" t="str">
        <f>SUBSTITUTE(SUBSTITUTE(Table1[[#This Row],[Formatted hourly rate]],"USD ",""),"$","")</f>
        <v>100</v>
      </c>
      <c r="Q76">
        <v>3.7</v>
      </c>
      <c r="R76">
        <f>IF(Table1[[#This Row],[rating]]="",2.6,Table1[[#This Row],[rating]])</f>
        <v>3.7</v>
      </c>
      <c r="S76">
        <v>0</v>
      </c>
      <c r="T76" t="str">
        <f>TRIM(CLEAN(Table1[[#This Row],[is_active]]))</f>
        <v>0</v>
      </c>
      <c r="U7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6" s="11" t="str">
        <f>TRIM(IF(Table1[[#This Row],[is_active3]]="Unknown","TRUE",Table1[[#This Row],[is_active3]]))</f>
        <v>FALSE</v>
      </c>
      <c r="X76">
        <f>IF(Table1[[#This Row],[client_satisfaction]]&gt;1,Table1[[#This Row],[client_satisfaction]]/100,Table1[[#This Row],[client_satisfaction]])</f>
        <v>0</v>
      </c>
      <c r="Y76">
        <f>IF(Table1[[#This Row],[client_satisfaction2]]=0,0.75,Table1[[#This Row],[client_satisfaction2]])</f>
        <v>0.75</v>
      </c>
    </row>
    <row r="77" spans="1:25" x14ac:dyDescent="0.25">
      <c r="A77" t="s">
        <v>234</v>
      </c>
      <c r="B77" t="s">
        <v>235</v>
      </c>
      <c r="C77" t="str">
        <f>PROPER(TRIM(SUBSTITUTE(SUBSTITUTE(SUBSTITUTE(Table1[[#This Row],[name]],"Ms. ",""),"Mr. ",""),"Mrs. ","")))</f>
        <v>Jeremy Meyer</v>
      </c>
      <c r="D77" t="s">
        <v>97</v>
      </c>
      <c r="E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7">
        <v>32</v>
      </c>
      <c r="G77" t="str">
        <f>TRIM(IF(Table1[[#This Row],[age]]="","Unknown",Table1[[#This Row],[age]]))</f>
        <v>32</v>
      </c>
      <c r="H77" t="s">
        <v>93</v>
      </c>
      <c r="I77" t="s">
        <v>94</v>
      </c>
      <c r="J77" t="s">
        <v>51</v>
      </c>
      <c r="L77" s="10" t="str">
        <f>TRIM(IF(Table1[[#This Row],[years_of_experience]]="","Unknown",Table1[[#This Row],[years_of_experience]]))</f>
        <v>Unknown</v>
      </c>
      <c r="M77">
        <v>30</v>
      </c>
      <c r="N77">
        <f>IF(Table1[[#This Row],[hourly_rate (USD)]]="",MEDIAN(Table1[hourly_rate (USD)]),Table1[[#This Row],[hourly_rate (USD)]])</f>
        <v>30</v>
      </c>
      <c r="O77" t="str">
        <f>TRIM(CLEAN(Table1[[#This Row],[Updated hourly_rate (USD)]]))</f>
        <v>30</v>
      </c>
      <c r="P77" t="str">
        <f>SUBSTITUTE(SUBSTITUTE(Table1[[#This Row],[Formatted hourly rate]],"USD ",""),"$","")</f>
        <v>30</v>
      </c>
      <c r="Q77">
        <v>1.9</v>
      </c>
      <c r="R77">
        <f>IF(Table1[[#This Row],[rating]]="",2.6,Table1[[#This Row],[rating]])</f>
        <v>1.9</v>
      </c>
      <c r="S77" t="b">
        <v>1</v>
      </c>
      <c r="T77" t="str">
        <f>TRIM(CLEAN(Table1[[#This Row],[is_active]]))</f>
        <v>TRUE</v>
      </c>
      <c r="U7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7" s="11" t="str">
        <f>TRIM(IF(Table1[[#This Row],[is_active3]]="Unknown","TRUE",Table1[[#This Row],[is_active3]]))</f>
        <v>TRUE</v>
      </c>
      <c r="W77">
        <v>0.96</v>
      </c>
      <c r="X77">
        <f>IF(Table1[[#This Row],[client_satisfaction]]&gt;1,Table1[[#This Row],[client_satisfaction]]/100,Table1[[#This Row],[client_satisfaction]])</f>
        <v>0.96</v>
      </c>
      <c r="Y77">
        <f>IF(Table1[[#This Row],[client_satisfaction2]]=0,0.75,Table1[[#This Row],[client_satisfaction2]])</f>
        <v>0.96</v>
      </c>
    </row>
    <row r="78" spans="1:25" x14ac:dyDescent="0.25">
      <c r="A78" t="s">
        <v>236</v>
      </c>
      <c r="B78" t="s">
        <v>237</v>
      </c>
      <c r="C78" t="str">
        <f>PROPER(TRIM(SUBSTITUTE(SUBSTITUTE(SUBSTITUTE(Table1[[#This Row],[name]],"Ms. ",""),"Mr. ",""),"Mrs. ","")))</f>
        <v>Timothy Lee</v>
      </c>
      <c r="D78" t="s">
        <v>27</v>
      </c>
      <c r="E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8">
        <v>59</v>
      </c>
      <c r="G78" t="str">
        <f>TRIM(IF(Table1[[#This Row],[age]]="","Unknown",Table1[[#This Row],[age]]))</f>
        <v>59</v>
      </c>
      <c r="H78" t="s">
        <v>21</v>
      </c>
      <c r="I78" t="s">
        <v>22</v>
      </c>
      <c r="J78" t="s">
        <v>44</v>
      </c>
      <c r="K78">
        <v>9</v>
      </c>
      <c r="L78" s="10" t="str">
        <f>TRIM(IF(Table1[[#This Row],[years_of_experience]]="","Unknown",Table1[[#This Row],[years_of_experience]]))</f>
        <v>9</v>
      </c>
      <c r="M78" t="s">
        <v>52</v>
      </c>
      <c r="N78" t="str">
        <f>IF(Table1[[#This Row],[hourly_rate (USD)]]="",MEDIAN(Table1[hourly_rate (USD)]),Table1[[#This Row],[hourly_rate (USD)]])</f>
        <v>USD 75</v>
      </c>
      <c r="O78" t="str">
        <f>TRIM(CLEAN(Table1[[#This Row],[Updated hourly_rate (USD)]]))</f>
        <v>USD 75</v>
      </c>
      <c r="P78" t="str">
        <f>SUBSTITUTE(SUBSTITUTE(Table1[[#This Row],[Formatted hourly rate]],"USD ",""),"$","")</f>
        <v>75</v>
      </c>
      <c r="Q78">
        <v>4</v>
      </c>
      <c r="R78">
        <f>IF(Table1[[#This Row],[rating]]="",2.6,Table1[[#This Row],[rating]])</f>
        <v>4</v>
      </c>
      <c r="S78">
        <v>1</v>
      </c>
      <c r="T78" t="str">
        <f>TRIM(CLEAN(Table1[[#This Row],[is_active]]))</f>
        <v>1</v>
      </c>
      <c r="U7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8" s="11" t="str">
        <f>TRIM(IF(Table1[[#This Row],[is_active3]]="Unknown","TRUE",Table1[[#This Row],[is_active3]]))</f>
        <v>TRUE</v>
      </c>
      <c r="W78">
        <v>96</v>
      </c>
      <c r="X78">
        <f>IF(Table1[[#This Row],[client_satisfaction]]&gt;1,Table1[[#This Row],[client_satisfaction]]/100,Table1[[#This Row],[client_satisfaction]])</f>
        <v>0.96</v>
      </c>
      <c r="Y78">
        <f>IF(Table1[[#This Row],[client_satisfaction2]]=0,0.75,Table1[[#This Row],[client_satisfaction2]])</f>
        <v>0.96</v>
      </c>
    </row>
    <row r="79" spans="1:25" x14ac:dyDescent="0.25">
      <c r="A79" t="s">
        <v>238</v>
      </c>
      <c r="B79" t="s">
        <v>239</v>
      </c>
      <c r="C79" t="str">
        <f>PROPER(TRIM(SUBSTITUTE(SUBSTITUTE(SUBSTITUTE(Table1[[#This Row],[name]],"Ms. ",""),"Mr. ",""),"Mrs. ","")))</f>
        <v>Diana Bautista</v>
      </c>
      <c r="D79" t="s">
        <v>34</v>
      </c>
      <c r="E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9">
        <v>54</v>
      </c>
      <c r="G79" t="str">
        <f>TRIM(IF(Table1[[#This Row],[age]]="","Unknown",Table1[[#This Row],[age]]))</f>
        <v>54</v>
      </c>
      <c r="H79" t="s">
        <v>190</v>
      </c>
      <c r="I79" t="s">
        <v>72</v>
      </c>
      <c r="J79" t="s">
        <v>89</v>
      </c>
      <c r="K79">
        <v>32</v>
      </c>
      <c r="L79" s="10" t="str">
        <f>TRIM(IF(Table1[[#This Row],[years_of_experience]]="","Unknown",Table1[[#This Row],[years_of_experience]]))</f>
        <v>32</v>
      </c>
      <c r="M79" t="s">
        <v>55</v>
      </c>
      <c r="N79" t="str">
        <f>IF(Table1[[#This Row],[hourly_rate (USD)]]="",MEDIAN(Table1[hourly_rate (USD)]),Table1[[#This Row],[hourly_rate (USD)]])</f>
        <v>USD 40</v>
      </c>
      <c r="O79" t="str">
        <f>TRIM(CLEAN(Table1[[#This Row],[Updated hourly_rate (USD)]]))</f>
        <v>USD 40</v>
      </c>
      <c r="P79" t="str">
        <f>SUBSTITUTE(SUBSTITUTE(Table1[[#This Row],[Formatted hourly rate]],"USD ",""),"$","")</f>
        <v>40</v>
      </c>
      <c r="Q79">
        <v>1.8</v>
      </c>
      <c r="R79">
        <f>IF(Table1[[#This Row],[rating]]="",2.6,Table1[[#This Row],[rating]])</f>
        <v>1.8</v>
      </c>
      <c r="S79" t="s">
        <v>31</v>
      </c>
      <c r="T79" t="str">
        <f>TRIM(CLEAN(Table1[[#This Row],[is_active]]))</f>
        <v>N</v>
      </c>
      <c r="U7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9" s="11" t="str">
        <f>TRIM(IF(Table1[[#This Row],[is_active3]]="Unknown","TRUE",Table1[[#This Row],[is_active3]]))</f>
        <v>FALSE</v>
      </c>
      <c r="X79">
        <f>IF(Table1[[#This Row],[client_satisfaction]]&gt;1,Table1[[#This Row],[client_satisfaction]]/100,Table1[[#This Row],[client_satisfaction]])</f>
        <v>0</v>
      </c>
      <c r="Y79">
        <f>IF(Table1[[#This Row],[client_satisfaction2]]=0,0.75,Table1[[#This Row],[client_satisfaction2]])</f>
        <v>0.75</v>
      </c>
    </row>
    <row r="80" spans="1:25" x14ac:dyDescent="0.25">
      <c r="A80" t="s">
        <v>240</v>
      </c>
      <c r="B80" t="s">
        <v>241</v>
      </c>
      <c r="C80" t="str">
        <f>PROPER(TRIM(SUBSTITUTE(SUBSTITUTE(SUBSTITUTE(Table1[[#This Row],[name]],"Ms. ",""),"Mr. ",""),"Mrs. ","")))</f>
        <v>Leslie Rodriguez</v>
      </c>
      <c r="D80" t="s">
        <v>14</v>
      </c>
      <c r="E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0">
        <v>37</v>
      </c>
      <c r="G80" t="str">
        <f>TRIM(IF(Table1[[#This Row],[age]]="","Unknown",Table1[[#This Row],[age]]))</f>
        <v>37</v>
      </c>
      <c r="H80" t="s">
        <v>128</v>
      </c>
      <c r="I80" t="s">
        <v>22</v>
      </c>
      <c r="J80" t="s">
        <v>30</v>
      </c>
      <c r="K80">
        <v>9</v>
      </c>
      <c r="L80" s="10" t="str">
        <f>TRIM(IF(Table1[[#This Row],[years_of_experience]]="","Unknown",Table1[[#This Row],[years_of_experience]]))</f>
        <v>9</v>
      </c>
      <c r="N80">
        <f>IF(Table1[[#This Row],[hourly_rate (USD)]]="",MEDIAN(Table1[hourly_rate (USD)]),Table1[[#This Row],[hourly_rate (USD)]])</f>
        <v>50</v>
      </c>
      <c r="O80" t="str">
        <f>TRIM(CLEAN(Table1[[#This Row],[Updated hourly_rate (USD)]]))</f>
        <v>50</v>
      </c>
      <c r="P80" t="str">
        <f>SUBSTITUTE(SUBSTITUTE(Table1[[#This Row],[Formatted hourly rate]],"USD ",""),"$","")</f>
        <v>50</v>
      </c>
      <c r="Q80">
        <v>0</v>
      </c>
      <c r="R80">
        <f>IF(Table1[[#This Row],[rating]]="",2.6,Table1[[#This Row],[rating]])</f>
        <v>0</v>
      </c>
      <c r="S80">
        <v>1</v>
      </c>
      <c r="T80" t="str">
        <f>TRIM(CLEAN(Table1[[#This Row],[is_active]]))</f>
        <v>1</v>
      </c>
      <c r="U8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0" s="11" t="str">
        <f>TRIM(IF(Table1[[#This Row],[is_active3]]="Unknown","TRUE",Table1[[#This Row],[is_active3]]))</f>
        <v>TRUE</v>
      </c>
      <c r="W80">
        <v>0.89</v>
      </c>
      <c r="X80">
        <f>IF(Table1[[#This Row],[client_satisfaction]]&gt;1,Table1[[#This Row],[client_satisfaction]]/100,Table1[[#This Row],[client_satisfaction]])</f>
        <v>0.89</v>
      </c>
      <c r="Y80">
        <f>IF(Table1[[#This Row],[client_satisfaction2]]=0,0.75,Table1[[#This Row],[client_satisfaction2]])</f>
        <v>0.89</v>
      </c>
    </row>
    <row r="81" spans="1:25" x14ac:dyDescent="0.25">
      <c r="A81" t="s">
        <v>242</v>
      </c>
      <c r="B81" t="s">
        <v>243</v>
      </c>
      <c r="C81" t="str">
        <f>PROPER(TRIM(SUBSTITUTE(SUBSTITUTE(SUBSTITUTE(Table1[[#This Row],[name]],"Ms. ",""),"Mr. ",""),"Mrs. ","")))</f>
        <v>Noah Wiggins</v>
      </c>
      <c r="D81" t="s">
        <v>61</v>
      </c>
      <c r="E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1">
        <v>54</v>
      </c>
      <c r="G81" t="str">
        <f>TRIM(IF(Table1[[#This Row],[age]]="","Unknown",Table1[[#This Row],[age]]))</f>
        <v>54</v>
      </c>
      <c r="H81" t="s">
        <v>93</v>
      </c>
      <c r="I81" t="s">
        <v>94</v>
      </c>
      <c r="J81" t="s">
        <v>114</v>
      </c>
      <c r="K81">
        <v>21</v>
      </c>
      <c r="L81" s="10" t="str">
        <f>TRIM(IF(Table1[[#This Row],[years_of_experience]]="","Unknown",Table1[[#This Row],[years_of_experience]]))</f>
        <v>21</v>
      </c>
      <c r="M81" t="s">
        <v>229</v>
      </c>
      <c r="N81" t="str">
        <f>IF(Table1[[#This Row],[hourly_rate (USD)]]="",MEDIAN(Table1[hourly_rate (USD)]),Table1[[#This Row],[hourly_rate (USD)]])</f>
        <v>$100</v>
      </c>
      <c r="O81" t="str">
        <f>TRIM(CLEAN(Table1[[#This Row],[Updated hourly_rate (USD)]]))</f>
        <v>$100</v>
      </c>
      <c r="P81" t="str">
        <f>SUBSTITUTE(SUBSTITUTE(Table1[[#This Row],[Formatted hourly rate]],"USD ",""),"$","")</f>
        <v>100</v>
      </c>
      <c r="Q81">
        <v>4.5999999999999996</v>
      </c>
      <c r="R81">
        <f>IF(Table1[[#This Row],[rating]]="",2.6,Table1[[#This Row],[rating]])</f>
        <v>4.5999999999999996</v>
      </c>
      <c r="S81" t="b">
        <v>0</v>
      </c>
      <c r="T81" t="str">
        <f>TRIM(CLEAN(Table1[[#This Row],[is_active]]))</f>
        <v>FALSE</v>
      </c>
      <c r="U8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1" s="11" t="str">
        <f>TRIM(IF(Table1[[#This Row],[is_active3]]="Unknown","TRUE",Table1[[#This Row],[is_active3]]))</f>
        <v>TRUE</v>
      </c>
      <c r="X81">
        <f>IF(Table1[[#This Row],[client_satisfaction]]&gt;1,Table1[[#This Row],[client_satisfaction]]/100,Table1[[#This Row],[client_satisfaction]])</f>
        <v>0</v>
      </c>
      <c r="Y81">
        <f>IF(Table1[[#This Row],[client_satisfaction2]]=0,0.75,Table1[[#This Row],[client_satisfaction2]])</f>
        <v>0.75</v>
      </c>
    </row>
    <row r="82" spans="1:25" x14ac:dyDescent="0.25">
      <c r="A82" t="s">
        <v>244</v>
      </c>
      <c r="B82" t="s">
        <v>245</v>
      </c>
      <c r="C82" t="str">
        <f>PROPER(TRIM(SUBSTITUTE(SUBSTITUTE(SUBSTITUTE(Table1[[#This Row],[name]],"Ms. ",""),"Mr. ",""),"Mrs. ","")))</f>
        <v>Bridget Williams</v>
      </c>
      <c r="D82" t="s">
        <v>77</v>
      </c>
      <c r="E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2">
        <v>33</v>
      </c>
      <c r="G82" t="str">
        <f>TRIM(IF(Table1[[#This Row],[age]]="","Unknown",Table1[[#This Row],[age]]))</f>
        <v>33</v>
      </c>
      <c r="H82" t="s">
        <v>71</v>
      </c>
      <c r="I82" t="s">
        <v>72</v>
      </c>
      <c r="J82" t="s">
        <v>73</v>
      </c>
      <c r="K82">
        <v>12</v>
      </c>
      <c r="L82" s="10" t="str">
        <f>TRIM(IF(Table1[[#This Row],[years_of_experience]]="","Unknown",Table1[[#This Row],[years_of_experience]]))</f>
        <v>12</v>
      </c>
      <c r="M82">
        <v>100</v>
      </c>
      <c r="N82">
        <f>IF(Table1[[#This Row],[hourly_rate (USD)]]="",MEDIAN(Table1[hourly_rate (USD)]),Table1[[#This Row],[hourly_rate (USD)]])</f>
        <v>100</v>
      </c>
      <c r="O82" t="str">
        <f>TRIM(CLEAN(Table1[[#This Row],[Updated hourly_rate (USD)]]))</f>
        <v>100</v>
      </c>
      <c r="P82" t="str">
        <f>SUBSTITUTE(SUBSTITUTE(Table1[[#This Row],[Formatted hourly rate]],"USD ",""),"$","")</f>
        <v>100</v>
      </c>
      <c r="Q82">
        <v>3.6</v>
      </c>
      <c r="R82">
        <f>IF(Table1[[#This Row],[rating]]="",2.6,Table1[[#This Row],[rating]])</f>
        <v>3.6</v>
      </c>
      <c r="S82">
        <v>0</v>
      </c>
      <c r="T82" t="str">
        <f>TRIM(CLEAN(Table1[[#This Row],[is_active]]))</f>
        <v>0</v>
      </c>
      <c r="U8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2" s="11" t="str">
        <f>TRIM(IF(Table1[[#This Row],[is_active3]]="Unknown","TRUE",Table1[[#This Row],[is_active3]]))</f>
        <v>FALSE</v>
      </c>
      <c r="W82">
        <v>0.63</v>
      </c>
      <c r="X82">
        <f>IF(Table1[[#This Row],[client_satisfaction]]&gt;1,Table1[[#This Row],[client_satisfaction]]/100,Table1[[#This Row],[client_satisfaction]])</f>
        <v>0.63</v>
      </c>
      <c r="Y82">
        <f>IF(Table1[[#This Row],[client_satisfaction2]]=0,0.75,Table1[[#This Row],[client_satisfaction2]])</f>
        <v>0.63</v>
      </c>
    </row>
    <row r="83" spans="1:25" x14ac:dyDescent="0.25">
      <c r="A83" t="s">
        <v>246</v>
      </c>
      <c r="B83" t="s">
        <v>247</v>
      </c>
      <c r="C83" t="str">
        <f>PROPER(TRIM(SUBSTITUTE(SUBSTITUTE(SUBSTITUTE(Table1[[#This Row],[name]],"Ms. ",""),"Mr. ",""),"Mrs. ","")))</f>
        <v>Veronica Baker</v>
      </c>
      <c r="D83" t="s">
        <v>14</v>
      </c>
      <c r="E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3">
        <v>25</v>
      </c>
      <c r="G83" t="str">
        <f>TRIM(IF(Table1[[#This Row],[age]]="","Unknown",Table1[[#This Row],[age]]))</f>
        <v>25</v>
      </c>
      <c r="H83" t="s">
        <v>139</v>
      </c>
      <c r="I83" t="s">
        <v>140</v>
      </c>
      <c r="J83" t="s">
        <v>35</v>
      </c>
      <c r="K83">
        <v>7</v>
      </c>
      <c r="L83" s="10" t="str">
        <f>TRIM(IF(Table1[[#This Row],[years_of_experience]]="","Unknown",Table1[[#This Row],[years_of_experience]]))</f>
        <v>7</v>
      </c>
      <c r="M83" t="s">
        <v>55</v>
      </c>
      <c r="N83" t="str">
        <f>IF(Table1[[#This Row],[hourly_rate (USD)]]="",MEDIAN(Table1[hourly_rate (USD)]),Table1[[#This Row],[hourly_rate (USD)]])</f>
        <v>USD 40</v>
      </c>
      <c r="O83" t="str">
        <f>TRIM(CLEAN(Table1[[#This Row],[Updated hourly_rate (USD)]]))</f>
        <v>USD 40</v>
      </c>
      <c r="P83" t="str">
        <f>SUBSTITUTE(SUBSTITUTE(Table1[[#This Row],[Formatted hourly rate]],"USD ",""),"$","")</f>
        <v>40</v>
      </c>
      <c r="Q83">
        <v>4.4000000000000004</v>
      </c>
      <c r="R83">
        <f>IF(Table1[[#This Row],[rating]]="",2.6,Table1[[#This Row],[rating]])</f>
        <v>4.4000000000000004</v>
      </c>
      <c r="T83" t="str">
        <f>TRIM(CLEAN(Table1[[#This Row],[is_active]]))</f>
        <v/>
      </c>
      <c r="U8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3" s="11" t="str">
        <f>TRIM(IF(Table1[[#This Row],[is_active3]]="Unknown","TRUE",Table1[[#This Row],[is_active3]]))</f>
        <v>TRUE</v>
      </c>
      <c r="W83">
        <v>81</v>
      </c>
      <c r="X83">
        <f>IF(Table1[[#This Row],[client_satisfaction]]&gt;1,Table1[[#This Row],[client_satisfaction]]/100,Table1[[#This Row],[client_satisfaction]])</f>
        <v>0.81</v>
      </c>
      <c r="Y83">
        <f>IF(Table1[[#This Row],[client_satisfaction2]]=0,0.75,Table1[[#This Row],[client_satisfaction2]])</f>
        <v>0.81</v>
      </c>
    </row>
    <row r="84" spans="1:25" x14ac:dyDescent="0.25">
      <c r="A84" t="s">
        <v>248</v>
      </c>
      <c r="B84" t="s">
        <v>249</v>
      </c>
      <c r="C84" t="str">
        <f>PROPER(TRIM(SUBSTITUTE(SUBSTITUTE(SUBSTITUTE(Table1[[#This Row],[name]],"Ms. ",""),"Mr. ",""),"Mrs. ","")))</f>
        <v>Andrew Avila</v>
      </c>
      <c r="D84" t="s">
        <v>97</v>
      </c>
      <c r="E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84" t="str">
        <f>TRIM(IF(Table1[[#This Row],[age]]="","Unknown",Table1[[#This Row],[age]]))</f>
        <v>Unknown</v>
      </c>
      <c r="H84" t="s">
        <v>175</v>
      </c>
      <c r="I84" t="s">
        <v>176</v>
      </c>
      <c r="J84" t="s">
        <v>89</v>
      </c>
      <c r="K84">
        <v>3</v>
      </c>
      <c r="L84" s="10" t="str">
        <f>TRIM(IF(Table1[[#This Row],[years_of_experience]]="","Unknown",Table1[[#This Row],[years_of_experience]]))</f>
        <v>3</v>
      </c>
      <c r="M84">
        <v>40</v>
      </c>
      <c r="N84">
        <f>IF(Table1[[#This Row],[hourly_rate (USD)]]="",MEDIAN(Table1[hourly_rate (USD)]),Table1[[#This Row],[hourly_rate (USD)]])</f>
        <v>40</v>
      </c>
      <c r="O84" t="str">
        <f>TRIM(CLEAN(Table1[[#This Row],[Updated hourly_rate (USD)]]))</f>
        <v>40</v>
      </c>
      <c r="P84" t="str">
        <f>SUBSTITUTE(SUBSTITUTE(Table1[[#This Row],[Formatted hourly rate]],"USD ",""),"$","")</f>
        <v>40</v>
      </c>
      <c r="Q84">
        <v>4.5999999999999996</v>
      </c>
      <c r="R84">
        <f>IF(Table1[[#This Row],[rating]]="",2.6,Table1[[#This Row],[rating]])</f>
        <v>4.5999999999999996</v>
      </c>
      <c r="S84" t="s">
        <v>31</v>
      </c>
      <c r="T84" t="str">
        <f>TRIM(CLEAN(Table1[[#This Row],[is_active]]))</f>
        <v>N</v>
      </c>
      <c r="U8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4" s="11" t="str">
        <f>TRIM(IF(Table1[[#This Row],[is_active3]]="Unknown","TRUE",Table1[[#This Row],[is_active3]]))</f>
        <v>FALSE</v>
      </c>
      <c r="W84">
        <v>0.74</v>
      </c>
      <c r="X84">
        <f>IF(Table1[[#This Row],[client_satisfaction]]&gt;1,Table1[[#This Row],[client_satisfaction]]/100,Table1[[#This Row],[client_satisfaction]])</f>
        <v>0.74</v>
      </c>
      <c r="Y84">
        <f>IF(Table1[[#This Row],[client_satisfaction2]]=0,0.75,Table1[[#This Row],[client_satisfaction2]])</f>
        <v>0.74</v>
      </c>
    </row>
    <row r="85" spans="1:25" x14ac:dyDescent="0.25">
      <c r="A85" t="s">
        <v>250</v>
      </c>
      <c r="B85" t="s">
        <v>251</v>
      </c>
      <c r="C85" t="str">
        <f>PROPER(TRIM(SUBSTITUTE(SUBSTITUTE(SUBSTITUTE(Table1[[#This Row],[name]],"Ms. ",""),"Mr. ",""),"Mrs. ","")))</f>
        <v>Michael Roberson</v>
      </c>
      <c r="D85" t="s">
        <v>27</v>
      </c>
      <c r="E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5">
        <v>35</v>
      </c>
      <c r="G85" t="str">
        <f>TRIM(IF(Table1[[#This Row],[age]]="","Unknown",Table1[[#This Row],[age]]))</f>
        <v>35</v>
      </c>
      <c r="H85" t="s">
        <v>112</v>
      </c>
      <c r="I85" t="s">
        <v>113</v>
      </c>
      <c r="J85" t="s">
        <v>35</v>
      </c>
      <c r="K85">
        <v>5</v>
      </c>
      <c r="L85" s="10" t="str">
        <f>TRIM(IF(Table1[[#This Row],[years_of_experience]]="","Unknown",Table1[[#This Row],[years_of_experience]]))</f>
        <v>5</v>
      </c>
      <c r="M85" t="s">
        <v>170</v>
      </c>
      <c r="N85" t="str">
        <f>IF(Table1[[#This Row],[hourly_rate (USD)]]="",MEDIAN(Table1[hourly_rate (USD)]),Table1[[#This Row],[hourly_rate (USD)]])</f>
        <v>$75</v>
      </c>
      <c r="O85" t="str">
        <f>TRIM(CLEAN(Table1[[#This Row],[Updated hourly_rate (USD)]]))</f>
        <v>$75</v>
      </c>
      <c r="P85" t="str">
        <f>SUBSTITUTE(SUBSTITUTE(Table1[[#This Row],[Formatted hourly rate]],"USD ",""),"$","")</f>
        <v>75</v>
      </c>
      <c r="Q85">
        <v>3.2</v>
      </c>
      <c r="R85">
        <f>IF(Table1[[#This Row],[rating]]="",2.6,Table1[[#This Row],[rating]])</f>
        <v>3.2</v>
      </c>
      <c r="S85" t="b">
        <v>0</v>
      </c>
      <c r="T85" t="str">
        <f>TRIM(CLEAN(Table1[[#This Row],[is_active]]))</f>
        <v>FALSE</v>
      </c>
      <c r="U8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5" s="11" t="str">
        <f>TRIM(IF(Table1[[#This Row],[is_active3]]="Unknown","TRUE",Table1[[#This Row],[is_active3]]))</f>
        <v>TRUE</v>
      </c>
      <c r="W85">
        <v>0.72</v>
      </c>
      <c r="X85">
        <f>IF(Table1[[#This Row],[client_satisfaction]]&gt;1,Table1[[#This Row],[client_satisfaction]]/100,Table1[[#This Row],[client_satisfaction]])</f>
        <v>0.72</v>
      </c>
      <c r="Y85">
        <f>IF(Table1[[#This Row],[client_satisfaction2]]=0,0.75,Table1[[#This Row],[client_satisfaction2]])</f>
        <v>0.72</v>
      </c>
    </row>
    <row r="86" spans="1:25" x14ac:dyDescent="0.25">
      <c r="A86" t="s">
        <v>252</v>
      </c>
      <c r="B86" t="s">
        <v>253</v>
      </c>
      <c r="C86" t="str">
        <f>PROPER(TRIM(SUBSTITUTE(SUBSTITUTE(SUBSTITUTE(Table1[[#This Row],[name]],"Ms. ",""),"Mr. ",""),"Mrs. ","")))</f>
        <v>Austin Jenkins</v>
      </c>
      <c r="D86" t="s">
        <v>97</v>
      </c>
      <c r="E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6">
        <v>59</v>
      </c>
      <c r="G86" t="str">
        <f>TRIM(IF(Table1[[#This Row],[age]]="","Unknown",Table1[[#This Row],[age]]))</f>
        <v>59</v>
      </c>
      <c r="H86" t="s">
        <v>112</v>
      </c>
      <c r="I86" t="s">
        <v>113</v>
      </c>
      <c r="J86" t="s">
        <v>44</v>
      </c>
      <c r="K86">
        <v>30</v>
      </c>
      <c r="L86" s="10" t="str">
        <f>TRIM(IF(Table1[[#This Row],[years_of_experience]]="","Unknown",Table1[[#This Row],[years_of_experience]]))</f>
        <v>30</v>
      </c>
      <c r="M86" t="s">
        <v>36</v>
      </c>
      <c r="N86" t="str">
        <f>IF(Table1[[#This Row],[hourly_rate (USD)]]="",MEDIAN(Table1[hourly_rate (USD)]),Table1[[#This Row],[hourly_rate (USD)]])</f>
        <v>$40</v>
      </c>
      <c r="O86" t="str">
        <f>TRIM(CLEAN(Table1[[#This Row],[Updated hourly_rate (USD)]]))</f>
        <v>$40</v>
      </c>
      <c r="P86" t="str">
        <f>SUBSTITUTE(SUBSTITUTE(Table1[[#This Row],[Formatted hourly rate]],"USD ",""),"$","")</f>
        <v>40</v>
      </c>
      <c r="Q86">
        <v>0</v>
      </c>
      <c r="R86">
        <f>IF(Table1[[#This Row],[rating]]="",2.6,Table1[[#This Row],[rating]])</f>
        <v>0</v>
      </c>
      <c r="S86" t="b">
        <v>1</v>
      </c>
      <c r="T86" t="str">
        <f>TRIM(CLEAN(Table1[[#This Row],[is_active]]))</f>
        <v>TRUE</v>
      </c>
      <c r="U8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6" s="11" t="str">
        <f>TRIM(IF(Table1[[#This Row],[is_active3]]="Unknown","TRUE",Table1[[#This Row],[is_active3]]))</f>
        <v>TRUE</v>
      </c>
      <c r="X86">
        <f>IF(Table1[[#This Row],[client_satisfaction]]&gt;1,Table1[[#This Row],[client_satisfaction]]/100,Table1[[#This Row],[client_satisfaction]])</f>
        <v>0</v>
      </c>
      <c r="Y86">
        <f>IF(Table1[[#This Row],[client_satisfaction2]]=0,0.75,Table1[[#This Row],[client_satisfaction2]])</f>
        <v>0.75</v>
      </c>
    </row>
    <row r="87" spans="1:25" x14ac:dyDescent="0.25">
      <c r="A87" t="s">
        <v>254</v>
      </c>
      <c r="B87" t="s">
        <v>255</v>
      </c>
      <c r="C87" t="str">
        <f>PROPER(TRIM(SUBSTITUTE(SUBSTITUTE(SUBSTITUTE(Table1[[#This Row],[name]],"Ms. ",""),"Mr. ",""),"Mrs. ","")))</f>
        <v>Brenda Green</v>
      </c>
      <c r="D87" t="s">
        <v>39</v>
      </c>
      <c r="E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7">
        <v>21</v>
      </c>
      <c r="G87" t="str">
        <f>TRIM(IF(Table1[[#This Row],[age]]="","Unknown",Table1[[#This Row],[age]]))</f>
        <v>21</v>
      </c>
      <c r="H87" t="s">
        <v>175</v>
      </c>
      <c r="I87" t="s">
        <v>176</v>
      </c>
      <c r="J87" t="s">
        <v>89</v>
      </c>
      <c r="K87">
        <v>2</v>
      </c>
      <c r="L87" s="10" t="str">
        <f>TRIM(IF(Table1[[#This Row],[years_of_experience]]="","Unknown",Table1[[#This Row],[years_of_experience]]))</f>
        <v>2</v>
      </c>
      <c r="M87">
        <v>100</v>
      </c>
      <c r="N87">
        <f>IF(Table1[[#This Row],[hourly_rate (USD)]]="",MEDIAN(Table1[hourly_rate (USD)]),Table1[[#This Row],[hourly_rate (USD)]])</f>
        <v>100</v>
      </c>
      <c r="O87" t="str">
        <f>TRIM(CLEAN(Table1[[#This Row],[Updated hourly_rate (USD)]]))</f>
        <v>100</v>
      </c>
      <c r="P87" t="str">
        <f>SUBSTITUTE(SUBSTITUTE(Table1[[#This Row],[Formatted hourly rate]],"USD ",""),"$","")</f>
        <v>100</v>
      </c>
      <c r="Q87">
        <v>2.6</v>
      </c>
      <c r="R87">
        <f>IF(Table1[[#This Row],[rating]]="",2.6,Table1[[#This Row],[rating]])</f>
        <v>2.6</v>
      </c>
      <c r="S87" t="s">
        <v>74</v>
      </c>
      <c r="T87" t="str">
        <f>TRIM(CLEAN(Table1[[#This Row],[is_active]]))</f>
        <v>Y</v>
      </c>
      <c r="U8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7" s="11" t="str">
        <f>TRIM(IF(Table1[[#This Row],[is_active3]]="Unknown","TRUE",Table1[[#This Row],[is_active3]]))</f>
        <v>TRUE</v>
      </c>
      <c r="W87">
        <v>0.85</v>
      </c>
      <c r="X87">
        <f>IF(Table1[[#This Row],[client_satisfaction]]&gt;1,Table1[[#This Row],[client_satisfaction]]/100,Table1[[#This Row],[client_satisfaction]])</f>
        <v>0.85</v>
      </c>
      <c r="Y87">
        <f>IF(Table1[[#This Row],[client_satisfaction2]]=0,0.75,Table1[[#This Row],[client_satisfaction2]])</f>
        <v>0.85</v>
      </c>
    </row>
    <row r="88" spans="1:25" x14ac:dyDescent="0.25">
      <c r="A88" t="s">
        <v>256</v>
      </c>
      <c r="B88" t="s">
        <v>257</v>
      </c>
      <c r="C88" t="str">
        <f>PROPER(TRIM(SUBSTITUTE(SUBSTITUTE(SUBSTITUTE(Table1[[#This Row],[name]],"Ms. ",""),"Mr. ",""),"Mrs. ","")))</f>
        <v>Samuel Pierce</v>
      </c>
      <c r="D88" t="s">
        <v>92</v>
      </c>
      <c r="E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8">
        <v>25</v>
      </c>
      <c r="G88" t="str">
        <f>TRIM(IF(Table1[[#This Row],[age]]="","Unknown",Table1[[#This Row],[age]]))</f>
        <v>25</v>
      </c>
      <c r="H88" t="s">
        <v>58</v>
      </c>
      <c r="I88" t="s">
        <v>22</v>
      </c>
      <c r="J88" t="s">
        <v>23</v>
      </c>
      <c r="K88">
        <v>2</v>
      </c>
      <c r="L88" s="10" t="str">
        <f>TRIM(IF(Table1[[#This Row],[years_of_experience]]="","Unknown",Table1[[#This Row],[years_of_experience]]))</f>
        <v>2</v>
      </c>
      <c r="M88" t="s">
        <v>170</v>
      </c>
      <c r="N88" t="str">
        <f>IF(Table1[[#This Row],[hourly_rate (USD)]]="",MEDIAN(Table1[hourly_rate (USD)]),Table1[[#This Row],[hourly_rate (USD)]])</f>
        <v>$75</v>
      </c>
      <c r="O88" t="str">
        <f>TRIM(CLEAN(Table1[[#This Row],[Updated hourly_rate (USD)]]))</f>
        <v>$75</v>
      </c>
      <c r="P88" t="str">
        <f>SUBSTITUTE(SUBSTITUTE(Table1[[#This Row],[Formatted hourly rate]],"USD ",""),"$","")</f>
        <v>75</v>
      </c>
      <c r="Q88">
        <v>3.7</v>
      </c>
      <c r="R88">
        <f>IF(Table1[[#This Row],[rating]]="",2.6,Table1[[#This Row],[rating]])</f>
        <v>3.7</v>
      </c>
      <c r="S88" t="s">
        <v>31</v>
      </c>
      <c r="T88" t="str">
        <f>TRIM(CLEAN(Table1[[#This Row],[is_active]]))</f>
        <v>N</v>
      </c>
      <c r="U8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8" s="11" t="str">
        <f>TRIM(IF(Table1[[#This Row],[is_active3]]="Unknown","TRUE",Table1[[#This Row],[is_active3]]))</f>
        <v>FALSE</v>
      </c>
      <c r="X88">
        <f>IF(Table1[[#This Row],[client_satisfaction]]&gt;1,Table1[[#This Row],[client_satisfaction]]/100,Table1[[#This Row],[client_satisfaction]])</f>
        <v>0</v>
      </c>
      <c r="Y88">
        <f>IF(Table1[[#This Row],[client_satisfaction2]]=0,0.75,Table1[[#This Row],[client_satisfaction2]])</f>
        <v>0.75</v>
      </c>
    </row>
    <row r="89" spans="1:25" x14ac:dyDescent="0.25">
      <c r="A89" t="s">
        <v>258</v>
      </c>
      <c r="B89" t="s">
        <v>259</v>
      </c>
      <c r="C89" t="str">
        <f>PROPER(TRIM(SUBSTITUTE(SUBSTITUTE(SUBSTITUTE(Table1[[#This Row],[name]],"Ms. ",""),"Mr. ",""),"Mrs. ","")))</f>
        <v>Briana Smith</v>
      </c>
      <c r="D89" t="s">
        <v>14</v>
      </c>
      <c r="E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9">
        <v>38</v>
      </c>
      <c r="G89" t="str">
        <f>TRIM(IF(Table1[[#This Row],[age]]="","Unknown",Table1[[#This Row],[age]]))</f>
        <v>38</v>
      </c>
      <c r="H89" t="s">
        <v>179</v>
      </c>
      <c r="I89" t="s">
        <v>72</v>
      </c>
      <c r="J89" t="s">
        <v>35</v>
      </c>
      <c r="K89">
        <v>19</v>
      </c>
      <c r="L89" s="10" t="str">
        <f>TRIM(IF(Table1[[#This Row],[years_of_experience]]="","Unknown",Table1[[#This Row],[years_of_experience]]))</f>
        <v>19</v>
      </c>
      <c r="M89">
        <v>75</v>
      </c>
      <c r="N89">
        <f>IF(Table1[[#This Row],[hourly_rate (USD)]]="",MEDIAN(Table1[hourly_rate (USD)]),Table1[[#This Row],[hourly_rate (USD)]])</f>
        <v>75</v>
      </c>
      <c r="O89" t="str">
        <f>TRIM(CLEAN(Table1[[#This Row],[Updated hourly_rate (USD)]]))</f>
        <v>75</v>
      </c>
      <c r="P89" t="str">
        <f>SUBSTITUTE(SUBSTITUTE(Table1[[#This Row],[Formatted hourly rate]],"USD ",""),"$","")</f>
        <v>75</v>
      </c>
      <c r="Q89">
        <v>2.2999999999999998</v>
      </c>
      <c r="R89">
        <f>IF(Table1[[#This Row],[rating]]="",2.6,Table1[[#This Row],[rating]])</f>
        <v>2.2999999999999998</v>
      </c>
      <c r="S89" t="b">
        <v>0</v>
      </c>
      <c r="T89" t="str">
        <f>TRIM(CLEAN(Table1[[#This Row],[is_active]]))</f>
        <v>FALSE</v>
      </c>
      <c r="U8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9" s="11" t="str">
        <f>TRIM(IF(Table1[[#This Row],[is_active3]]="Unknown","TRUE",Table1[[#This Row],[is_active3]]))</f>
        <v>TRUE</v>
      </c>
      <c r="W89">
        <v>0.61</v>
      </c>
      <c r="X89">
        <f>IF(Table1[[#This Row],[client_satisfaction]]&gt;1,Table1[[#This Row],[client_satisfaction]]/100,Table1[[#This Row],[client_satisfaction]])</f>
        <v>0.61</v>
      </c>
      <c r="Y89">
        <f>IF(Table1[[#This Row],[client_satisfaction2]]=0,0.75,Table1[[#This Row],[client_satisfaction2]])</f>
        <v>0.61</v>
      </c>
    </row>
    <row r="90" spans="1:25" x14ac:dyDescent="0.25">
      <c r="A90" t="s">
        <v>260</v>
      </c>
      <c r="B90" t="s">
        <v>261</v>
      </c>
      <c r="C90" t="str">
        <f>PROPER(TRIM(SUBSTITUTE(SUBSTITUTE(SUBSTITUTE(Table1[[#This Row],[name]],"Ms. ",""),"Mr. ",""),"Mrs. ","")))</f>
        <v>Ronald Barrett</v>
      </c>
      <c r="D90" t="s">
        <v>97</v>
      </c>
      <c r="E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0">
        <v>57</v>
      </c>
      <c r="G90" t="str">
        <f>TRIM(IF(Table1[[#This Row],[age]]="","Unknown",Table1[[#This Row],[age]]))</f>
        <v>57</v>
      </c>
      <c r="H90" t="s">
        <v>124</v>
      </c>
      <c r="I90" t="s">
        <v>125</v>
      </c>
      <c r="J90" t="s">
        <v>44</v>
      </c>
      <c r="K90">
        <v>16</v>
      </c>
      <c r="L90" s="10" t="str">
        <f>TRIM(IF(Table1[[#This Row],[years_of_experience]]="","Unknown",Table1[[#This Row],[years_of_experience]]))</f>
        <v>16</v>
      </c>
      <c r="M90">
        <v>100</v>
      </c>
      <c r="N90">
        <f>IF(Table1[[#This Row],[hourly_rate (USD)]]="",MEDIAN(Table1[hourly_rate (USD)]),Table1[[#This Row],[hourly_rate (USD)]])</f>
        <v>100</v>
      </c>
      <c r="O90" t="str">
        <f>TRIM(CLEAN(Table1[[#This Row],[Updated hourly_rate (USD)]]))</f>
        <v>100</v>
      </c>
      <c r="P90" t="str">
        <f>SUBSTITUTE(SUBSTITUTE(Table1[[#This Row],[Formatted hourly rate]],"USD ",""),"$","")</f>
        <v>100</v>
      </c>
      <c r="Q90">
        <v>3.1</v>
      </c>
      <c r="R90">
        <f>IF(Table1[[#This Row],[rating]]="",2.6,Table1[[#This Row],[rating]])</f>
        <v>3.1</v>
      </c>
      <c r="S90" t="b">
        <v>0</v>
      </c>
      <c r="T90" t="str">
        <f>TRIM(CLEAN(Table1[[#This Row],[is_active]]))</f>
        <v>FALSE</v>
      </c>
      <c r="U9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0" s="11" t="str">
        <f>TRIM(IF(Table1[[#This Row],[is_active3]]="Unknown","TRUE",Table1[[#This Row],[is_active3]]))</f>
        <v>TRUE</v>
      </c>
      <c r="X90">
        <f>IF(Table1[[#This Row],[client_satisfaction]]&gt;1,Table1[[#This Row],[client_satisfaction]]/100,Table1[[#This Row],[client_satisfaction]])</f>
        <v>0</v>
      </c>
      <c r="Y90">
        <f>IF(Table1[[#This Row],[client_satisfaction2]]=0,0.75,Table1[[#This Row],[client_satisfaction2]])</f>
        <v>0.75</v>
      </c>
    </row>
    <row r="91" spans="1:25" x14ac:dyDescent="0.25">
      <c r="A91" t="s">
        <v>262</v>
      </c>
      <c r="B91" t="s">
        <v>263</v>
      </c>
      <c r="C91" t="str">
        <f>PROPER(TRIM(SUBSTITUTE(SUBSTITUTE(SUBSTITUTE(Table1[[#This Row],[name]],"Ms. ",""),"Mr. ",""),"Mrs. ","")))</f>
        <v>Matthew Smith</v>
      </c>
      <c r="D91" t="s">
        <v>48</v>
      </c>
      <c r="E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1">
        <v>32</v>
      </c>
      <c r="G91" t="str">
        <f>TRIM(IF(Table1[[#This Row],[age]]="","Unknown",Table1[[#This Row],[age]]))</f>
        <v>32</v>
      </c>
      <c r="H91" t="s">
        <v>93</v>
      </c>
      <c r="I91" t="s">
        <v>94</v>
      </c>
      <c r="J91" t="s">
        <v>23</v>
      </c>
      <c r="K91">
        <v>10</v>
      </c>
      <c r="L91" s="10" t="str">
        <f>TRIM(IF(Table1[[#This Row],[years_of_experience]]="","Unknown",Table1[[#This Row],[years_of_experience]]))</f>
        <v>10</v>
      </c>
      <c r="M91" t="s">
        <v>121</v>
      </c>
      <c r="N91" t="str">
        <f>IF(Table1[[#This Row],[hourly_rate (USD)]]="",MEDIAN(Table1[hourly_rate (USD)]),Table1[[#This Row],[hourly_rate (USD)]])</f>
        <v>$20</v>
      </c>
      <c r="O91" t="str">
        <f>TRIM(CLEAN(Table1[[#This Row],[Updated hourly_rate (USD)]]))</f>
        <v>$20</v>
      </c>
      <c r="P91" t="str">
        <f>SUBSTITUTE(SUBSTITUTE(Table1[[#This Row],[Formatted hourly rate]],"USD ",""),"$","")</f>
        <v>20</v>
      </c>
      <c r="Q91">
        <v>2.4</v>
      </c>
      <c r="R91">
        <f>IF(Table1[[#This Row],[rating]]="",2.6,Table1[[#This Row],[rating]])</f>
        <v>2.4</v>
      </c>
      <c r="S91">
        <v>0</v>
      </c>
      <c r="T91" t="str">
        <f>TRIM(CLEAN(Table1[[#This Row],[is_active]]))</f>
        <v>0</v>
      </c>
      <c r="U9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1" s="11" t="str">
        <f>TRIM(IF(Table1[[#This Row],[is_active3]]="Unknown","TRUE",Table1[[#This Row],[is_active3]]))</f>
        <v>FALSE</v>
      </c>
      <c r="W91">
        <v>0.86</v>
      </c>
      <c r="X91">
        <f>IF(Table1[[#This Row],[client_satisfaction]]&gt;1,Table1[[#This Row],[client_satisfaction]]/100,Table1[[#This Row],[client_satisfaction]])</f>
        <v>0.86</v>
      </c>
      <c r="Y91">
        <f>IF(Table1[[#This Row],[client_satisfaction2]]=0,0.75,Table1[[#This Row],[client_satisfaction2]])</f>
        <v>0.86</v>
      </c>
    </row>
    <row r="92" spans="1:25" x14ac:dyDescent="0.25">
      <c r="A92" t="s">
        <v>264</v>
      </c>
      <c r="B92" t="s">
        <v>265</v>
      </c>
      <c r="C92" t="str">
        <f>PROPER(TRIM(SUBSTITUTE(SUBSTITUTE(SUBSTITUTE(Table1[[#This Row],[name]],"Ms. ",""),"Mr. ",""),"Mrs. ","")))</f>
        <v>Logan Huang</v>
      </c>
      <c r="D92" t="s">
        <v>27</v>
      </c>
      <c r="E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2">
        <v>21</v>
      </c>
      <c r="G92" t="str">
        <f>TRIM(IF(Table1[[#This Row],[age]]="","Unknown",Table1[[#This Row],[age]]))</f>
        <v>21</v>
      </c>
      <c r="H92" t="s">
        <v>15</v>
      </c>
      <c r="I92" t="s">
        <v>16</v>
      </c>
      <c r="J92" t="s">
        <v>89</v>
      </c>
      <c r="K92">
        <v>2</v>
      </c>
      <c r="L92" s="10" t="str">
        <f>TRIM(IF(Table1[[#This Row],[years_of_experience]]="","Unknown",Table1[[#This Row],[years_of_experience]]))</f>
        <v>2</v>
      </c>
      <c r="M92" t="s">
        <v>24</v>
      </c>
      <c r="N92" t="str">
        <f>IF(Table1[[#This Row],[hourly_rate (USD)]]="",MEDIAN(Table1[hourly_rate (USD)]),Table1[[#This Row],[hourly_rate (USD)]])</f>
        <v>USD 100</v>
      </c>
      <c r="O92" t="str">
        <f>TRIM(CLEAN(Table1[[#This Row],[Updated hourly_rate (USD)]]))</f>
        <v>USD 100</v>
      </c>
      <c r="P92" t="str">
        <f>SUBSTITUTE(SUBSTITUTE(Table1[[#This Row],[Formatted hourly rate]],"USD ",""),"$","")</f>
        <v>100</v>
      </c>
      <c r="Q92">
        <v>1.6</v>
      </c>
      <c r="R92">
        <f>IF(Table1[[#This Row],[rating]]="",2.6,Table1[[#This Row],[rating]])</f>
        <v>1.6</v>
      </c>
      <c r="S92" t="s">
        <v>68</v>
      </c>
      <c r="T92" t="str">
        <f>TRIM(CLEAN(Table1[[#This Row],[is_active]]))</f>
        <v>yes</v>
      </c>
      <c r="U9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2" s="11" t="str">
        <f>TRIM(IF(Table1[[#This Row],[is_active3]]="Unknown","TRUE",Table1[[#This Row],[is_active3]]))</f>
        <v>TRUE</v>
      </c>
      <c r="W92">
        <v>0.97</v>
      </c>
      <c r="X92">
        <f>IF(Table1[[#This Row],[client_satisfaction]]&gt;1,Table1[[#This Row],[client_satisfaction]]/100,Table1[[#This Row],[client_satisfaction]])</f>
        <v>0.97</v>
      </c>
      <c r="Y92">
        <f>IF(Table1[[#This Row],[client_satisfaction2]]=0,0.75,Table1[[#This Row],[client_satisfaction2]])</f>
        <v>0.97</v>
      </c>
    </row>
    <row r="93" spans="1:25" x14ac:dyDescent="0.25">
      <c r="A93" t="s">
        <v>266</v>
      </c>
      <c r="B93" t="s">
        <v>267</v>
      </c>
      <c r="C93" t="str">
        <f>PROPER(TRIM(SUBSTITUTE(SUBSTITUTE(SUBSTITUTE(Table1[[#This Row],[name]],"Ms. ",""),"Mr. ",""),"Mrs. ","")))</f>
        <v>Miranda Hutchinson</v>
      </c>
      <c r="D93" t="s">
        <v>77</v>
      </c>
      <c r="E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3">
        <v>57</v>
      </c>
      <c r="G93" t="str">
        <f>TRIM(IF(Table1[[#This Row],[age]]="","Unknown",Table1[[#This Row],[age]]))</f>
        <v>57</v>
      </c>
      <c r="H93" t="s">
        <v>128</v>
      </c>
      <c r="I93" t="s">
        <v>22</v>
      </c>
      <c r="J93" t="s">
        <v>78</v>
      </c>
      <c r="K93">
        <v>18</v>
      </c>
      <c r="L93" s="10" t="str">
        <f>TRIM(IF(Table1[[#This Row],[years_of_experience]]="","Unknown",Table1[[#This Row],[years_of_experience]]))</f>
        <v>18</v>
      </c>
      <c r="M93">
        <v>50</v>
      </c>
      <c r="N93">
        <f>IF(Table1[[#This Row],[hourly_rate (USD)]]="",MEDIAN(Table1[hourly_rate (USD)]),Table1[[#This Row],[hourly_rate (USD)]])</f>
        <v>50</v>
      </c>
      <c r="O93" t="str">
        <f>TRIM(CLEAN(Table1[[#This Row],[Updated hourly_rate (USD)]]))</f>
        <v>50</v>
      </c>
      <c r="P93" t="str">
        <f>SUBSTITUTE(SUBSTITUTE(Table1[[#This Row],[Formatted hourly rate]],"USD ",""),"$","")</f>
        <v>50</v>
      </c>
      <c r="Q93">
        <v>2.4</v>
      </c>
      <c r="R93">
        <f>IF(Table1[[#This Row],[rating]]="",2.6,Table1[[#This Row],[rating]])</f>
        <v>2.4</v>
      </c>
      <c r="S93">
        <v>1</v>
      </c>
      <c r="T93" t="str">
        <f>TRIM(CLEAN(Table1[[#This Row],[is_active]]))</f>
        <v>1</v>
      </c>
      <c r="U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3" s="11" t="str">
        <f>TRIM(IF(Table1[[#This Row],[is_active3]]="Unknown","TRUE",Table1[[#This Row],[is_active3]]))</f>
        <v>TRUE</v>
      </c>
      <c r="W93">
        <v>0.63</v>
      </c>
      <c r="X93">
        <f>IF(Table1[[#This Row],[client_satisfaction]]&gt;1,Table1[[#This Row],[client_satisfaction]]/100,Table1[[#This Row],[client_satisfaction]])</f>
        <v>0.63</v>
      </c>
      <c r="Y93">
        <f>IF(Table1[[#This Row],[client_satisfaction2]]=0,0.75,Table1[[#This Row],[client_satisfaction2]])</f>
        <v>0.63</v>
      </c>
    </row>
    <row r="94" spans="1:25" x14ac:dyDescent="0.25">
      <c r="A94" t="s">
        <v>268</v>
      </c>
      <c r="B94" t="s">
        <v>269</v>
      </c>
      <c r="C94" t="str">
        <f>PROPER(TRIM(SUBSTITUTE(SUBSTITUTE(SUBSTITUTE(Table1[[#This Row],[name]],"Ms. ",""),"Mr. ",""),"Mrs. ","")))</f>
        <v>Paul Richardson</v>
      </c>
      <c r="D94" t="s">
        <v>27</v>
      </c>
      <c r="E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4">
        <v>53</v>
      </c>
      <c r="G94" t="str">
        <f>TRIM(IF(Table1[[#This Row],[age]]="","Unknown",Table1[[#This Row],[age]]))</f>
        <v>53</v>
      </c>
      <c r="H94" t="s">
        <v>175</v>
      </c>
      <c r="I94" t="s">
        <v>176</v>
      </c>
      <c r="J94" t="s">
        <v>73</v>
      </c>
      <c r="K94">
        <v>21</v>
      </c>
      <c r="L94" s="10" t="str">
        <f>TRIM(IF(Table1[[#This Row],[years_of_experience]]="","Unknown",Table1[[#This Row],[years_of_experience]]))</f>
        <v>21</v>
      </c>
      <c r="M94" t="s">
        <v>24</v>
      </c>
      <c r="N94" t="str">
        <f>IF(Table1[[#This Row],[hourly_rate (USD)]]="",MEDIAN(Table1[hourly_rate (USD)]),Table1[[#This Row],[hourly_rate (USD)]])</f>
        <v>USD 100</v>
      </c>
      <c r="O94" t="str">
        <f>TRIM(CLEAN(Table1[[#This Row],[Updated hourly_rate (USD)]]))</f>
        <v>USD 100</v>
      </c>
      <c r="P94" t="str">
        <f>SUBSTITUTE(SUBSTITUTE(Table1[[#This Row],[Formatted hourly rate]],"USD ",""),"$","")</f>
        <v>100</v>
      </c>
      <c r="R94">
        <f>IF(Table1[[#This Row],[rating]]="",2.6,Table1[[#This Row],[rating]])</f>
        <v>2.6</v>
      </c>
      <c r="S94" t="s">
        <v>74</v>
      </c>
      <c r="T94" t="str">
        <f>TRIM(CLEAN(Table1[[#This Row],[is_active]]))</f>
        <v>Y</v>
      </c>
      <c r="U9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4" s="11" t="str">
        <f>TRIM(IF(Table1[[#This Row],[is_active3]]="Unknown","TRUE",Table1[[#This Row],[is_active3]]))</f>
        <v>TRUE</v>
      </c>
      <c r="W94">
        <v>0.97</v>
      </c>
      <c r="X94">
        <f>IF(Table1[[#This Row],[client_satisfaction]]&gt;1,Table1[[#This Row],[client_satisfaction]]/100,Table1[[#This Row],[client_satisfaction]])</f>
        <v>0.97</v>
      </c>
      <c r="Y94">
        <f>IF(Table1[[#This Row],[client_satisfaction2]]=0,0.75,Table1[[#This Row],[client_satisfaction2]])</f>
        <v>0.97</v>
      </c>
    </row>
    <row r="95" spans="1:25" x14ac:dyDescent="0.25">
      <c r="A95" t="s">
        <v>270</v>
      </c>
      <c r="B95" t="s">
        <v>271</v>
      </c>
      <c r="C95" t="str">
        <f>PROPER(TRIM(SUBSTITUTE(SUBSTITUTE(SUBSTITUTE(Table1[[#This Row],[name]],"Ms. ",""),"Mr. ",""),"Mrs. ","")))</f>
        <v>Jose Jones</v>
      </c>
      <c r="D95" t="s">
        <v>92</v>
      </c>
      <c r="E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5">
        <v>35</v>
      </c>
      <c r="G95" t="str">
        <f>TRIM(IF(Table1[[#This Row],[age]]="","Unknown",Table1[[#This Row],[age]]))</f>
        <v>35</v>
      </c>
      <c r="H95" t="s">
        <v>124</v>
      </c>
      <c r="I95" t="s">
        <v>125</v>
      </c>
      <c r="J95" t="s">
        <v>17</v>
      </c>
      <c r="K95">
        <v>3</v>
      </c>
      <c r="L95" s="10" t="str">
        <f>TRIM(IF(Table1[[#This Row],[years_of_experience]]="","Unknown",Table1[[#This Row],[years_of_experience]]))</f>
        <v>3</v>
      </c>
      <c r="M95" t="s">
        <v>109</v>
      </c>
      <c r="N95" t="str">
        <f>IF(Table1[[#This Row],[hourly_rate (USD)]]="",MEDIAN(Table1[hourly_rate (USD)]),Table1[[#This Row],[hourly_rate (USD)]])</f>
        <v>USD 30</v>
      </c>
      <c r="O95" t="str">
        <f>TRIM(CLEAN(Table1[[#This Row],[Updated hourly_rate (USD)]]))</f>
        <v>USD 30</v>
      </c>
      <c r="P95" t="str">
        <f>SUBSTITUTE(SUBSTITUTE(Table1[[#This Row],[Formatted hourly rate]],"USD ",""),"$","")</f>
        <v>30</v>
      </c>
      <c r="Q95">
        <v>3.8</v>
      </c>
      <c r="R95">
        <f>IF(Table1[[#This Row],[rating]]="",2.6,Table1[[#This Row],[rating]])</f>
        <v>3.8</v>
      </c>
      <c r="S95" t="s">
        <v>68</v>
      </c>
      <c r="T95" t="str">
        <f>TRIM(CLEAN(Table1[[#This Row],[is_active]]))</f>
        <v>yes</v>
      </c>
      <c r="U9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5" s="11" t="str">
        <f>TRIM(IF(Table1[[#This Row],[is_active3]]="Unknown","TRUE",Table1[[#This Row],[is_active3]]))</f>
        <v>TRUE</v>
      </c>
      <c r="W95">
        <v>0.81</v>
      </c>
      <c r="X95">
        <f>IF(Table1[[#This Row],[client_satisfaction]]&gt;1,Table1[[#This Row],[client_satisfaction]]/100,Table1[[#This Row],[client_satisfaction]])</f>
        <v>0.81</v>
      </c>
      <c r="Y95">
        <f>IF(Table1[[#This Row],[client_satisfaction2]]=0,0.75,Table1[[#This Row],[client_satisfaction2]])</f>
        <v>0.81</v>
      </c>
    </row>
    <row r="96" spans="1:25" x14ac:dyDescent="0.25">
      <c r="A96" t="s">
        <v>272</v>
      </c>
      <c r="B96" t="s">
        <v>273</v>
      </c>
      <c r="C96" t="str">
        <f>PROPER(TRIM(SUBSTITUTE(SUBSTITUTE(SUBSTITUTE(Table1[[#This Row],[name]],"Ms. ",""),"Mr. ",""),"Mrs. ","")))</f>
        <v>Denise Smith</v>
      </c>
      <c r="D96" t="s">
        <v>14</v>
      </c>
      <c r="E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6">
        <v>54</v>
      </c>
      <c r="G96" t="str">
        <f>TRIM(IF(Table1[[#This Row],[age]]="","Unknown",Table1[[#This Row],[age]]))</f>
        <v>54</v>
      </c>
      <c r="H96" t="s">
        <v>175</v>
      </c>
      <c r="I96" t="s">
        <v>176</v>
      </c>
      <c r="J96" t="s">
        <v>114</v>
      </c>
      <c r="K96">
        <v>17</v>
      </c>
      <c r="L96" s="10" t="str">
        <f>TRIM(IF(Table1[[#This Row],[years_of_experience]]="","Unknown",Table1[[#This Row],[years_of_experience]]))</f>
        <v>17</v>
      </c>
      <c r="M96">
        <v>20</v>
      </c>
      <c r="N96">
        <f>IF(Table1[[#This Row],[hourly_rate (USD)]]="",MEDIAN(Table1[hourly_rate (USD)]),Table1[[#This Row],[hourly_rate (USD)]])</f>
        <v>20</v>
      </c>
      <c r="O96" t="str">
        <f>TRIM(CLEAN(Table1[[#This Row],[Updated hourly_rate (USD)]]))</f>
        <v>20</v>
      </c>
      <c r="P96" t="str">
        <f>SUBSTITUTE(SUBSTITUTE(Table1[[#This Row],[Formatted hourly rate]],"USD ",""),"$","")</f>
        <v>20</v>
      </c>
      <c r="Q96">
        <v>1.7</v>
      </c>
      <c r="R96">
        <f>IF(Table1[[#This Row],[rating]]="",2.6,Table1[[#This Row],[rating]])</f>
        <v>1.7</v>
      </c>
      <c r="S96">
        <v>0</v>
      </c>
      <c r="T96" t="str">
        <f>TRIM(CLEAN(Table1[[#This Row],[is_active]]))</f>
        <v>0</v>
      </c>
      <c r="U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6" s="11" t="str">
        <f>TRIM(IF(Table1[[#This Row],[is_active3]]="Unknown","TRUE",Table1[[#This Row],[is_active3]]))</f>
        <v>FALSE</v>
      </c>
      <c r="W96">
        <v>0.69</v>
      </c>
      <c r="X96">
        <f>IF(Table1[[#This Row],[client_satisfaction]]&gt;1,Table1[[#This Row],[client_satisfaction]]/100,Table1[[#This Row],[client_satisfaction]])</f>
        <v>0.69</v>
      </c>
      <c r="Y96">
        <f>IF(Table1[[#This Row],[client_satisfaction2]]=0,0.75,Table1[[#This Row],[client_satisfaction2]])</f>
        <v>0.69</v>
      </c>
    </row>
    <row r="97" spans="1:25" x14ac:dyDescent="0.25">
      <c r="A97" t="s">
        <v>274</v>
      </c>
      <c r="B97" t="s">
        <v>275</v>
      </c>
      <c r="C97" t="str">
        <f>PROPER(TRIM(SUBSTITUTE(SUBSTITUTE(SUBSTITUTE(Table1[[#This Row],[name]],"Ms. ",""),"Mr. ",""),"Mrs. ","")))</f>
        <v>Shelby Mcmahon</v>
      </c>
      <c r="D97" t="s">
        <v>20</v>
      </c>
      <c r="E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7">
        <v>36</v>
      </c>
      <c r="G97" t="str">
        <f>TRIM(IF(Table1[[#This Row],[age]]="","Unknown",Table1[[#This Row],[age]]))</f>
        <v>36</v>
      </c>
      <c r="H97" t="s">
        <v>15</v>
      </c>
      <c r="I97" t="s">
        <v>16</v>
      </c>
      <c r="J97" t="s">
        <v>73</v>
      </c>
      <c r="K97">
        <v>0</v>
      </c>
      <c r="L97" s="10" t="str">
        <f>TRIM(IF(Table1[[#This Row],[years_of_experience]]="","Unknown",Table1[[#This Row],[years_of_experience]]))</f>
        <v>0</v>
      </c>
      <c r="M97">
        <v>20</v>
      </c>
      <c r="N97">
        <f>IF(Table1[[#This Row],[hourly_rate (USD)]]="",MEDIAN(Table1[hourly_rate (USD)]),Table1[[#This Row],[hourly_rate (USD)]])</f>
        <v>20</v>
      </c>
      <c r="O97" t="str">
        <f>TRIM(CLEAN(Table1[[#This Row],[Updated hourly_rate (USD)]]))</f>
        <v>20</v>
      </c>
      <c r="P97" t="str">
        <f>SUBSTITUTE(SUBSTITUTE(Table1[[#This Row],[Formatted hourly rate]],"USD ",""),"$","")</f>
        <v>20</v>
      </c>
      <c r="Q97">
        <v>1.3</v>
      </c>
      <c r="R97">
        <f>IF(Table1[[#This Row],[rating]]="",2.6,Table1[[#This Row],[rating]])</f>
        <v>1.3</v>
      </c>
      <c r="S97" t="s">
        <v>74</v>
      </c>
      <c r="T97" t="str">
        <f>TRIM(CLEAN(Table1[[#This Row],[is_active]]))</f>
        <v>Y</v>
      </c>
      <c r="U9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7" s="11" t="str">
        <f>TRIM(IF(Table1[[#This Row],[is_active3]]="Unknown","TRUE",Table1[[#This Row],[is_active3]]))</f>
        <v>TRUE</v>
      </c>
      <c r="W97">
        <v>0.64</v>
      </c>
      <c r="X97">
        <f>IF(Table1[[#This Row],[client_satisfaction]]&gt;1,Table1[[#This Row],[client_satisfaction]]/100,Table1[[#This Row],[client_satisfaction]])</f>
        <v>0.64</v>
      </c>
      <c r="Y97">
        <f>IF(Table1[[#This Row],[client_satisfaction2]]=0,0.75,Table1[[#This Row],[client_satisfaction2]])</f>
        <v>0.64</v>
      </c>
    </row>
    <row r="98" spans="1:25" x14ac:dyDescent="0.25">
      <c r="A98" t="s">
        <v>276</v>
      </c>
      <c r="B98" t="s">
        <v>277</v>
      </c>
      <c r="C98" t="str">
        <f>PROPER(TRIM(SUBSTITUTE(SUBSTITUTE(SUBSTITUTE(Table1[[#This Row],[name]],"Ms. ",""),"Mr. ",""),"Mrs. ","")))</f>
        <v>Bethany Wright</v>
      </c>
      <c r="D98" t="s">
        <v>14</v>
      </c>
      <c r="E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8">
        <v>49</v>
      </c>
      <c r="G98" t="str">
        <f>TRIM(IF(Table1[[#This Row],[age]]="","Unknown",Table1[[#This Row],[age]]))</f>
        <v>49</v>
      </c>
      <c r="H98" t="s">
        <v>190</v>
      </c>
      <c r="I98" t="s">
        <v>72</v>
      </c>
      <c r="J98" t="s">
        <v>78</v>
      </c>
      <c r="K98">
        <v>25</v>
      </c>
      <c r="L98" s="10" t="str">
        <f>TRIM(IF(Table1[[#This Row],[years_of_experience]]="","Unknown",Table1[[#This Row],[years_of_experience]]))</f>
        <v>25</v>
      </c>
      <c r="M98">
        <v>50</v>
      </c>
      <c r="N98">
        <f>IF(Table1[[#This Row],[hourly_rate (USD)]]="",MEDIAN(Table1[hourly_rate (USD)]),Table1[[#This Row],[hourly_rate (USD)]])</f>
        <v>50</v>
      </c>
      <c r="O98" t="str">
        <f>TRIM(CLEAN(Table1[[#This Row],[Updated hourly_rate (USD)]]))</f>
        <v>50</v>
      </c>
      <c r="P98" t="str">
        <f>SUBSTITUTE(SUBSTITUTE(Table1[[#This Row],[Formatted hourly rate]],"USD ",""),"$","")</f>
        <v>50</v>
      </c>
      <c r="Q98">
        <v>5</v>
      </c>
      <c r="R98">
        <f>IF(Table1[[#This Row],[rating]]="",2.6,Table1[[#This Row],[rating]])</f>
        <v>5</v>
      </c>
      <c r="S98" t="s">
        <v>31</v>
      </c>
      <c r="T98" t="str">
        <f>TRIM(CLEAN(Table1[[#This Row],[is_active]]))</f>
        <v>N</v>
      </c>
      <c r="U9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8" s="11" t="str">
        <f>TRIM(IF(Table1[[#This Row],[is_active3]]="Unknown","TRUE",Table1[[#This Row],[is_active3]]))</f>
        <v>FALSE</v>
      </c>
      <c r="W98">
        <v>0.77</v>
      </c>
      <c r="X98">
        <f>IF(Table1[[#This Row],[client_satisfaction]]&gt;1,Table1[[#This Row],[client_satisfaction]]/100,Table1[[#This Row],[client_satisfaction]])</f>
        <v>0.77</v>
      </c>
      <c r="Y98">
        <f>IF(Table1[[#This Row],[client_satisfaction2]]=0,0.75,Table1[[#This Row],[client_satisfaction2]])</f>
        <v>0.77</v>
      </c>
    </row>
    <row r="99" spans="1:25" x14ac:dyDescent="0.25">
      <c r="A99" t="s">
        <v>278</v>
      </c>
      <c r="B99" t="s">
        <v>279</v>
      </c>
      <c r="C99" t="str">
        <f>PROPER(TRIM(SUBSTITUTE(SUBSTITUTE(SUBSTITUTE(Table1[[#This Row],[name]],"Ms. ",""),"Mr. ",""),"Mrs. ","")))</f>
        <v>David Ortiz</v>
      </c>
      <c r="D99" t="s">
        <v>97</v>
      </c>
      <c r="E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9">
        <v>37</v>
      </c>
      <c r="G99" t="str">
        <f>TRIM(IF(Table1[[#This Row],[age]]="","Unknown",Table1[[#This Row],[age]]))</f>
        <v>37</v>
      </c>
      <c r="H99" t="s">
        <v>58</v>
      </c>
      <c r="I99" t="s">
        <v>22</v>
      </c>
      <c r="J99" t="s">
        <v>17</v>
      </c>
      <c r="K99">
        <v>17</v>
      </c>
      <c r="L99" s="10" t="str">
        <f>TRIM(IF(Table1[[#This Row],[years_of_experience]]="","Unknown",Table1[[#This Row],[years_of_experience]]))</f>
        <v>17</v>
      </c>
      <c r="M99">
        <v>20</v>
      </c>
      <c r="N99">
        <f>IF(Table1[[#This Row],[hourly_rate (USD)]]="",MEDIAN(Table1[hourly_rate (USD)]),Table1[[#This Row],[hourly_rate (USD)]])</f>
        <v>20</v>
      </c>
      <c r="O99" t="str">
        <f>TRIM(CLEAN(Table1[[#This Row],[Updated hourly_rate (USD)]]))</f>
        <v>20</v>
      </c>
      <c r="P99" t="str">
        <f>SUBSTITUTE(SUBSTITUTE(Table1[[#This Row],[Formatted hourly rate]],"USD ",""),"$","")</f>
        <v>20</v>
      </c>
      <c r="Q99">
        <v>3.3</v>
      </c>
      <c r="R99">
        <f>IF(Table1[[#This Row],[rating]]="",2.6,Table1[[#This Row],[rating]])</f>
        <v>3.3</v>
      </c>
      <c r="S99">
        <v>0</v>
      </c>
      <c r="T99" t="str">
        <f>TRIM(CLEAN(Table1[[#This Row],[is_active]]))</f>
        <v>0</v>
      </c>
      <c r="U9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9" s="11" t="str">
        <f>TRIM(IF(Table1[[#This Row],[is_active3]]="Unknown","TRUE",Table1[[#This Row],[is_active3]]))</f>
        <v>FALSE</v>
      </c>
      <c r="W99">
        <v>96</v>
      </c>
      <c r="X99">
        <f>IF(Table1[[#This Row],[client_satisfaction]]&gt;1,Table1[[#This Row],[client_satisfaction]]/100,Table1[[#This Row],[client_satisfaction]])</f>
        <v>0.96</v>
      </c>
      <c r="Y99">
        <f>IF(Table1[[#This Row],[client_satisfaction2]]=0,0.75,Table1[[#This Row],[client_satisfaction2]])</f>
        <v>0.96</v>
      </c>
    </row>
    <row r="100" spans="1:25" x14ac:dyDescent="0.25">
      <c r="A100" t="s">
        <v>280</v>
      </c>
      <c r="B100" t="s">
        <v>281</v>
      </c>
      <c r="C100" t="str">
        <f>PROPER(TRIM(SUBSTITUTE(SUBSTITUTE(SUBSTITUTE(Table1[[#This Row],[name]],"Ms. ",""),"Mr. ",""),"Mrs. ","")))</f>
        <v>Andrew Lynch</v>
      </c>
      <c r="D100" t="s">
        <v>61</v>
      </c>
      <c r="E1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100" t="str">
        <f>TRIM(IF(Table1[[#This Row],[age]]="","Unknown",Table1[[#This Row],[age]]))</f>
        <v>Unknown</v>
      </c>
      <c r="H100" t="s">
        <v>58</v>
      </c>
      <c r="I100" t="s">
        <v>22</v>
      </c>
      <c r="J100" t="s">
        <v>73</v>
      </c>
      <c r="K100">
        <v>5</v>
      </c>
      <c r="L100" s="10" t="str">
        <f>TRIM(IF(Table1[[#This Row],[years_of_experience]]="","Unknown",Table1[[#This Row],[years_of_experience]]))</f>
        <v>5</v>
      </c>
      <c r="M100" t="s">
        <v>121</v>
      </c>
      <c r="N100" t="str">
        <f>IF(Table1[[#This Row],[hourly_rate (USD)]]="",MEDIAN(Table1[hourly_rate (USD)]),Table1[[#This Row],[hourly_rate (USD)]])</f>
        <v>$20</v>
      </c>
      <c r="O100" t="str">
        <f>TRIM(CLEAN(Table1[[#This Row],[Updated hourly_rate (USD)]]))</f>
        <v>$20</v>
      </c>
      <c r="P100" t="str">
        <f>SUBSTITUTE(SUBSTITUTE(Table1[[#This Row],[Formatted hourly rate]],"USD ",""),"$","")</f>
        <v>20</v>
      </c>
      <c r="Q100">
        <v>1.1000000000000001</v>
      </c>
      <c r="R100">
        <f>IF(Table1[[#This Row],[rating]]="",2.6,Table1[[#This Row],[rating]])</f>
        <v>1.1000000000000001</v>
      </c>
      <c r="S100" t="s">
        <v>159</v>
      </c>
      <c r="T100" t="str">
        <f>TRIM(CLEAN(Table1[[#This Row],[is_active]]))</f>
        <v>no</v>
      </c>
      <c r="U1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00" s="11" t="str">
        <f>TRIM(IF(Table1[[#This Row],[is_active3]]="Unknown","TRUE",Table1[[#This Row],[is_active3]]))</f>
        <v>FALSE</v>
      </c>
      <c r="W100">
        <v>0.74</v>
      </c>
      <c r="X100">
        <f>IF(Table1[[#This Row],[client_satisfaction]]&gt;1,Table1[[#This Row],[client_satisfaction]]/100,Table1[[#This Row],[client_satisfaction]])</f>
        <v>0.74</v>
      </c>
      <c r="Y100">
        <f>IF(Table1[[#This Row],[client_satisfaction2]]=0,0.75,Table1[[#This Row],[client_satisfaction2]])</f>
        <v>0.74</v>
      </c>
    </row>
    <row r="101" spans="1:25" x14ac:dyDescent="0.25">
      <c r="A101" t="s">
        <v>282</v>
      </c>
      <c r="B101" t="s">
        <v>283</v>
      </c>
      <c r="C101" t="str">
        <f>PROPER(TRIM(SUBSTITUTE(SUBSTITUTE(SUBSTITUTE(Table1[[#This Row],[name]],"Ms. ",""),"Mr. ",""),"Mrs. ","")))</f>
        <v>Kristopher Meyers</v>
      </c>
      <c r="D101" t="s">
        <v>48</v>
      </c>
      <c r="E1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01">
        <v>32</v>
      </c>
      <c r="G101" t="str">
        <f>TRIM(IF(Table1[[#This Row],[age]]="","Unknown",Table1[[#This Row],[age]]))</f>
        <v>32</v>
      </c>
      <c r="H101" t="s">
        <v>139</v>
      </c>
      <c r="I101" t="s">
        <v>140</v>
      </c>
      <c r="J101" t="s">
        <v>73</v>
      </c>
      <c r="K101">
        <v>10</v>
      </c>
      <c r="L101" s="10" t="str">
        <f>TRIM(IF(Table1[[#This Row],[years_of_experience]]="","Unknown",Table1[[#This Row],[years_of_experience]]))</f>
        <v>10</v>
      </c>
      <c r="M101">
        <v>50</v>
      </c>
      <c r="N101">
        <f>IF(Table1[[#This Row],[hourly_rate (USD)]]="",MEDIAN(Table1[hourly_rate (USD)]),Table1[[#This Row],[hourly_rate (USD)]])</f>
        <v>50</v>
      </c>
      <c r="O101" t="str">
        <f>TRIM(CLEAN(Table1[[#This Row],[Updated hourly_rate (USD)]]))</f>
        <v>50</v>
      </c>
      <c r="P101" t="str">
        <f>SUBSTITUTE(SUBSTITUTE(Table1[[#This Row],[Formatted hourly rate]],"USD ",""),"$","")</f>
        <v>50</v>
      </c>
      <c r="Q101">
        <v>1.2</v>
      </c>
      <c r="R101">
        <f>IF(Table1[[#This Row],[rating]]="",2.6,Table1[[#This Row],[rating]])</f>
        <v>1.2</v>
      </c>
      <c r="S101" t="b">
        <v>0</v>
      </c>
      <c r="T101" t="str">
        <f>TRIM(CLEAN(Table1[[#This Row],[is_active]]))</f>
        <v>FALSE</v>
      </c>
      <c r="U10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01" s="11" t="str">
        <f>TRIM(IF(Table1[[#This Row],[is_active3]]="Unknown","TRUE",Table1[[#This Row],[is_active3]]))</f>
        <v>TRUE</v>
      </c>
      <c r="W101">
        <v>0.89</v>
      </c>
      <c r="X101">
        <f>IF(Table1[[#This Row],[client_satisfaction]]&gt;1,Table1[[#This Row],[client_satisfaction]]/100,Table1[[#This Row],[client_satisfaction]])</f>
        <v>0.89</v>
      </c>
      <c r="Y101">
        <f>IF(Table1[[#This Row],[client_satisfaction2]]=0,0.75,Table1[[#This Row],[client_satisfaction2]])</f>
        <v>0.89</v>
      </c>
    </row>
    <row r="102" spans="1:25" x14ac:dyDescent="0.25">
      <c r="A102" t="s">
        <v>284</v>
      </c>
      <c r="B102" t="s">
        <v>285</v>
      </c>
      <c r="C102" t="str">
        <f>PROPER(TRIM(SUBSTITUTE(SUBSTITUTE(SUBSTITUTE(Table1[[#This Row],[name]],"Ms. ",""),"Mr. ",""),"Mrs. ","")))</f>
        <v>Thomas Roth</v>
      </c>
      <c r="D102" t="s">
        <v>48</v>
      </c>
      <c r="E1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02">
        <v>35</v>
      </c>
      <c r="G102" t="str">
        <f>TRIM(IF(Table1[[#This Row],[age]]="","Unknown",Table1[[#This Row],[age]]))</f>
        <v>35</v>
      </c>
      <c r="H102" t="s">
        <v>93</v>
      </c>
      <c r="I102" t="s">
        <v>94</v>
      </c>
      <c r="J102" t="s">
        <v>23</v>
      </c>
      <c r="K102">
        <v>0</v>
      </c>
      <c r="L102" s="10" t="str">
        <f>TRIM(IF(Table1[[#This Row],[years_of_experience]]="","Unknown",Table1[[#This Row],[years_of_experience]]))</f>
        <v>0</v>
      </c>
      <c r="N102">
        <f>IF(Table1[[#This Row],[hourly_rate (USD)]]="",MEDIAN(Table1[hourly_rate (USD)]),Table1[[#This Row],[hourly_rate (USD)]])</f>
        <v>50</v>
      </c>
      <c r="O102" t="str">
        <f>TRIM(CLEAN(Table1[[#This Row],[Updated hourly_rate (USD)]]))</f>
        <v>50</v>
      </c>
      <c r="P102" t="str">
        <f>SUBSTITUTE(SUBSTITUTE(Table1[[#This Row],[Formatted hourly rate]],"USD ",""),"$","")</f>
        <v>50</v>
      </c>
      <c r="Q102">
        <v>2</v>
      </c>
      <c r="R102">
        <f>IF(Table1[[#This Row],[rating]]="",2.6,Table1[[#This Row],[rating]])</f>
        <v>2</v>
      </c>
      <c r="S102">
        <v>1</v>
      </c>
      <c r="T102" t="str">
        <f>TRIM(CLEAN(Table1[[#This Row],[is_active]]))</f>
        <v>1</v>
      </c>
      <c r="U10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02" s="11" t="str">
        <f>TRIM(IF(Table1[[#This Row],[is_active3]]="Unknown","TRUE",Table1[[#This Row],[is_active3]]))</f>
        <v>TRUE</v>
      </c>
      <c r="W102">
        <v>0.64</v>
      </c>
      <c r="X102">
        <f>IF(Table1[[#This Row],[client_satisfaction]]&gt;1,Table1[[#This Row],[client_satisfaction]]/100,Table1[[#This Row],[client_satisfaction]])</f>
        <v>0.64</v>
      </c>
      <c r="Y102">
        <f>IF(Table1[[#This Row],[client_satisfaction2]]=0,0.75,Table1[[#This Row],[client_satisfaction2]])</f>
        <v>0.64</v>
      </c>
    </row>
    <row r="103" spans="1:25" x14ac:dyDescent="0.25">
      <c r="A103" t="s">
        <v>286</v>
      </c>
      <c r="B103" t="s">
        <v>287</v>
      </c>
      <c r="C103" t="str">
        <f>PROPER(TRIM(SUBSTITUTE(SUBSTITUTE(SUBSTITUTE(Table1[[#This Row],[name]],"Ms. ",""),"Mr. ",""),"Mrs. ","")))</f>
        <v>Vicki Brown</v>
      </c>
      <c r="D103" t="s">
        <v>14</v>
      </c>
      <c r="E1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03">
        <v>51</v>
      </c>
      <c r="G103" t="str">
        <f>TRIM(IF(Table1[[#This Row],[age]]="","Unknown",Table1[[#This Row],[age]]))</f>
        <v>51</v>
      </c>
      <c r="H103" t="s">
        <v>124</v>
      </c>
      <c r="I103" t="s">
        <v>125</v>
      </c>
      <c r="J103" t="s">
        <v>30</v>
      </c>
      <c r="K103">
        <v>2</v>
      </c>
      <c r="L103" s="10" t="str">
        <f>TRIM(IF(Table1[[#This Row],[years_of_experience]]="","Unknown",Table1[[#This Row],[years_of_experience]]))</f>
        <v>2</v>
      </c>
      <c r="M103" t="s">
        <v>45</v>
      </c>
      <c r="N103" t="str">
        <f>IF(Table1[[#This Row],[hourly_rate (USD)]]="",MEDIAN(Table1[hourly_rate (USD)]),Table1[[#This Row],[hourly_rate (USD)]])</f>
        <v>$30</v>
      </c>
      <c r="O103" t="str">
        <f>TRIM(CLEAN(Table1[[#This Row],[Updated hourly_rate (USD)]]))</f>
        <v>$30</v>
      </c>
      <c r="P103" t="str">
        <f>SUBSTITUTE(SUBSTITUTE(Table1[[#This Row],[Formatted hourly rate]],"USD ",""),"$","")</f>
        <v>30</v>
      </c>
      <c r="Q103">
        <v>4.5</v>
      </c>
      <c r="R103">
        <f>IF(Table1[[#This Row],[rating]]="",2.6,Table1[[#This Row],[rating]])</f>
        <v>4.5</v>
      </c>
      <c r="S103">
        <v>0</v>
      </c>
      <c r="T103" t="str">
        <f>TRIM(CLEAN(Table1[[#This Row],[is_active]]))</f>
        <v>0</v>
      </c>
      <c r="U10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03" s="11" t="str">
        <f>TRIM(IF(Table1[[#This Row],[is_active3]]="Unknown","TRUE",Table1[[#This Row],[is_active3]]))</f>
        <v>FALSE</v>
      </c>
      <c r="W103">
        <v>64</v>
      </c>
      <c r="X103">
        <f>IF(Table1[[#This Row],[client_satisfaction]]&gt;1,Table1[[#This Row],[client_satisfaction]]/100,Table1[[#This Row],[client_satisfaction]])</f>
        <v>0.64</v>
      </c>
      <c r="Y103">
        <f>IF(Table1[[#This Row],[client_satisfaction2]]=0,0.75,Table1[[#This Row],[client_satisfaction2]])</f>
        <v>0.64</v>
      </c>
    </row>
    <row r="104" spans="1:25" x14ac:dyDescent="0.25">
      <c r="A104" t="s">
        <v>288</v>
      </c>
      <c r="B104" t="s">
        <v>289</v>
      </c>
      <c r="C104" t="str">
        <f>PROPER(TRIM(SUBSTITUTE(SUBSTITUTE(SUBSTITUTE(Table1[[#This Row],[name]],"Ms. ",""),"Mr. ",""),"Mrs. ","")))</f>
        <v>Stacy Sutton</v>
      </c>
      <c r="D104" t="s">
        <v>14</v>
      </c>
      <c r="E1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04">
        <v>50</v>
      </c>
      <c r="G104" t="str">
        <f>TRIM(IF(Table1[[#This Row],[age]]="","Unknown",Table1[[#This Row],[age]]))</f>
        <v>50</v>
      </c>
      <c r="H104" t="s">
        <v>124</v>
      </c>
      <c r="I104" t="s">
        <v>125</v>
      </c>
      <c r="J104" t="s">
        <v>89</v>
      </c>
      <c r="K104">
        <v>30</v>
      </c>
      <c r="L104" s="10" t="str">
        <f>TRIM(IF(Table1[[#This Row],[years_of_experience]]="","Unknown",Table1[[#This Row],[years_of_experience]]))</f>
        <v>30</v>
      </c>
      <c r="M104">
        <v>100</v>
      </c>
      <c r="N104">
        <f>IF(Table1[[#This Row],[hourly_rate (USD)]]="",MEDIAN(Table1[hourly_rate (USD)]),Table1[[#This Row],[hourly_rate (USD)]])</f>
        <v>100</v>
      </c>
      <c r="O104" t="str">
        <f>TRIM(CLEAN(Table1[[#This Row],[Updated hourly_rate (USD)]]))</f>
        <v>100</v>
      </c>
      <c r="P104" t="str">
        <f>SUBSTITUTE(SUBSTITUTE(Table1[[#This Row],[Formatted hourly rate]],"USD ",""),"$","")</f>
        <v>100</v>
      </c>
      <c r="Q104">
        <v>3</v>
      </c>
      <c r="R104">
        <f>IF(Table1[[#This Row],[rating]]="",2.6,Table1[[#This Row],[rating]])</f>
        <v>3</v>
      </c>
      <c r="S104">
        <v>1</v>
      </c>
      <c r="T104" t="str">
        <f>TRIM(CLEAN(Table1[[#This Row],[is_active]]))</f>
        <v>1</v>
      </c>
      <c r="U10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04" s="11" t="str">
        <f>TRIM(IF(Table1[[#This Row],[is_active3]]="Unknown","TRUE",Table1[[#This Row],[is_active3]]))</f>
        <v>TRUE</v>
      </c>
      <c r="W104">
        <v>0.73</v>
      </c>
      <c r="X104">
        <f>IF(Table1[[#This Row],[client_satisfaction]]&gt;1,Table1[[#This Row],[client_satisfaction]]/100,Table1[[#This Row],[client_satisfaction]])</f>
        <v>0.73</v>
      </c>
      <c r="Y104">
        <f>IF(Table1[[#This Row],[client_satisfaction2]]=0,0.75,Table1[[#This Row],[client_satisfaction2]])</f>
        <v>0.73</v>
      </c>
    </row>
    <row r="105" spans="1:25" x14ac:dyDescent="0.25">
      <c r="A105" t="s">
        <v>290</v>
      </c>
      <c r="B105" t="s">
        <v>291</v>
      </c>
      <c r="C105" t="str">
        <f>PROPER(TRIM(SUBSTITUTE(SUBSTITUTE(SUBSTITUTE(Table1[[#This Row],[name]],"Ms. ",""),"Mr. ",""),"Mrs. ","")))</f>
        <v>Kimberly Holland</v>
      </c>
      <c r="D105" t="s">
        <v>14</v>
      </c>
      <c r="E1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05">
        <v>21</v>
      </c>
      <c r="G105" t="str">
        <f>TRIM(IF(Table1[[#This Row],[age]]="","Unknown",Table1[[#This Row],[age]]))</f>
        <v>21</v>
      </c>
      <c r="H105" t="s">
        <v>62</v>
      </c>
      <c r="I105" t="s">
        <v>63</v>
      </c>
      <c r="J105" t="s">
        <v>17</v>
      </c>
      <c r="K105">
        <v>2</v>
      </c>
      <c r="L105" s="10" t="str">
        <f>TRIM(IF(Table1[[#This Row],[years_of_experience]]="","Unknown",Table1[[#This Row],[years_of_experience]]))</f>
        <v>2</v>
      </c>
      <c r="M105" t="s">
        <v>64</v>
      </c>
      <c r="N105" t="str">
        <f>IF(Table1[[#This Row],[hourly_rate (USD)]]="",MEDIAN(Table1[hourly_rate (USD)]),Table1[[#This Row],[hourly_rate (USD)]])</f>
        <v>$50</v>
      </c>
      <c r="O105" t="str">
        <f>TRIM(CLEAN(Table1[[#This Row],[Updated hourly_rate (USD)]]))</f>
        <v>$50</v>
      </c>
      <c r="P105" t="str">
        <f>SUBSTITUTE(SUBSTITUTE(Table1[[#This Row],[Formatted hourly rate]],"USD ",""),"$","")</f>
        <v>50</v>
      </c>
      <c r="Q105">
        <v>4.9000000000000004</v>
      </c>
      <c r="R105">
        <f>IF(Table1[[#This Row],[rating]]="",2.6,Table1[[#This Row],[rating]])</f>
        <v>4.9000000000000004</v>
      </c>
      <c r="S105" t="s">
        <v>68</v>
      </c>
      <c r="T105" t="str">
        <f>TRIM(CLEAN(Table1[[#This Row],[is_active]]))</f>
        <v>yes</v>
      </c>
      <c r="U10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05" s="11" t="str">
        <f>TRIM(IF(Table1[[#This Row],[is_active3]]="Unknown","TRUE",Table1[[#This Row],[is_active3]]))</f>
        <v>TRUE</v>
      </c>
      <c r="W105">
        <v>0.68</v>
      </c>
      <c r="X105">
        <f>IF(Table1[[#This Row],[client_satisfaction]]&gt;1,Table1[[#This Row],[client_satisfaction]]/100,Table1[[#This Row],[client_satisfaction]])</f>
        <v>0.68</v>
      </c>
      <c r="Y105">
        <f>IF(Table1[[#This Row],[client_satisfaction2]]=0,0.75,Table1[[#This Row],[client_satisfaction2]])</f>
        <v>0.68</v>
      </c>
    </row>
    <row r="106" spans="1:25" x14ac:dyDescent="0.25">
      <c r="A106" t="s">
        <v>292</v>
      </c>
      <c r="B106" t="s">
        <v>293</v>
      </c>
      <c r="C106" t="str">
        <f>PROPER(TRIM(SUBSTITUTE(SUBSTITUTE(SUBSTITUTE(Table1[[#This Row],[name]],"Ms. ",""),"Mr. ",""),"Mrs. ","")))</f>
        <v>Travis Richardson</v>
      </c>
      <c r="D106" t="s">
        <v>61</v>
      </c>
      <c r="E1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06">
        <v>25</v>
      </c>
      <c r="G106" t="str">
        <f>TRIM(IF(Table1[[#This Row],[age]]="","Unknown",Table1[[#This Row],[age]]))</f>
        <v>25</v>
      </c>
      <c r="H106" t="s">
        <v>58</v>
      </c>
      <c r="I106" t="s">
        <v>22</v>
      </c>
      <c r="J106" t="s">
        <v>30</v>
      </c>
      <c r="K106">
        <v>3</v>
      </c>
      <c r="L106" s="10" t="str">
        <f>TRIM(IF(Table1[[#This Row],[years_of_experience]]="","Unknown",Table1[[#This Row],[years_of_experience]]))</f>
        <v>3</v>
      </c>
      <c r="M106" t="s">
        <v>45</v>
      </c>
      <c r="N106" t="str">
        <f>IF(Table1[[#This Row],[hourly_rate (USD)]]="",MEDIAN(Table1[hourly_rate (USD)]),Table1[[#This Row],[hourly_rate (USD)]])</f>
        <v>$30</v>
      </c>
      <c r="O106" t="str">
        <f>TRIM(CLEAN(Table1[[#This Row],[Updated hourly_rate (USD)]]))</f>
        <v>$30</v>
      </c>
      <c r="P106" t="str">
        <f>SUBSTITUTE(SUBSTITUTE(Table1[[#This Row],[Formatted hourly rate]],"USD ",""),"$","")</f>
        <v>30</v>
      </c>
      <c r="R106">
        <f>IF(Table1[[#This Row],[rating]]="",2.6,Table1[[#This Row],[rating]])</f>
        <v>2.6</v>
      </c>
      <c r="S106" t="s">
        <v>159</v>
      </c>
      <c r="T106" t="str">
        <f>TRIM(CLEAN(Table1[[#This Row],[is_active]]))</f>
        <v>no</v>
      </c>
      <c r="U10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06" s="11" t="str">
        <f>TRIM(IF(Table1[[#This Row],[is_active3]]="Unknown","TRUE",Table1[[#This Row],[is_active3]]))</f>
        <v>FALSE</v>
      </c>
      <c r="W106">
        <v>0.88</v>
      </c>
      <c r="X106">
        <f>IF(Table1[[#This Row],[client_satisfaction]]&gt;1,Table1[[#This Row],[client_satisfaction]]/100,Table1[[#This Row],[client_satisfaction]])</f>
        <v>0.88</v>
      </c>
      <c r="Y106">
        <f>IF(Table1[[#This Row],[client_satisfaction2]]=0,0.75,Table1[[#This Row],[client_satisfaction2]])</f>
        <v>0.88</v>
      </c>
    </row>
    <row r="107" spans="1:25" x14ac:dyDescent="0.25">
      <c r="A107" t="s">
        <v>294</v>
      </c>
      <c r="B107" t="s">
        <v>295</v>
      </c>
      <c r="C107" t="str">
        <f>PROPER(TRIM(SUBSTITUTE(SUBSTITUTE(SUBSTITUTE(Table1[[#This Row],[name]],"Ms. ",""),"Mr. ",""),"Mrs. ","")))</f>
        <v>Jasmin Ho</v>
      </c>
      <c r="D107" t="s">
        <v>20</v>
      </c>
      <c r="E1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07">
        <v>57</v>
      </c>
      <c r="G107" t="str">
        <f>TRIM(IF(Table1[[#This Row],[age]]="","Unknown",Table1[[#This Row],[age]]))</f>
        <v>57</v>
      </c>
      <c r="H107" t="s">
        <v>135</v>
      </c>
      <c r="I107" t="s">
        <v>136</v>
      </c>
      <c r="J107" t="s">
        <v>89</v>
      </c>
      <c r="K107">
        <v>21</v>
      </c>
      <c r="L107" s="10" t="str">
        <f>TRIM(IF(Table1[[#This Row],[years_of_experience]]="","Unknown",Table1[[#This Row],[years_of_experience]]))</f>
        <v>21</v>
      </c>
      <c r="M107" t="s">
        <v>36</v>
      </c>
      <c r="N107" t="str">
        <f>IF(Table1[[#This Row],[hourly_rate (USD)]]="",MEDIAN(Table1[hourly_rate (USD)]),Table1[[#This Row],[hourly_rate (USD)]])</f>
        <v>$40</v>
      </c>
      <c r="O107" t="str">
        <f>TRIM(CLEAN(Table1[[#This Row],[Updated hourly_rate (USD)]]))</f>
        <v>$40</v>
      </c>
      <c r="P107" t="str">
        <f>SUBSTITUTE(SUBSTITUTE(Table1[[#This Row],[Formatted hourly rate]],"USD ",""),"$","")</f>
        <v>40</v>
      </c>
      <c r="Q107">
        <v>2.5</v>
      </c>
      <c r="R107">
        <f>IF(Table1[[#This Row],[rating]]="",2.6,Table1[[#This Row],[rating]])</f>
        <v>2.5</v>
      </c>
      <c r="S107">
        <v>0</v>
      </c>
      <c r="T107" t="str">
        <f>TRIM(CLEAN(Table1[[#This Row],[is_active]]))</f>
        <v>0</v>
      </c>
      <c r="U10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07" s="11" t="str">
        <f>TRIM(IF(Table1[[#This Row],[is_active3]]="Unknown","TRUE",Table1[[#This Row],[is_active3]]))</f>
        <v>FALSE</v>
      </c>
      <c r="W107">
        <v>0.77</v>
      </c>
      <c r="X107">
        <f>IF(Table1[[#This Row],[client_satisfaction]]&gt;1,Table1[[#This Row],[client_satisfaction]]/100,Table1[[#This Row],[client_satisfaction]])</f>
        <v>0.77</v>
      </c>
      <c r="Y107">
        <f>IF(Table1[[#This Row],[client_satisfaction2]]=0,0.75,Table1[[#This Row],[client_satisfaction2]])</f>
        <v>0.77</v>
      </c>
    </row>
    <row r="108" spans="1:25" x14ac:dyDescent="0.25">
      <c r="A108" t="s">
        <v>296</v>
      </c>
      <c r="B108" t="s">
        <v>297</v>
      </c>
      <c r="C108" t="str">
        <f>PROPER(TRIM(SUBSTITUTE(SUBSTITUTE(SUBSTITUTE(Table1[[#This Row],[name]],"Ms. ",""),"Mr. ",""),"Mrs. ","")))</f>
        <v>Mark Paul</v>
      </c>
      <c r="D108" t="s">
        <v>48</v>
      </c>
      <c r="E1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08">
        <v>58</v>
      </c>
      <c r="G108" t="str">
        <f>TRIM(IF(Table1[[#This Row],[age]]="","Unknown",Table1[[#This Row],[age]]))</f>
        <v>58</v>
      </c>
      <c r="H108" t="s">
        <v>124</v>
      </c>
      <c r="I108" t="s">
        <v>125</v>
      </c>
      <c r="J108" t="s">
        <v>17</v>
      </c>
      <c r="K108">
        <v>3</v>
      </c>
      <c r="L108" s="10" t="str">
        <f>TRIM(IF(Table1[[#This Row],[years_of_experience]]="","Unknown",Table1[[#This Row],[years_of_experience]]))</f>
        <v>3</v>
      </c>
      <c r="N108">
        <f>IF(Table1[[#This Row],[hourly_rate (USD)]]="",MEDIAN(Table1[hourly_rate (USD)]),Table1[[#This Row],[hourly_rate (USD)]])</f>
        <v>50</v>
      </c>
      <c r="O108" t="str">
        <f>TRIM(CLEAN(Table1[[#This Row],[Updated hourly_rate (USD)]]))</f>
        <v>50</v>
      </c>
      <c r="P108" t="str">
        <f>SUBSTITUTE(SUBSTITUTE(Table1[[#This Row],[Formatted hourly rate]],"USD ",""),"$","")</f>
        <v>50</v>
      </c>
      <c r="Q108">
        <v>0</v>
      </c>
      <c r="R108">
        <f>IF(Table1[[#This Row],[rating]]="",2.6,Table1[[#This Row],[rating]])</f>
        <v>0</v>
      </c>
      <c r="S108">
        <v>1</v>
      </c>
      <c r="T108" t="str">
        <f>TRIM(CLEAN(Table1[[#This Row],[is_active]]))</f>
        <v>1</v>
      </c>
      <c r="U10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08" s="11" t="str">
        <f>TRIM(IF(Table1[[#This Row],[is_active3]]="Unknown","TRUE",Table1[[#This Row],[is_active3]]))</f>
        <v>TRUE</v>
      </c>
      <c r="X108">
        <f>IF(Table1[[#This Row],[client_satisfaction]]&gt;1,Table1[[#This Row],[client_satisfaction]]/100,Table1[[#This Row],[client_satisfaction]])</f>
        <v>0</v>
      </c>
      <c r="Y108">
        <f>IF(Table1[[#This Row],[client_satisfaction2]]=0,0.75,Table1[[#This Row],[client_satisfaction2]])</f>
        <v>0.75</v>
      </c>
    </row>
    <row r="109" spans="1:25" x14ac:dyDescent="0.25">
      <c r="A109" t="s">
        <v>298</v>
      </c>
      <c r="B109" t="s">
        <v>299</v>
      </c>
      <c r="C109" t="str">
        <f>PROPER(TRIM(SUBSTITUTE(SUBSTITUTE(SUBSTITUTE(Table1[[#This Row],[name]],"Ms. ",""),"Mr. ",""),"Mrs. ","")))</f>
        <v>Jennifer Lewis</v>
      </c>
      <c r="D109" t="s">
        <v>34</v>
      </c>
      <c r="E1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09">
        <v>45</v>
      </c>
      <c r="G109" t="str">
        <f>TRIM(IF(Table1[[#This Row],[age]]="","Unknown",Table1[[#This Row],[age]]))</f>
        <v>45</v>
      </c>
      <c r="H109" t="s">
        <v>49</v>
      </c>
      <c r="I109" t="s">
        <v>50</v>
      </c>
      <c r="J109" t="s">
        <v>23</v>
      </c>
      <c r="K109">
        <v>19</v>
      </c>
      <c r="L109" s="10" t="str">
        <f>TRIM(IF(Table1[[#This Row],[years_of_experience]]="","Unknown",Table1[[#This Row],[years_of_experience]]))</f>
        <v>19</v>
      </c>
      <c r="M109">
        <v>40</v>
      </c>
      <c r="N109">
        <f>IF(Table1[[#This Row],[hourly_rate (USD)]]="",MEDIAN(Table1[hourly_rate (USD)]),Table1[[#This Row],[hourly_rate (USD)]])</f>
        <v>40</v>
      </c>
      <c r="O109" t="str">
        <f>TRIM(CLEAN(Table1[[#This Row],[Updated hourly_rate (USD)]]))</f>
        <v>40</v>
      </c>
      <c r="P109" t="str">
        <f>SUBSTITUTE(SUBSTITUTE(Table1[[#This Row],[Formatted hourly rate]],"USD ",""),"$","")</f>
        <v>40</v>
      </c>
      <c r="R109">
        <f>IF(Table1[[#This Row],[rating]]="",2.6,Table1[[#This Row],[rating]])</f>
        <v>2.6</v>
      </c>
      <c r="S109">
        <v>1</v>
      </c>
      <c r="T109" t="str">
        <f>TRIM(CLEAN(Table1[[#This Row],[is_active]]))</f>
        <v>1</v>
      </c>
      <c r="U10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09" s="11" t="str">
        <f>TRIM(IF(Table1[[#This Row],[is_active3]]="Unknown","TRUE",Table1[[#This Row],[is_active3]]))</f>
        <v>TRUE</v>
      </c>
      <c r="W109">
        <v>0.72</v>
      </c>
      <c r="X109">
        <f>IF(Table1[[#This Row],[client_satisfaction]]&gt;1,Table1[[#This Row],[client_satisfaction]]/100,Table1[[#This Row],[client_satisfaction]])</f>
        <v>0.72</v>
      </c>
      <c r="Y109">
        <f>IF(Table1[[#This Row],[client_satisfaction2]]=0,0.75,Table1[[#This Row],[client_satisfaction2]])</f>
        <v>0.72</v>
      </c>
    </row>
    <row r="110" spans="1:25" x14ac:dyDescent="0.25">
      <c r="A110" t="s">
        <v>300</v>
      </c>
      <c r="B110" t="s">
        <v>301</v>
      </c>
      <c r="C110" t="str">
        <f>PROPER(TRIM(SUBSTITUTE(SUBSTITUTE(SUBSTITUTE(Table1[[#This Row],[name]],"Ms. ",""),"Mr. ",""),"Mrs. ","")))</f>
        <v>Elizabeth Lester</v>
      </c>
      <c r="D110" t="s">
        <v>34</v>
      </c>
      <c r="E1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10">
        <v>23</v>
      </c>
      <c r="G110" t="str">
        <f>TRIM(IF(Table1[[#This Row],[age]]="","Unknown",Table1[[#This Row],[age]]))</f>
        <v>23</v>
      </c>
      <c r="H110" t="s">
        <v>58</v>
      </c>
      <c r="I110" t="s">
        <v>22</v>
      </c>
      <c r="J110" t="s">
        <v>35</v>
      </c>
      <c r="K110">
        <v>0</v>
      </c>
      <c r="L110" s="10" t="str">
        <f>TRIM(IF(Table1[[#This Row],[years_of_experience]]="","Unknown",Table1[[#This Row],[years_of_experience]]))</f>
        <v>0</v>
      </c>
      <c r="M110">
        <v>20</v>
      </c>
      <c r="N110">
        <f>IF(Table1[[#This Row],[hourly_rate (USD)]]="",MEDIAN(Table1[hourly_rate (USD)]),Table1[[#This Row],[hourly_rate (USD)]])</f>
        <v>20</v>
      </c>
      <c r="O110" t="str">
        <f>TRIM(CLEAN(Table1[[#This Row],[Updated hourly_rate (USD)]]))</f>
        <v>20</v>
      </c>
      <c r="P110" t="str">
        <f>SUBSTITUTE(SUBSTITUTE(Table1[[#This Row],[Formatted hourly rate]],"USD ",""),"$","")</f>
        <v>20</v>
      </c>
      <c r="Q110">
        <v>4.7</v>
      </c>
      <c r="R110">
        <f>IF(Table1[[#This Row],[rating]]="",2.6,Table1[[#This Row],[rating]])</f>
        <v>4.7</v>
      </c>
      <c r="S110" t="s">
        <v>74</v>
      </c>
      <c r="T110" t="str">
        <f>TRIM(CLEAN(Table1[[#This Row],[is_active]]))</f>
        <v>Y</v>
      </c>
      <c r="U11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10" s="11" t="str">
        <f>TRIM(IF(Table1[[#This Row],[is_active3]]="Unknown","TRUE",Table1[[#This Row],[is_active3]]))</f>
        <v>TRUE</v>
      </c>
      <c r="W110">
        <v>0.6</v>
      </c>
      <c r="X110">
        <f>IF(Table1[[#This Row],[client_satisfaction]]&gt;1,Table1[[#This Row],[client_satisfaction]]/100,Table1[[#This Row],[client_satisfaction]])</f>
        <v>0.6</v>
      </c>
      <c r="Y110">
        <f>IF(Table1[[#This Row],[client_satisfaction2]]=0,0.75,Table1[[#This Row],[client_satisfaction2]])</f>
        <v>0.6</v>
      </c>
    </row>
    <row r="111" spans="1:25" x14ac:dyDescent="0.25">
      <c r="A111" t="s">
        <v>302</v>
      </c>
      <c r="B111" t="s">
        <v>303</v>
      </c>
      <c r="C111" t="str">
        <f>PROPER(TRIM(SUBSTITUTE(SUBSTITUTE(SUBSTITUTE(Table1[[#This Row],[name]],"Ms. ",""),"Mr. ",""),"Mrs. ","")))</f>
        <v>Kimberly Griffin</v>
      </c>
      <c r="D111" t="s">
        <v>20</v>
      </c>
      <c r="E1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11">
        <v>46</v>
      </c>
      <c r="G111" t="str">
        <f>TRIM(IF(Table1[[#This Row],[age]]="","Unknown",Table1[[#This Row],[age]]))</f>
        <v>46</v>
      </c>
      <c r="H111" t="s">
        <v>58</v>
      </c>
      <c r="I111" t="s">
        <v>22</v>
      </c>
      <c r="J111" t="s">
        <v>44</v>
      </c>
      <c r="K111">
        <v>9</v>
      </c>
      <c r="L111" s="10" t="str">
        <f>TRIM(IF(Table1[[#This Row],[years_of_experience]]="","Unknown",Table1[[#This Row],[years_of_experience]]))</f>
        <v>9</v>
      </c>
      <c r="M111" t="s">
        <v>45</v>
      </c>
      <c r="N111" t="str">
        <f>IF(Table1[[#This Row],[hourly_rate (USD)]]="",MEDIAN(Table1[hourly_rate (USD)]),Table1[[#This Row],[hourly_rate (USD)]])</f>
        <v>$30</v>
      </c>
      <c r="O111" t="str">
        <f>TRIM(CLEAN(Table1[[#This Row],[Updated hourly_rate (USD)]]))</f>
        <v>$30</v>
      </c>
      <c r="P111" t="str">
        <f>SUBSTITUTE(SUBSTITUTE(Table1[[#This Row],[Formatted hourly rate]],"USD ",""),"$","")</f>
        <v>30</v>
      </c>
      <c r="Q111">
        <v>3.5</v>
      </c>
      <c r="R111">
        <f>IF(Table1[[#This Row],[rating]]="",2.6,Table1[[#This Row],[rating]])</f>
        <v>3.5</v>
      </c>
      <c r="T111" t="str">
        <f>TRIM(CLEAN(Table1[[#This Row],[is_active]]))</f>
        <v/>
      </c>
      <c r="U11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11" s="11" t="str">
        <f>TRIM(IF(Table1[[#This Row],[is_active3]]="Unknown","TRUE",Table1[[#This Row],[is_active3]]))</f>
        <v>TRUE</v>
      </c>
      <c r="W111">
        <v>72</v>
      </c>
      <c r="X111">
        <f>IF(Table1[[#This Row],[client_satisfaction]]&gt;1,Table1[[#This Row],[client_satisfaction]]/100,Table1[[#This Row],[client_satisfaction]])</f>
        <v>0.72</v>
      </c>
      <c r="Y111">
        <f>IF(Table1[[#This Row],[client_satisfaction2]]=0,0.75,Table1[[#This Row],[client_satisfaction2]])</f>
        <v>0.72</v>
      </c>
    </row>
    <row r="112" spans="1:25" x14ac:dyDescent="0.25">
      <c r="A112" t="s">
        <v>304</v>
      </c>
      <c r="B112" t="s">
        <v>305</v>
      </c>
      <c r="C112" t="str">
        <f>PROPER(TRIM(SUBSTITUTE(SUBSTITUTE(SUBSTITUTE(Table1[[#This Row],[name]],"Ms. ",""),"Mr. ",""),"Mrs. ","")))</f>
        <v>Tyler Warner</v>
      </c>
      <c r="D112" t="s">
        <v>61</v>
      </c>
      <c r="E1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12">
        <v>27</v>
      </c>
      <c r="G112" t="str">
        <f>TRIM(IF(Table1[[#This Row],[age]]="","Unknown",Table1[[#This Row],[age]]))</f>
        <v>27</v>
      </c>
      <c r="H112" t="s">
        <v>71</v>
      </c>
      <c r="I112" t="s">
        <v>72</v>
      </c>
      <c r="J112" t="s">
        <v>73</v>
      </c>
      <c r="K112">
        <v>5</v>
      </c>
      <c r="L112" s="10" t="str">
        <f>TRIM(IF(Table1[[#This Row],[years_of_experience]]="","Unknown",Table1[[#This Row],[years_of_experience]]))</f>
        <v>5</v>
      </c>
      <c r="M112">
        <v>30</v>
      </c>
      <c r="N112">
        <f>IF(Table1[[#This Row],[hourly_rate (USD)]]="",MEDIAN(Table1[hourly_rate (USD)]),Table1[[#This Row],[hourly_rate (USD)]])</f>
        <v>30</v>
      </c>
      <c r="O112" t="str">
        <f>TRIM(CLEAN(Table1[[#This Row],[Updated hourly_rate (USD)]]))</f>
        <v>30</v>
      </c>
      <c r="P112" t="str">
        <f>SUBSTITUTE(SUBSTITUTE(Table1[[#This Row],[Formatted hourly rate]],"USD ",""),"$","")</f>
        <v>30</v>
      </c>
      <c r="R112">
        <f>IF(Table1[[#This Row],[rating]]="",2.6,Table1[[#This Row],[rating]])</f>
        <v>2.6</v>
      </c>
      <c r="S112" t="s">
        <v>31</v>
      </c>
      <c r="T112" t="str">
        <f>TRIM(CLEAN(Table1[[#This Row],[is_active]]))</f>
        <v>N</v>
      </c>
      <c r="U11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12" s="11" t="str">
        <f>TRIM(IF(Table1[[#This Row],[is_active3]]="Unknown","TRUE",Table1[[#This Row],[is_active3]]))</f>
        <v>FALSE</v>
      </c>
      <c r="W112">
        <v>0.92</v>
      </c>
      <c r="X112">
        <f>IF(Table1[[#This Row],[client_satisfaction]]&gt;1,Table1[[#This Row],[client_satisfaction]]/100,Table1[[#This Row],[client_satisfaction]])</f>
        <v>0.92</v>
      </c>
      <c r="Y112">
        <f>IF(Table1[[#This Row],[client_satisfaction2]]=0,0.75,Table1[[#This Row],[client_satisfaction2]])</f>
        <v>0.92</v>
      </c>
    </row>
    <row r="113" spans="1:25" x14ac:dyDescent="0.25">
      <c r="A113" t="s">
        <v>306</v>
      </c>
      <c r="B113" t="s">
        <v>307</v>
      </c>
      <c r="C113" t="str">
        <f>PROPER(TRIM(SUBSTITUTE(SUBSTITUTE(SUBSTITUTE(Table1[[#This Row],[name]],"Ms. ",""),"Mr. ",""),"Mrs. ","")))</f>
        <v>Jane Cox</v>
      </c>
      <c r="D113" t="s">
        <v>20</v>
      </c>
      <c r="E1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13">
        <v>32</v>
      </c>
      <c r="G113" t="str">
        <f>TRIM(IF(Table1[[#This Row],[age]]="","Unknown",Table1[[#This Row],[age]]))</f>
        <v>32</v>
      </c>
      <c r="H113" t="s">
        <v>58</v>
      </c>
      <c r="I113" t="s">
        <v>22</v>
      </c>
      <c r="J113" t="s">
        <v>114</v>
      </c>
      <c r="K113">
        <v>6</v>
      </c>
      <c r="L113" s="10" t="str">
        <f>TRIM(IF(Table1[[#This Row],[years_of_experience]]="","Unknown",Table1[[#This Row],[years_of_experience]]))</f>
        <v>6</v>
      </c>
      <c r="M113" t="s">
        <v>98</v>
      </c>
      <c r="N113" t="str">
        <f>IF(Table1[[#This Row],[hourly_rate (USD)]]="",MEDIAN(Table1[hourly_rate (USD)]),Table1[[#This Row],[hourly_rate (USD)]])</f>
        <v>USD 50</v>
      </c>
      <c r="O113" t="str">
        <f>TRIM(CLEAN(Table1[[#This Row],[Updated hourly_rate (USD)]]))</f>
        <v>USD 50</v>
      </c>
      <c r="P113" t="str">
        <f>SUBSTITUTE(SUBSTITUTE(Table1[[#This Row],[Formatted hourly rate]],"USD ",""),"$","")</f>
        <v>50</v>
      </c>
      <c r="Q113">
        <v>3.4</v>
      </c>
      <c r="R113">
        <f>IF(Table1[[#This Row],[rating]]="",2.6,Table1[[#This Row],[rating]])</f>
        <v>3.4</v>
      </c>
      <c r="S113">
        <v>1</v>
      </c>
      <c r="T113" t="str">
        <f>TRIM(CLEAN(Table1[[#This Row],[is_active]]))</f>
        <v>1</v>
      </c>
      <c r="U1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13" s="11" t="str">
        <f>TRIM(IF(Table1[[#This Row],[is_active3]]="Unknown","TRUE",Table1[[#This Row],[is_active3]]))</f>
        <v>TRUE</v>
      </c>
      <c r="X113">
        <f>IF(Table1[[#This Row],[client_satisfaction]]&gt;1,Table1[[#This Row],[client_satisfaction]]/100,Table1[[#This Row],[client_satisfaction]])</f>
        <v>0</v>
      </c>
      <c r="Y113">
        <f>IF(Table1[[#This Row],[client_satisfaction2]]=0,0.75,Table1[[#This Row],[client_satisfaction2]])</f>
        <v>0.75</v>
      </c>
    </row>
    <row r="114" spans="1:25" x14ac:dyDescent="0.25">
      <c r="A114" t="s">
        <v>308</v>
      </c>
      <c r="B114" t="s">
        <v>309</v>
      </c>
      <c r="C114" t="str">
        <f>PROPER(TRIM(SUBSTITUTE(SUBSTITUTE(SUBSTITUTE(Table1[[#This Row],[name]],"Ms. ",""),"Mr. ",""),"Mrs. ","")))</f>
        <v>Leah Williams</v>
      </c>
      <c r="D114" t="s">
        <v>14</v>
      </c>
      <c r="E1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14">
        <v>48</v>
      </c>
      <c r="G114" t="str">
        <f>TRIM(IF(Table1[[#This Row],[age]]="","Unknown",Table1[[#This Row],[age]]))</f>
        <v>48</v>
      </c>
      <c r="H114" t="s">
        <v>71</v>
      </c>
      <c r="I114" t="s">
        <v>72</v>
      </c>
      <c r="J114" t="s">
        <v>114</v>
      </c>
      <c r="K114">
        <v>6</v>
      </c>
      <c r="L114" s="10" t="str">
        <f>TRIM(IF(Table1[[#This Row],[years_of_experience]]="","Unknown",Table1[[#This Row],[years_of_experience]]))</f>
        <v>6</v>
      </c>
      <c r="M114" t="s">
        <v>52</v>
      </c>
      <c r="N114" t="str">
        <f>IF(Table1[[#This Row],[hourly_rate (USD)]]="",MEDIAN(Table1[hourly_rate (USD)]),Table1[[#This Row],[hourly_rate (USD)]])</f>
        <v>USD 75</v>
      </c>
      <c r="O114" t="str">
        <f>TRIM(CLEAN(Table1[[#This Row],[Updated hourly_rate (USD)]]))</f>
        <v>USD 75</v>
      </c>
      <c r="P114" t="str">
        <f>SUBSTITUTE(SUBSTITUTE(Table1[[#This Row],[Formatted hourly rate]],"USD ",""),"$","")</f>
        <v>75</v>
      </c>
      <c r="Q114">
        <v>2.5</v>
      </c>
      <c r="R114">
        <f>IF(Table1[[#This Row],[rating]]="",2.6,Table1[[#This Row],[rating]])</f>
        <v>2.5</v>
      </c>
      <c r="T114" t="str">
        <f>TRIM(CLEAN(Table1[[#This Row],[is_active]]))</f>
        <v/>
      </c>
      <c r="U11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14" s="11" t="str">
        <f>TRIM(IF(Table1[[#This Row],[is_active3]]="Unknown","TRUE",Table1[[#This Row],[is_active3]]))</f>
        <v>TRUE</v>
      </c>
      <c r="W114">
        <v>0.92</v>
      </c>
      <c r="X114">
        <f>IF(Table1[[#This Row],[client_satisfaction]]&gt;1,Table1[[#This Row],[client_satisfaction]]/100,Table1[[#This Row],[client_satisfaction]])</f>
        <v>0.92</v>
      </c>
      <c r="Y114">
        <f>IF(Table1[[#This Row],[client_satisfaction2]]=0,0.75,Table1[[#This Row],[client_satisfaction2]])</f>
        <v>0.92</v>
      </c>
    </row>
    <row r="115" spans="1:25" x14ac:dyDescent="0.25">
      <c r="A115" t="s">
        <v>310</v>
      </c>
      <c r="B115" t="s">
        <v>311</v>
      </c>
      <c r="C115" t="str">
        <f>PROPER(TRIM(SUBSTITUTE(SUBSTITUTE(SUBSTITUTE(Table1[[#This Row],[name]],"Ms. ",""),"Mr. ",""),"Mrs. ","")))</f>
        <v>Kevin Wong</v>
      </c>
      <c r="D115" t="s">
        <v>27</v>
      </c>
      <c r="E1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15">
        <v>30</v>
      </c>
      <c r="G115" t="str">
        <f>TRIM(IF(Table1[[#This Row],[age]]="","Unknown",Table1[[#This Row],[age]]))</f>
        <v>30</v>
      </c>
      <c r="H115" t="s">
        <v>62</v>
      </c>
      <c r="I115" t="s">
        <v>63</v>
      </c>
      <c r="J115" t="s">
        <v>23</v>
      </c>
      <c r="K115">
        <v>3</v>
      </c>
      <c r="L115" s="10" t="str">
        <f>TRIM(IF(Table1[[#This Row],[years_of_experience]]="","Unknown",Table1[[#This Row],[years_of_experience]]))</f>
        <v>3</v>
      </c>
      <c r="M115" t="s">
        <v>45</v>
      </c>
      <c r="N115" t="str">
        <f>IF(Table1[[#This Row],[hourly_rate (USD)]]="",MEDIAN(Table1[hourly_rate (USD)]),Table1[[#This Row],[hourly_rate (USD)]])</f>
        <v>$30</v>
      </c>
      <c r="O115" t="str">
        <f>TRIM(CLEAN(Table1[[#This Row],[Updated hourly_rate (USD)]]))</f>
        <v>$30</v>
      </c>
      <c r="P115" t="str">
        <f>SUBSTITUTE(SUBSTITUTE(Table1[[#This Row],[Formatted hourly rate]],"USD ",""),"$","")</f>
        <v>30</v>
      </c>
      <c r="Q115">
        <v>1.1000000000000001</v>
      </c>
      <c r="R115">
        <f>IF(Table1[[#This Row],[rating]]="",2.6,Table1[[#This Row],[rating]])</f>
        <v>1.1000000000000001</v>
      </c>
      <c r="S115" t="b">
        <v>1</v>
      </c>
      <c r="T115" t="str">
        <f>TRIM(CLEAN(Table1[[#This Row],[is_active]]))</f>
        <v>TRUE</v>
      </c>
      <c r="U11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15" s="11" t="str">
        <f>TRIM(IF(Table1[[#This Row],[is_active3]]="Unknown","TRUE",Table1[[#This Row],[is_active3]]))</f>
        <v>TRUE</v>
      </c>
      <c r="X115">
        <f>IF(Table1[[#This Row],[client_satisfaction]]&gt;1,Table1[[#This Row],[client_satisfaction]]/100,Table1[[#This Row],[client_satisfaction]])</f>
        <v>0</v>
      </c>
      <c r="Y115">
        <f>IF(Table1[[#This Row],[client_satisfaction2]]=0,0.75,Table1[[#This Row],[client_satisfaction2]])</f>
        <v>0.75</v>
      </c>
    </row>
    <row r="116" spans="1:25" x14ac:dyDescent="0.25">
      <c r="A116" t="s">
        <v>312</v>
      </c>
      <c r="B116" t="s">
        <v>313</v>
      </c>
      <c r="C116" t="str">
        <f>PROPER(TRIM(SUBSTITUTE(SUBSTITUTE(SUBSTITUTE(Table1[[#This Row],[name]],"Ms. ",""),"Mr. ",""),"Mrs. ","")))</f>
        <v>Robert Andrews</v>
      </c>
      <c r="D116" t="s">
        <v>97</v>
      </c>
      <c r="E1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16">
        <v>59</v>
      </c>
      <c r="G116" t="str">
        <f>TRIM(IF(Table1[[#This Row],[age]]="","Unknown",Table1[[#This Row],[age]]))</f>
        <v>59</v>
      </c>
      <c r="H116" t="s">
        <v>62</v>
      </c>
      <c r="I116" t="s">
        <v>63</v>
      </c>
      <c r="J116" t="s">
        <v>44</v>
      </c>
      <c r="K116">
        <v>13</v>
      </c>
      <c r="L116" s="10" t="str">
        <f>TRIM(IF(Table1[[#This Row],[years_of_experience]]="","Unknown",Table1[[#This Row],[years_of_experience]]))</f>
        <v>13</v>
      </c>
      <c r="M116" t="s">
        <v>314</v>
      </c>
      <c r="N116" t="str">
        <f>IF(Table1[[#This Row],[hourly_rate (USD)]]="",MEDIAN(Table1[hourly_rate (USD)]),Table1[[#This Row],[hourly_rate (USD)]])</f>
        <v>USD 20</v>
      </c>
      <c r="O116" t="str">
        <f>TRIM(CLEAN(Table1[[#This Row],[Updated hourly_rate (USD)]]))</f>
        <v>USD 20</v>
      </c>
      <c r="P116" t="str">
        <f>SUBSTITUTE(SUBSTITUTE(Table1[[#This Row],[Formatted hourly rate]],"USD ",""),"$","")</f>
        <v>20</v>
      </c>
      <c r="Q116">
        <v>4.8</v>
      </c>
      <c r="R116">
        <f>IF(Table1[[#This Row],[rating]]="",2.6,Table1[[#This Row],[rating]])</f>
        <v>4.8</v>
      </c>
      <c r="T116" t="str">
        <f>TRIM(CLEAN(Table1[[#This Row],[is_active]]))</f>
        <v/>
      </c>
      <c r="U11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16" s="11" t="str">
        <f>TRIM(IF(Table1[[#This Row],[is_active3]]="Unknown","TRUE",Table1[[#This Row],[is_active3]]))</f>
        <v>TRUE</v>
      </c>
      <c r="X116">
        <f>IF(Table1[[#This Row],[client_satisfaction]]&gt;1,Table1[[#This Row],[client_satisfaction]]/100,Table1[[#This Row],[client_satisfaction]])</f>
        <v>0</v>
      </c>
      <c r="Y116">
        <f>IF(Table1[[#This Row],[client_satisfaction2]]=0,0.75,Table1[[#This Row],[client_satisfaction2]])</f>
        <v>0.75</v>
      </c>
    </row>
    <row r="117" spans="1:25" x14ac:dyDescent="0.25">
      <c r="A117" t="s">
        <v>315</v>
      </c>
      <c r="B117" t="s">
        <v>316</v>
      </c>
      <c r="C117" t="str">
        <f>PROPER(TRIM(SUBSTITUTE(SUBSTITUTE(SUBSTITUTE(Table1[[#This Row],[name]],"Ms. ",""),"Mr. ",""),"Mrs. ","")))</f>
        <v>Jessica Torres</v>
      </c>
      <c r="D117" t="s">
        <v>39</v>
      </c>
      <c r="E1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17">
        <v>32</v>
      </c>
      <c r="G117" t="str">
        <f>TRIM(IF(Table1[[#This Row],[age]]="","Unknown",Table1[[#This Row],[age]]))</f>
        <v>32</v>
      </c>
      <c r="H117" t="s">
        <v>179</v>
      </c>
      <c r="I117" t="s">
        <v>72</v>
      </c>
      <c r="J117" t="s">
        <v>44</v>
      </c>
      <c r="K117">
        <v>5</v>
      </c>
      <c r="L117" s="10" t="str">
        <f>TRIM(IF(Table1[[#This Row],[years_of_experience]]="","Unknown",Table1[[#This Row],[years_of_experience]]))</f>
        <v>5</v>
      </c>
      <c r="M117" t="s">
        <v>45</v>
      </c>
      <c r="N117" t="str">
        <f>IF(Table1[[#This Row],[hourly_rate (USD)]]="",MEDIAN(Table1[hourly_rate (USD)]),Table1[[#This Row],[hourly_rate (USD)]])</f>
        <v>$30</v>
      </c>
      <c r="O117" t="str">
        <f>TRIM(CLEAN(Table1[[#This Row],[Updated hourly_rate (USD)]]))</f>
        <v>$30</v>
      </c>
      <c r="P117" t="str">
        <f>SUBSTITUTE(SUBSTITUTE(Table1[[#This Row],[Formatted hourly rate]],"USD ",""),"$","")</f>
        <v>30</v>
      </c>
      <c r="R117">
        <f>IF(Table1[[#This Row],[rating]]="",2.6,Table1[[#This Row],[rating]])</f>
        <v>2.6</v>
      </c>
      <c r="S117">
        <v>0</v>
      </c>
      <c r="T117" t="str">
        <f>TRIM(CLEAN(Table1[[#This Row],[is_active]]))</f>
        <v>0</v>
      </c>
      <c r="U11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17" s="11" t="str">
        <f>TRIM(IF(Table1[[#This Row],[is_active3]]="Unknown","TRUE",Table1[[#This Row],[is_active3]]))</f>
        <v>FALSE</v>
      </c>
      <c r="W117">
        <v>0.86</v>
      </c>
      <c r="X117">
        <f>IF(Table1[[#This Row],[client_satisfaction]]&gt;1,Table1[[#This Row],[client_satisfaction]]/100,Table1[[#This Row],[client_satisfaction]])</f>
        <v>0.86</v>
      </c>
      <c r="Y117">
        <f>IF(Table1[[#This Row],[client_satisfaction2]]=0,0.75,Table1[[#This Row],[client_satisfaction2]])</f>
        <v>0.86</v>
      </c>
    </row>
    <row r="118" spans="1:25" x14ac:dyDescent="0.25">
      <c r="A118" t="s">
        <v>317</v>
      </c>
      <c r="B118" t="s">
        <v>318</v>
      </c>
      <c r="C118" t="str">
        <f>PROPER(TRIM(SUBSTITUTE(SUBSTITUTE(SUBSTITUTE(Table1[[#This Row],[name]],"Ms. ",""),"Mr. ",""),"Mrs. ","")))</f>
        <v>Teresa Kim</v>
      </c>
      <c r="D118" t="s">
        <v>77</v>
      </c>
      <c r="E1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18">
        <v>57</v>
      </c>
      <c r="G118" t="str">
        <f>TRIM(IF(Table1[[#This Row],[age]]="","Unknown",Table1[[#This Row],[age]]))</f>
        <v>57</v>
      </c>
      <c r="H118" t="s">
        <v>139</v>
      </c>
      <c r="I118" t="s">
        <v>140</v>
      </c>
      <c r="J118" t="s">
        <v>73</v>
      </c>
      <c r="K118">
        <v>4</v>
      </c>
      <c r="L118" s="10" t="str">
        <f>TRIM(IF(Table1[[#This Row],[years_of_experience]]="","Unknown",Table1[[#This Row],[years_of_experience]]))</f>
        <v>4</v>
      </c>
      <c r="M118" t="s">
        <v>55</v>
      </c>
      <c r="N118" t="str">
        <f>IF(Table1[[#This Row],[hourly_rate (USD)]]="",MEDIAN(Table1[hourly_rate (USD)]),Table1[[#This Row],[hourly_rate (USD)]])</f>
        <v>USD 40</v>
      </c>
      <c r="O118" t="str">
        <f>TRIM(CLEAN(Table1[[#This Row],[Updated hourly_rate (USD)]]))</f>
        <v>USD 40</v>
      </c>
      <c r="P118" t="str">
        <f>SUBSTITUTE(SUBSTITUTE(Table1[[#This Row],[Formatted hourly rate]],"USD ",""),"$","")</f>
        <v>40</v>
      </c>
      <c r="Q118">
        <v>3.4</v>
      </c>
      <c r="R118">
        <f>IF(Table1[[#This Row],[rating]]="",2.6,Table1[[#This Row],[rating]])</f>
        <v>3.4</v>
      </c>
      <c r="S118">
        <v>1</v>
      </c>
      <c r="T118" t="str">
        <f>TRIM(CLEAN(Table1[[#This Row],[is_active]]))</f>
        <v>1</v>
      </c>
      <c r="U1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18" s="11" t="str">
        <f>TRIM(IF(Table1[[#This Row],[is_active3]]="Unknown","TRUE",Table1[[#This Row],[is_active3]]))</f>
        <v>TRUE</v>
      </c>
      <c r="W118">
        <v>0.68</v>
      </c>
      <c r="X118">
        <f>IF(Table1[[#This Row],[client_satisfaction]]&gt;1,Table1[[#This Row],[client_satisfaction]]/100,Table1[[#This Row],[client_satisfaction]])</f>
        <v>0.68</v>
      </c>
      <c r="Y118">
        <f>IF(Table1[[#This Row],[client_satisfaction2]]=0,0.75,Table1[[#This Row],[client_satisfaction2]])</f>
        <v>0.68</v>
      </c>
    </row>
    <row r="119" spans="1:25" x14ac:dyDescent="0.25">
      <c r="A119" t="s">
        <v>319</v>
      </c>
      <c r="B119" t="s">
        <v>320</v>
      </c>
      <c r="C119" t="str">
        <f>PROPER(TRIM(SUBSTITUTE(SUBSTITUTE(SUBSTITUTE(Table1[[#This Row],[name]],"Ms. ",""),"Mr. ",""),"Mrs. ","")))</f>
        <v>Jon Morgan</v>
      </c>
      <c r="D119" t="s">
        <v>61</v>
      </c>
      <c r="E1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19">
        <v>27</v>
      </c>
      <c r="G119" t="str">
        <f>TRIM(IF(Table1[[#This Row],[age]]="","Unknown",Table1[[#This Row],[age]]))</f>
        <v>27</v>
      </c>
      <c r="H119" t="s">
        <v>21</v>
      </c>
      <c r="I119" t="s">
        <v>22</v>
      </c>
      <c r="J119" t="s">
        <v>114</v>
      </c>
      <c r="K119">
        <v>7</v>
      </c>
      <c r="L119" s="10" t="str">
        <f>TRIM(IF(Table1[[#This Row],[years_of_experience]]="","Unknown",Table1[[#This Row],[years_of_experience]]))</f>
        <v>7</v>
      </c>
      <c r="M119" t="s">
        <v>314</v>
      </c>
      <c r="N119" t="str">
        <f>IF(Table1[[#This Row],[hourly_rate (USD)]]="",MEDIAN(Table1[hourly_rate (USD)]),Table1[[#This Row],[hourly_rate (USD)]])</f>
        <v>USD 20</v>
      </c>
      <c r="O119" t="str">
        <f>TRIM(CLEAN(Table1[[#This Row],[Updated hourly_rate (USD)]]))</f>
        <v>USD 20</v>
      </c>
      <c r="P119" t="str">
        <f>SUBSTITUTE(SUBSTITUTE(Table1[[#This Row],[Formatted hourly rate]],"USD ",""),"$","")</f>
        <v>20</v>
      </c>
      <c r="Q119">
        <v>3.2</v>
      </c>
      <c r="R119">
        <f>IF(Table1[[#This Row],[rating]]="",2.6,Table1[[#This Row],[rating]])</f>
        <v>3.2</v>
      </c>
      <c r="S119">
        <v>1</v>
      </c>
      <c r="T119" t="str">
        <f>TRIM(CLEAN(Table1[[#This Row],[is_active]]))</f>
        <v>1</v>
      </c>
      <c r="U11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19" s="11" t="str">
        <f>TRIM(IF(Table1[[#This Row],[is_active3]]="Unknown","TRUE",Table1[[#This Row],[is_active3]]))</f>
        <v>TRUE</v>
      </c>
      <c r="W119">
        <v>0.62</v>
      </c>
      <c r="X119">
        <f>IF(Table1[[#This Row],[client_satisfaction]]&gt;1,Table1[[#This Row],[client_satisfaction]]/100,Table1[[#This Row],[client_satisfaction]])</f>
        <v>0.62</v>
      </c>
      <c r="Y119">
        <f>IF(Table1[[#This Row],[client_satisfaction2]]=0,0.75,Table1[[#This Row],[client_satisfaction2]])</f>
        <v>0.62</v>
      </c>
    </row>
    <row r="120" spans="1:25" x14ac:dyDescent="0.25">
      <c r="A120" t="s">
        <v>321</v>
      </c>
      <c r="B120" t="s">
        <v>322</v>
      </c>
      <c r="C120" t="str">
        <f>PROPER(TRIM(SUBSTITUTE(SUBSTITUTE(SUBSTITUTE(Table1[[#This Row],[name]],"Ms. ",""),"Mr. ",""),"Mrs. ","")))</f>
        <v>Gloria Chaney</v>
      </c>
      <c r="D120" t="s">
        <v>34</v>
      </c>
      <c r="E1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20">
        <v>33</v>
      </c>
      <c r="G120" t="str">
        <f>TRIM(IF(Table1[[#This Row],[age]]="","Unknown",Table1[[#This Row],[age]]))</f>
        <v>33</v>
      </c>
      <c r="H120" t="s">
        <v>49</v>
      </c>
      <c r="I120" t="s">
        <v>50</v>
      </c>
      <c r="J120" t="s">
        <v>114</v>
      </c>
      <c r="K120">
        <v>13</v>
      </c>
      <c r="L120" s="10" t="str">
        <f>TRIM(IF(Table1[[#This Row],[years_of_experience]]="","Unknown",Table1[[#This Row],[years_of_experience]]))</f>
        <v>13</v>
      </c>
      <c r="M120">
        <v>20</v>
      </c>
      <c r="N120">
        <f>IF(Table1[[#This Row],[hourly_rate (USD)]]="",MEDIAN(Table1[hourly_rate (USD)]),Table1[[#This Row],[hourly_rate (USD)]])</f>
        <v>20</v>
      </c>
      <c r="O120" t="str">
        <f>TRIM(CLEAN(Table1[[#This Row],[Updated hourly_rate (USD)]]))</f>
        <v>20</v>
      </c>
      <c r="P120" t="str">
        <f>SUBSTITUTE(SUBSTITUTE(Table1[[#This Row],[Formatted hourly rate]],"USD ",""),"$","")</f>
        <v>20</v>
      </c>
      <c r="Q120">
        <v>3.2</v>
      </c>
      <c r="R120">
        <f>IF(Table1[[#This Row],[rating]]="",2.6,Table1[[#This Row],[rating]])</f>
        <v>3.2</v>
      </c>
      <c r="S120" t="b">
        <v>0</v>
      </c>
      <c r="T120" t="str">
        <f>TRIM(CLEAN(Table1[[#This Row],[is_active]]))</f>
        <v>FALSE</v>
      </c>
      <c r="U12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20" s="11" t="str">
        <f>TRIM(IF(Table1[[#This Row],[is_active3]]="Unknown","TRUE",Table1[[#This Row],[is_active3]]))</f>
        <v>TRUE</v>
      </c>
      <c r="X120">
        <f>IF(Table1[[#This Row],[client_satisfaction]]&gt;1,Table1[[#This Row],[client_satisfaction]]/100,Table1[[#This Row],[client_satisfaction]])</f>
        <v>0</v>
      </c>
      <c r="Y120">
        <f>IF(Table1[[#This Row],[client_satisfaction2]]=0,0.75,Table1[[#This Row],[client_satisfaction2]])</f>
        <v>0.75</v>
      </c>
    </row>
    <row r="121" spans="1:25" x14ac:dyDescent="0.25">
      <c r="A121" t="s">
        <v>323</v>
      </c>
      <c r="B121" t="s">
        <v>324</v>
      </c>
      <c r="C121" t="str">
        <f>PROPER(TRIM(SUBSTITUTE(SUBSTITUTE(SUBSTITUTE(Table1[[#This Row],[name]],"Ms. ",""),"Mr. ",""),"Mrs. ","")))</f>
        <v>Jesse Campbell</v>
      </c>
      <c r="D121" t="s">
        <v>27</v>
      </c>
      <c r="E1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21">
        <v>29</v>
      </c>
      <c r="G121" t="str">
        <f>TRIM(IF(Table1[[#This Row],[age]]="","Unknown",Table1[[#This Row],[age]]))</f>
        <v>29</v>
      </c>
      <c r="H121" t="s">
        <v>112</v>
      </c>
      <c r="I121" t="s">
        <v>113</v>
      </c>
      <c r="J121" t="s">
        <v>51</v>
      </c>
      <c r="K121">
        <v>4</v>
      </c>
      <c r="L121" s="10" t="str">
        <f>TRIM(IF(Table1[[#This Row],[years_of_experience]]="","Unknown",Table1[[#This Row],[years_of_experience]]))</f>
        <v>4</v>
      </c>
      <c r="M121">
        <v>30</v>
      </c>
      <c r="N121">
        <f>IF(Table1[[#This Row],[hourly_rate (USD)]]="",MEDIAN(Table1[hourly_rate (USD)]),Table1[[#This Row],[hourly_rate (USD)]])</f>
        <v>30</v>
      </c>
      <c r="O121" t="str">
        <f>TRIM(CLEAN(Table1[[#This Row],[Updated hourly_rate (USD)]]))</f>
        <v>30</v>
      </c>
      <c r="P121" t="str">
        <f>SUBSTITUTE(SUBSTITUTE(Table1[[#This Row],[Formatted hourly rate]],"USD ",""),"$","")</f>
        <v>30</v>
      </c>
      <c r="Q121">
        <v>0</v>
      </c>
      <c r="R121">
        <f>IF(Table1[[#This Row],[rating]]="",2.6,Table1[[#This Row],[rating]])</f>
        <v>0</v>
      </c>
      <c r="S121" t="s">
        <v>74</v>
      </c>
      <c r="T121" t="str">
        <f>TRIM(CLEAN(Table1[[#This Row],[is_active]]))</f>
        <v>Y</v>
      </c>
      <c r="U1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21" s="11" t="str">
        <f>TRIM(IF(Table1[[#This Row],[is_active3]]="Unknown","TRUE",Table1[[#This Row],[is_active3]]))</f>
        <v>TRUE</v>
      </c>
      <c r="W121">
        <v>0.82</v>
      </c>
      <c r="X121">
        <f>IF(Table1[[#This Row],[client_satisfaction]]&gt;1,Table1[[#This Row],[client_satisfaction]]/100,Table1[[#This Row],[client_satisfaction]])</f>
        <v>0.82</v>
      </c>
      <c r="Y121">
        <f>IF(Table1[[#This Row],[client_satisfaction2]]=0,0.75,Table1[[#This Row],[client_satisfaction2]])</f>
        <v>0.82</v>
      </c>
    </row>
    <row r="122" spans="1:25" x14ac:dyDescent="0.25">
      <c r="A122" t="s">
        <v>325</v>
      </c>
      <c r="B122" t="s">
        <v>326</v>
      </c>
      <c r="C122" t="str">
        <f>PROPER(TRIM(SUBSTITUTE(SUBSTITUTE(SUBSTITUTE(Table1[[#This Row],[name]],"Ms. ",""),"Mr. ",""),"Mrs. ","")))</f>
        <v>Allison Tucker Md</v>
      </c>
      <c r="D122" t="s">
        <v>39</v>
      </c>
      <c r="E1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22">
        <v>36</v>
      </c>
      <c r="G122" t="str">
        <f>TRIM(IF(Table1[[#This Row],[age]]="","Unknown",Table1[[#This Row],[age]]))</f>
        <v>36</v>
      </c>
      <c r="H122" t="s">
        <v>49</v>
      </c>
      <c r="I122" t="s">
        <v>50</v>
      </c>
      <c r="J122" t="s">
        <v>73</v>
      </c>
      <c r="K122">
        <v>13</v>
      </c>
      <c r="L122" s="10" t="str">
        <f>TRIM(IF(Table1[[#This Row],[years_of_experience]]="","Unknown",Table1[[#This Row],[years_of_experience]]))</f>
        <v>13</v>
      </c>
      <c r="M122">
        <v>75</v>
      </c>
      <c r="N122">
        <f>IF(Table1[[#This Row],[hourly_rate (USD)]]="",MEDIAN(Table1[hourly_rate (USD)]),Table1[[#This Row],[hourly_rate (USD)]])</f>
        <v>75</v>
      </c>
      <c r="O122" t="str">
        <f>TRIM(CLEAN(Table1[[#This Row],[Updated hourly_rate (USD)]]))</f>
        <v>75</v>
      </c>
      <c r="P122" t="str">
        <f>SUBSTITUTE(SUBSTITUTE(Table1[[#This Row],[Formatted hourly rate]],"USD ",""),"$","")</f>
        <v>75</v>
      </c>
      <c r="R122">
        <f>IF(Table1[[#This Row],[rating]]="",2.6,Table1[[#This Row],[rating]])</f>
        <v>2.6</v>
      </c>
      <c r="S122">
        <v>1</v>
      </c>
      <c r="T122" t="str">
        <f>TRIM(CLEAN(Table1[[#This Row],[is_active]]))</f>
        <v>1</v>
      </c>
      <c r="U12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22" s="11" t="str">
        <f>TRIM(IF(Table1[[#This Row],[is_active3]]="Unknown","TRUE",Table1[[#This Row],[is_active3]]))</f>
        <v>TRUE</v>
      </c>
      <c r="X122">
        <f>IF(Table1[[#This Row],[client_satisfaction]]&gt;1,Table1[[#This Row],[client_satisfaction]]/100,Table1[[#This Row],[client_satisfaction]])</f>
        <v>0</v>
      </c>
      <c r="Y122">
        <f>IF(Table1[[#This Row],[client_satisfaction2]]=0,0.75,Table1[[#This Row],[client_satisfaction2]])</f>
        <v>0.75</v>
      </c>
    </row>
    <row r="123" spans="1:25" x14ac:dyDescent="0.25">
      <c r="A123" t="s">
        <v>327</v>
      </c>
      <c r="B123" t="s">
        <v>328</v>
      </c>
      <c r="C123" t="str">
        <f>PROPER(TRIM(SUBSTITUTE(SUBSTITUTE(SUBSTITUTE(Table1[[#This Row],[name]],"Ms. ",""),"Mr. ",""),"Mrs. ","")))</f>
        <v>Candice Petersen</v>
      </c>
      <c r="D123" t="s">
        <v>77</v>
      </c>
      <c r="E1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23">
        <v>47</v>
      </c>
      <c r="G123" t="str">
        <f>TRIM(IF(Table1[[#This Row],[age]]="","Unknown",Table1[[#This Row],[age]]))</f>
        <v>47</v>
      </c>
      <c r="H123" t="s">
        <v>15</v>
      </c>
      <c r="I123" t="s">
        <v>16</v>
      </c>
      <c r="J123" t="s">
        <v>89</v>
      </c>
      <c r="K123">
        <v>5</v>
      </c>
      <c r="L123" s="10" t="str">
        <f>TRIM(IF(Table1[[#This Row],[years_of_experience]]="","Unknown",Table1[[#This Row],[years_of_experience]]))</f>
        <v>5</v>
      </c>
      <c r="M123" t="s">
        <v>36</v>
      </c>
      <c r="N123" t="str">
        <f>IF(Table1[[#This Row],[hourly_rate (USD)]]="",MEDIAN(Table1[hourly_rate (USD)]),Table1[[#This Row],[hourly_rate (USD)]])</f>
        <v>$40</v>
      </c>
      <c r="O123" t="str">
        <f>TRIM(CLEAN(Table1[[#This Row],[Updated hourly_rate (USD)]]))</f>
        <v>$40</v>
      </c>
      <c r="P123" t="str">
        <f>SUBSTITUTE(SUBSTITUTE(Table1[[#This Row],[Formatted hourly rate]],"USD ",""),"$","")</f>
        <v>40</v>
      </c>
      <c r="Q123">
        <v>3.7</v>
      </c>
      <c r="R123">
        <f>IF(Table1[[#This Row],[rating]]="",2.6,Table1[[#This Row],[rating]])</f>
        <v>3.7</v>
      </c>
      <c r="S123" t="b">
        <v>0</v>
      </c>
      <c r="T123" t="str">
        <f>TRIM(CLEAN(Table1[[#This Row],[is_active]]))</f>
        <v>FALSE</v>
      </c>
      <c r="U12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23" s="11" t="str">
        <f>TRIM(IF(Table1[[#This Row],[is_active3]]="Unknown","TRUE",Table1[[#This Row],[is_active3]]))</f>
        <v>TRUE</v>
      </c>
      <c r="W123">
        <v>93</v>
      </c>
      <c r="X123">
        <f>IF(Table1[[#This Row],[client_satisfaction]]&gt;1,Table1[[#This Row],[client_satisfaction]]/100,Table1[[#This Row],[client_satisfaction]])</f>
        <v>0.93</v>
      </c>
      <c r="Y123">
        <f>IF(Table1[[#This Row],[client_satisfaction2]]=0,0.75,Table1[[#This Row],[client_satisfaction2]])</f>
        <v>0.93</v>
      </c>
    </row>
    <row r="124" spans="1:25" x14ac:dyDescent="0.25">
      <c r="A124" t="s">
        <v>329</v>
      </c>
      <c r="B124" t="s">
        <v>330</v>
      </c>
      <c r="C124" t="str">
        <f>PROPER(TRIM(SUBSTITUTE(SUBSTITUTE(SUBSTITUTE(Table1[[#This Row],[name]],"Ms. ",""),"Mr. ",""),"Mrs. ","")))</f>
        <v>Christopher Nichols</v>
      </c>
      <c r="D124" t="s">
        <v>61</v>
      </c>
      <c r="E1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24">
        <v>48</v>
      </c>
      <c r="G124" t="str">
        <f>TRIM(IF(Table1[[#This Row],[age]]="","Unknown",Table1[[#This Row],[age]]))</f>
        <v>48</v>
      </c>
      <c r="H124" t="s">
        <v>128</v>
      </c>
      <c r="I124" t="s">
        <v>22</v>
      </c>
      <c r="J124" t="s">
        <v>114</v>
      </c>
      <c r="K124">
        <v>15</v>
      </c>
      <c r="L124" s="10" t="str">
        <f>TRIM(IF(Table1[[#This Row],[years_of_experience]]="","Unknown",Table1[[#This Row],[years_of_experience]]))</f>
        <v>15</v>
      </c>
      <c r="M124" t="s">
        <v>98</v>
      </c>
      <c r="N124" t="str">
        <f>IF(Table1[[#This Row],[hourly_rate (USD)]]="",MEDIAN(Table1[hourly_rate (USD)]),Table1[[#This Row],[hourly_rate (USD)]])</f>
        <v>USD 50</v>
      </c>
      <c r="O124" t="str">
        <f>TRIM(CLEAN(Table1[[#This Row],[Updated hourly_rate (USD)]]))</f>
        <v>USD 50</v>
      </c>
      <c r="P124" t="str">
        <f>SUBSTITUTE(SUBSTITUTE(Table1[[#This Row],[Formatted hourly rate]],"USD ",""),"$","")</f>
        <v>50</v>
      </c>
      <c r="Q124">
        <v>1</v>
      </c>
      <c r="R124">
        <f>IF(Table1[[#This Row],[rating]]="",2.6,Table1[[#This Row],[rating]])</f>
        <v>1</v>
      </c>
      <c r="S124" t="s">
        <v>74</v>
      </c>
      <c r="T124" t="str">
        <f>TRIM(CLEAN(Table1[[#This Row],[is_active]]))</f>
        <v>Y</v>
      </c>
      <c r="U12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24" s="11" t="str">
        <f>TRIM(IF(Table1[[#This Row],[is_active3]]="Unknown","TRUE",Table1[[#This Row],[is_active3]]))</f>
        <v>TRUE</v>
      </c>
      <c r="W124">
        <v>0.64</v>
      </c>
      <c r="X124">
        <f>IF(Table1[[#This Row],[client_satisfaction]]&gt;1,Table1[[#This Row],[client_satisfaction]]/100,Table1[[#This Row],[client_satisfaction]])</f>
        <v>0.64</v>
      </c>
      <c r="Y124">
        <f>IF(Table1[[#This Row],[client_satisfaction2]]=0,0.75,Table1[[#This Row],[client_satisfaction2]])</f>
        <v>0.64</v>
      </c>
    </row>
    <row r="125" spans="1:25" x14ac:dyDescent="0.25">
      <c r="A125" t="s">
        <v>331</v>
      </c>
      <c r="B125" t="s">
        <v>332</v>
      </c>
      <c r="C125" t="str">
        <f>PROPER(TRIM(SUBSTITUTE(SUBSTITUTE(SUBSTITUTE(Table1[[#This Row],[name]],"Ms. ",""),"Mr. ",""),"Mrs. ","")))</f>
        <v>Debra Garcia</v>
      </c>
      <c r="D125" t="s">
        <v>14</v>
      </c>
      <c r="E1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25">
        <v>27</v>
      </c>
      <c r="G125" t="str">
        <f>TRIM(IF(Table1[[#This Row],[age]]="","Unknown",Table1[[#This Row],[age]]))</f>
        <v>27</v>
      </c>
      <c r="H125" t="s">
        <v>175</v>
      </c>
      <c r="I125" t="s">
        <v>176</v>
      </c>
      <c r="J125" t="s">
        <v>73</v>
      </c>
      <c r="K125">
        <v>8</v>
      </c>
      <c r="L125" s="10" t="str">
        <f>TRIM(IF(Table1[[#This Row],[years_of_experience]]="","Unknown",Table1[[#This Row],[years_of_experience]]))</f>
        <v>8</v>
      </c>
      <c r="M125" t="s">
        <v>64</v>
      </c>
      <c r="N125" t="str">
        <f>IF(Table1[[#This Row],[hourly_rate (USD)]]="",MEDIAN(Table1[hourly_rate (USD)]),Table1[[#This Row],[hourly_rate (USD)]])</f>
        <v>$50</v>
      </c>
      <c r="O125" t="str">
        <f>TRIM(CLEAN(Table1[[#This Row],[Updated hourly_rate (USD)]]))</f>
        <v>$50</v>
      </c>
      <c r="P125" t="str">
        <f>SUBSTITUTE(SUBSTITUTE(Table1[[#This Row],[Formatted hourly rate]],"USD ",""),"$","")</f>
        <v>50</v>
      </c>
      <c r="Q125">
        <v>0</v>
      </c>
      <c r="R125">
        <f>IF(Table1[[#This Row],[rating]]="",2.6,Table1[[#This Row],[rating]])</f>
        <v>0</v>
      </c>
      <c r="T125" t="str">
        <f>TRIM(CLEAN(Table1[[#This Row],[is_active]]))</f>
        <v/>
      </c>
      <c r="U12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25" s="11" t="str">
        <f>TRIM(IF(Table1[[#This Row],[is_active3]]="Unknown","TRUE",Table1[[#This Row],[is_active3]]))</f>
        <v>TRUE</v>
      </c>
      <c r="X125">
        <f>IF(Table1[[#This Row],[client_satisfaction]]&gt;1,Table1[[#This Row],[client_satisfaction]]/100,Table1[[#This Row],[client_satisfaction]])</f>
        <v>0</v>
      </c>
      <c r="Y125">
        <f>IF(Table1[[#This Row],[client_satisfaction2]]=0,0.75,Table1[[#This Row],[client_satisfaction2]])</f>
        <v>0.75</v>
      </c>
    </row>
    <row r="126" spans="1:25" x14ac:dyDescent="0.25">
      <c r="A126" t="s">
        <v>333</v>
      </c>
      <c r="B126" t="s">
        <v>334</v>
      </c>
      <c r="C126" t="str">
        <f>PROPER(TRIM(SUBSTITUTE(SUBSTITUTE(SUBSTITUTE(Table1[[#This Row],[name]],"Ms. ",""),"Mr. ",""),"Mrs. ","")))</f>
        <v>Andrew Fuentes</v>
      </c>
      <c r="D126" t="s">
        <v>27</v>
      </c>
      <c r="E1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26">
        <v>34</v>
      </c>
      <c r="G126" t="str">
        <f>TRIM(IF(Table1[[#This Row],[age]]="","Unknown",Table1[[#This Row],[age]]))</f>
        <v>34</v>
      </c>
      <c r="H126" t="s">
        <v>21</v>
      </c>
      <c r="I126" t="s">
        <v>22</v>
      </c>
      <c r="J126" t="s">
        <v>35</v>
      </c>
      <c r="K126">
        <v>10</v>
      </c>
      <c r="L126" s="10" t="str">
        <f>TRIM(IF(Table1[[#This Row],[years_of_experience]]="","Unknown",Table1[[#This Row],[years_of_experience]]))</f>
        <v>10</v>
      </c>
      <c r="N126">
        <f>IF(Table1[[#This Row],[hourly_rate (USD)]]="",MEDIAN(Table1[hourly_rate (USD)]),Table1[[#This Row],[hourly_rate (USD)]])</f>
        <v>50</v>
      </c>
      <c r="O126" t="str">
        <f>TRIM(CLEAN(Table1[[#This Row],[Updated hourly_rate (USD)]]))</f>
        <v>50</v>
      </c>
      <c r="P126" t="str">
        <f>SUBSTITUTE(SUBSTITUTE(Table1[[#This Row],[Formatted hourly rate]],"USD ",""),"$","")</f>
        <v>50</v>
      </c>
      <c r="Q126">
        <v>1.7</v>
      </c>
      <c r="R126">
        <f>IF(Table1[[#This Row],[rating]]="",2.6,Table1[[#This Row],[rating]])</f>
        <v>1.7</v>
      </c>
      <c r="S126" t="s">
        <v>31</v>
      </c>
      <c r="T126" t="str">
        <f>TRIM(CLEAN(Table1[[#This Row],[is_active]]))</f>
        <v>N</v>
      </c>
      <c r="U12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26" s="11" t="str">
        <f>TRIM(IF(Table1[[#This Row],[is_active3]]="Unknown","TRUE",Table1[[#This Row],[is_active3]]))</f>
        <v>FALSE</v>
      </c>
      <c r="W126">
        <v>0.96</v>
      </c>
      <c r="X126">
        <f>IF(Table1[[#This Row],[client_satisfaction]]&gt;1,Table1[[#This Row],[client_satisfaction]]/100,Table1[[#This Row],[client_satisfaction]])</f>
        <v>0.96</v>
      </c>
      <c r="Y126">
        <f>IF(Table1[[#This Row],[client_satisfaction2]]=0,0.75,Table1[[#This Row],[client_satisfaction2]])</f>
        <v>0.96</v>
      </c>
    </row>
    <row r="127" spans="1:25" x14ac:dyDescent="0.25">
      <c r="A127" t="s">
        <v>335</v>
      </c>
      <c r="B127" t="s">
        <v>336</v>
      </c>
      <c r="C127" t="str">
        <f>PROPER(TRIM(SUBSTITUTE(SUBSTITUTE(SUBSTITUTE(Table1[[#This Row],[name]],"Ms. ",""),"Mr. ",""),"Mrs. ","")))</f>
        <v>Jason Carter</v>
      </c>
      <c r="D127" t="s">
        <v>97</v>
      </c>
      <c r="E1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27">
        <v>49</v>
      </c>
      <c r="G127" t="str">
        <f>TRIM(IF(Table1[[#This Row],[age]]="","Unknown",Table1[[#This Row],[age]]))</f>
        <v>49</v>
      </c>
      <c r="H127" t="s">
        <v>112</v>
      </c>
      <c r="I127" t="s">
        <v>113</v>
      </c>
      <c r="J127" t="s">
        <v>51</v>
      </c>
      <c r="K127">
        <v>19</v>
      </c>
      <c r="L127" s="10" t="str">
        <f>TRIM(IF(Table1[[#This Row],[years_of_experience]]="","Unknown",Table1[[#This Row],[years_of_experience]]))</f>
        <v>19</v>
      </c>
      <c r="N127">
        <f>IF(Table1[[#This Row],[hourly_rate (USD)]]="",MEDIAN(Table1[hourly_rate (USD)]),Table1[[#This Row],[hourly_rate (USD)]])</f>
        <v>50</v>
      </c>
      <c r="O127" t="str">
        <f>TRIM(CLEAN(Table1[[#This Row],[Updated hourly_rate (USD)]]))</f>
        <v>50</v>
      </c>
      <c r="P127" t="str">
        <f>SUBSTITUTE(SUBSTITUTE(Table1[[#This Row],[Formatted hourly rate]],"USD ",""),"$","")</f>
        <v>50</v>
      </c>
      <c r="Q127">
        <v>5</v>
      </c>
      <c r="R127">
        <f>IF(Table1[[#This Row],[rating]]="",2.6,Table1[[#This Row],[rating]])</f>
        <v>5</v>
      </c>
      <c r="S127" t="s">
        <v>74</v>
      </c>
      <c r="T127" t="str">
        <f>TRIM(CLEAN(Table1[[#This Row],[is_active]]))</f>
        <v>Y</v>
      </c>
      <c r="U12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27" s="11" t="str">
        <f>TRIM(IF(Table1[[#This Row],[is_active3]]="Unknown","TRUE",Table1[[#This Row],[is_active3]]))</f>
        <v>TRUE</v>
      </c>
      <c r="W127">
        <v>0.83</v>
      </c>
      <c r="X127">
        <f>IF(Table1[[#This Row],[client_satisfaction]]&gt;1,Table1[[#This Row],[client_satisfaction]]/100,Table1[[#This Row],[client_satisfaction]])</f>
        <v>0.83</v>
      </c>
      <c r="Y127">
        <f>IF(Table1[[#This Row],[client_satisfaction2]]=0,0.75,Table1[[#This Row],[client_satisfaction2]])</f>
        <v>0.83</v>
      </c>
    </row>
    <row r="128" spans="1:25" x14ac:dyDescent="0.25">
      <c r="A128" t="s">
        <v>337</v>
      </c>
      <c r="B128" t="s">
        <v>338</v>
      </c>
      <c r="C128" t="str">
        <f>PROPER(TRIM(SUBSTITUTE(SUBSTITUTE(SUBSTITUTE(Table1[[#This Row],[name]],"Ms. ",""),"Mr. ",""),"Mrs. ","")))</f>
        <v>Austin Romero</v>
      </c>
      <c r="D128" t="s">
        <v>27</v>
      </c>
      <c r="E1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28">
        <v>30</v>
      </c>
      <c r="G128" t="str">
        <f>TRIM(IF(Table1[[#This Row],[age]]="","Unknown",Table1[[#This Row],[age]]))</f>
        <v>30</v>
      </c>
      <c r="H128" t="s">
        <v>107</v>
      </c>
      <c r="I128" t="s">
        <v>108</v>
      </c>
      <c r="J128" t="s">
        <v>23</v>
      </c>
      <c r="K128">
        <v>10</v>
      </c>
      <c r="L128" s="10" t="str">
        <f>TRIM(IF(Table1[[#This Row],[years_of_experience]]="","Unknown",Table1[[#This Row],[years_of_experience]]))</f>
        <v>10</v>
      </c>
      <c r="M128" t="s">
        <v>229</v>
      </c>
      <c r="N128" t="str">
        <f>IF(Table1[[#This Row],[hourly_rate (USD)]]="",MEDIAN(Table1[hourly_rate (USD)]),Table1[[#This Row],[hourly_rate (USD)]])</f>
        <v>$100</v>
      </c>
      <c r="O128" t="str">
        <f>TRIM(CLEAN(Table1[[#This Row],[Updated hourly_rate (USD)]]))</f>
        <v>$100</v>
      </c>
      <c r="P128" t="str">
        <f>SUBSTITUTE(SUBSTITUTE(Table1[[#This Row],[Formatted hourly rate]],"USD ",""),"$","")</f>
        <v>100</v>
      </c>
      <c r="Q128">
        <v>1.7</v>
      </c>
      <c r="R128">
        <f>IF(Table1[[#This Row],[rating]]="",2.6,Table1[[#This Row],[rating]])</f>
        <v>1.7</v>
      </c>
      <c r="S128" t="s">
        <v>68</v>
      </c>
      <c r="T128" t="str">
        <f>TRIM(CLEAN(Table1[[#This Row],[is_active]]))</f>
        <v>yes</v>
      </c>
      <c r="U12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28" s="11" t="str">
        <f>TRIM(IF(Table1[[#This Row],[is_active3]]="Unknown","TRUE",Table1[[#This Row],[is_active3]]))</f>
        <v>TRUE</v>
      </c>
      <c r="W128">
        <v>0.64</v>
      </c>
      <c r="X128">
        <f>IF(Table1[[#This Row],[client_satisfaction]]&gt;1,Table1[[#This Row],[client_satisfaction]]/100,Table1[[#This Row],[client_satisfaction]])</f>
        <v>0.64</v>
      </c>
      <c r="Y128">
        <f>IF(Table1[[#This Row],[client_satisfaction2]]=0,0.75,Table1[[#This Row],[client_satisfaction2]])</f>
        <v>0.64</v>
      </c>
    </row>
    <row r="129" spans="1:25" x14ac:dyDescent="0.25">
      <c r="A129" t="s">
        <v>339</v>
      </c>
      <c r="B129" t="s">
        <v>340</v>
      </c>
      <c r="C129" t="str">
        <f>PROPER(TRIM(SUBSTITUTE(SUBSTITUTE(SUBSTITUTE(Table1[[#This Row],[name]],"Ms. ",""),"Mr. ",""),"Mrs. ","")))</f>
        <v>Clayton Burns</v>
      </c>
      <c r="D129" t="s">
        <v>27</v>
      </c>
      <c r="E1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29">
        <v>31</v>
      </c>
      <c r="G129" t="str">
        <f>TRIM(IF(Table1[[#This Row],[age]]="","Unknown",Table1[[#This Row],[age]]))</f>
        <v>31</v>
      </c>
      <c r="H129" t="s">
        <v>139</v>
      </c>
      <c r="I129" t="s">
        <v>140</v>
      </c>
      <c r="J129" t="s">
        <v>30</v>
      </c>
      <c r="K129">
        <v>8</v>
      </c>
      <c r="L129" s="10" t="str">
        <f>TRIM(IF(Table1[[#This Row],[years_of_experience]]="","Unknown",Table1[[#This Row],[years_of_experience]]))</f>
        <v>8</v>
      </c>
      <c r="M129">
        <v>40</v>
      </c>
      <c r="N129">
        <f>IF(Table1[[#This Row],[hourly_rate (USD)]]="",MEDIAN(Table1[hourly_rate (USD)]),Table1[[#This Row],[hourly_rate (USD)]])</f>
        <v>40</v>
      </c>
      <c r="O129" t="str">
        <f>TRIM(CLEAN(Table1[[#This Row],[Updated hourly_rate (USD)]]))</f>
        <v>40</v>
      </c>
      <c r="P129" t="str">
        <f>SUBSTITUTE(SUBSTITUTE(Table1[[#This Row],[Formatted hourly rate]],"USD ",""),"$","")</f>
        <v>40</v>
      </c>
      <c r="Q129">
        <v>4.4000000000000004</v>
      </c>
      <c r="R129">
        <f>IF(Table1[[#This Row],[rating]]="",2.6,Table1[[#This Row],[rating]])</f>
        <v>4.4000000000000004</v>
      </c>
      <c r="S129">
        <v>0</v>
      </c>
      <c r="T129" t="str">
        <f>TRIM(CLEAN(Table1[[#This Row],[is_active]]))</f>
        <v>0</v>
      </c>
      <c r="U12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29" s="11" t="str">
        <f>TRIM(IF(Table1[[#This Row],[is_active3]]="Unknown","TRUE",Table1[[#This Row],[is_active3]]))</f>
        <v>FALSE</v>
      </c>
      <c r="W129">
        <v>0.7</v>
      </c>
      <c r="X129">
        <f>IF(Table1[[#This Row],[client_satisfaction]]&gt;1,Table1[[#This Row],[client_satisfaction]]/100,Table1[[#This Row],[client_satisfaction]])</f>
        <v>0.7</v>
      </c>
      <c r="Y129">
        <f>IF(Table1[[#This Row],[client_satisfaction2]]=0,0.75,Table1[[#This Row],[client_satisfaction2]])</f>
        <v>0.7</v>
      </c>
    </row>
    <row r="130" spans="1:25" x14ac:dyDescent="0.25">
      <c r="A130" t="s">
        <v>341</v>
      </c>
      <c r="B130" t="s">
        <v>342</v>
      </c>
      <c r="C130" t="str">
        <f>PROPER(TRIM(SUBSTITUTE(SUBSTITUTE(SUBSTITUTE(Table1[[#This Row],[name]],"Ms. ",""),"Mr. ",""),"Mrs. ","")))</f>
        <v>Jonathan Clark</v>
      </c>
      <c r="D130" t="s">
        <v>48</v>
      </c>
      <c r="E1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30">
        <v>58</v>
      </c>
      <c r="G130" t="str">
        <f>TRIM(IF(Table1[[#This Row],[age]]="","Unknown",Table1[[#This Row],[age]]))</f>
        <v>58</v>
      </c>
      <c r="H130" t="s">
        <v>175</v>
      </c>
      <c r="I130" t="s">
        <v>176</v>
      </c>
      <c r="J130" t="s">
        <v>114</v>
      </c>
      <c r="K130">
        <v>9</v>
      </c>
      <c r="L130" s="10" t="str">
        <f>TRIM(IF(Table1[[#This Row],[years_of_experience]]="","Unknown",Table1[[#This Row],[years_of_experience]]))</f>
        <v>9</v>
      </c>
      <c r="M130">
        <v>20</v>
      </c>
      <c r="N130">
        <f>IF(Table1[[#This Row],[hourly_rate (USD)]]="",MEDIAN(Table1[hourly_rate (USD)]),Table1[[#This Row],[hourly_rate (USD)]])</f>
        <v>20</v>
      </c>
      <c r="O130" t="str">
        <f>TRIM(CLEAN(Table1[[#This Row],[Updated hourly_rate (USD)]]))</f>
        <v>20</v>
      </c>
      <c r="P130" t="str">
        <f>SUBSTITUTE(SUBSTITUTE(Table1[[#This Row],[Formatted hourly rate]],"USD ",""),"$","")</f>
        <v>20</v>
      </c>
      <c r="Q130">
        <v>0</v>
      </c>
      <c r="R130">
        <f>IF(Table1[[#This Row],[rating]]="",2.6,Table1[[#This Row],[rating]])</f>
        <v>0</v>
      </c>
      <c r="S130" t="s">
        <v>31</v>
      </c>
      <c r="T130" t="str">
        <f>TRIM(CLEAN(Table1[[#This Row],[is_active]]))</f>
        <v>N</v>
      </c>
      <c r="U13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30" s="11" t="str">
        <f>TRIM(IF(Table1[[#This Row],[is_active3]]="Unknown","TRUE",Table1[[#This Row],[is_active3]]))</f>
        <v>FALSE</v>
      </c>
      <c r="W130">
        <v>0.65</v>
      </c>
      <c r="X130">
        <f>IF(Table1[[#This Row],[client_satisfaction]]&gt;1,Table1[[#This Row],[client_satisfaction]]/100,Table1[[#This Row],[client_satisfaction]])</f>
        <v>0.65</v>
      </c>
      <c r="Y130">
        <f>IF(Table1[[#This Row],[client_satisfaction2]]=0,0.75,Table1[[#This Row],[client_satisfaction2]])</f>
        <v>0.65</v>
      </c>
    </row>
    <row r="131" spans="1:25" x14ac:dyDescent="0.25">
      <c r="A131" t="s">
        <v>343</v>
      </c>
      <c r="B131" t="s">
        <v>344</v>
      </c>
      <c r="C131" t="str">
        <f>PROPER(TRIM(SUBSTITUTE(SUBSTITUTE(SUBSTITUTE(Table1[[#This Row],[name]],"Ms. ",""),"Mr. ",""),"Mrs. ","")))</f>
        <v>Alexander Griffin</v>
      </c>
      <c r="D131" t="s">
        <v>97</v>
      </c>
      <c r="E1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31">
        <v>47</v>
      </c>
      <c r="G131" t="str">
        <f>TRIM(IF(Table1[[#This Row],[age]]="","Unknown",Table1[[#This Row],[age]]))</f>
        <v>47</v>
      </c>
      <c r="H131" t="s">
        <v>135</v>
      </c>
      <c r="I131" t="s">
        <v>136</v>
      </c>
      <c r="J131" t="s">
        <v>114</v>
      </c>
      <c r="K131">
        <v>13</v>
      </c>
      <c r="L131" s="10" t="str">
        <f>TRIM(IF(Table1[[#This Row],[years_of_experience]]="","Unknown",Table1[[#This Row],[years_of_experience]]))</f>
        <v>13</v>
      </c>
      <c r="M131">
        <v>40</v>
      </c>
      <c r="N131">
        <f>IF(Table1[[#This Row],[hourly_rate (USD)]]="",MEDIAN(Table1[hourly_rate (USD)]),Table1[[#This Row],[hourly_rate (USD)]])</f>
        <v>40</v>
      </c>
      <c r="O131" t="str">
        <f>TRIM(CLEAN(Table1[[#This Row],[Updated hourly_rate (USD)]]))</f>
        <v>40</v>
      </c>
      <c r="P131" t="str">
        <f>SUBSTITUTE(SUBSTITUTE(Table1[[#This Row],[Formatted hourly rate]],"USD ",""),"$","")</f>
        <v>40</v>
      </c>
      <c r="Q131">
        <v>3.4</v>
      </c>
      <c r="R131">
        <f>IF(Table1[[#This Row],[rating]]="",2.6,Table1[[#This Row],[rating]])</f>
        <v>3.4</v>
      </c>
      <c r="T131" t="str">
        <f>TRIM(CLEAN(Table1[[#This Row],[is_active]]))</f>
        <v/>
      </c>
      <c r="U13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31" s="11" t="str">
        <f>TRIM(IF(Table1[[#This Row],[is_active3]]="Unknown","TRUE",Table1[[#This Row],[is_active3]]))</f>
        <v>TRUE</v>
      </c>
      <c r="W131">
        <v>0.67</v>
      </c>
      <c r="X131">
        <f>IF(Table1[[#This Row],[client_satisfaction]]&gt;1,Table1[[#This Row],[client_satisfaction]]/100,Table1[[#This Row],[client_satisfaction]])</f>
        <v>0.67</v>
      </c>
      <c r="Y131">
        <f>IF(Table1[[#This Row],[client_satisfaction2]]=0,0.75,Table1[[#This Row],[client_satisfaction2]])</f>
        <v>0.67</v>
      </c>
    </row>
    <row r="132" spans="1:25" x14ac:dyDescent="0.25">
      <c r="A132" t="s">
        <v>345</v>
      </c>
      <c r="B132" t="s">
        <v>346</v>
      </c>
      <c r="C132" t="str">
        <f>PROPER(TRIM(SUBSTITUTE(SUBSTITUTE(SUBSTITUTE(Table1[[#This Row],[name]],"Ms. ",""),"Mr. ",""),"Mrs. ","")))</f>
        <v>Shelly Whitehead</v>
      </c>
      <c r="D132" t="s">
        <v>14</v>
      </c>
      <c r="E1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32">
        <v>45</v>
      </c>
      <c r="G132" t="str">
        <f>TRIM(IF(Table1[[#This Row],[age]]="","Unknown",Table1[[#This Row],[age]]))</f>
        <v>45</v>
      </c>
      <c r="H132" t="s">
        <v>67</v>
      </c>
      <c r="I132" t="s">
        <v>22</v>
      </c>
      <c r="J132" t="s">
        <v>78</v>
      </c>
      <c r="K132">
        <v>14</v>
      </c>
      <c r="L132" s="10" t="str">
        <f>TRIM(IF(Table1[[#This Row],[years_of_experience]]="","Unknown",Table1[[#This Row],[years_of_experience]]))</f>
        <v>14</v>
      </c>
      <c r="M132" t="s">
        <v>24</v>
      </c>
      <c r="N132" t="str">
        <f>IF(Table1[[#This Row],[hourly_rate (USD)]]="",MEDIAN(Table1[hourly_rate (USD)]),Table1[[#This Row],[hourly_rate (USD)]])</f>
        <v>USD 100</v>
      </c>
      <c r="O132" t="str">
        <f>TRIM(CLEAN(Table1[[#This Row],[Updated hourly_rate (USD)]]))</f>
        <v>USD 100</v>
      </c>
      <c r="P132" t="str">
        <f>SUBSTITUTE(SUBSTITUTE(Table1[[#This Row],[Formatted hourly rate]],"USD ",""),"$","")</f>
        <v>100</v>
      </c>
      <c r="Q132">
        <v>1.1000000000000001</v>
      </c>
      <c r="R132">
        <f>IF(Table1[[#This Row],[rating]]="",2.6,Table1[[#This Row],[rating]])</f>
        <v>1.1000000000000001</v>
      </c>
      <c r="S132" t="s">
        <v>159</v>
      </c>
      <c r="T132" t="str">
        <f>TRIM(CLEAN(Table1[[#This Row],[is_active]]))</f>
        <v>no</v>
      </c>
      <c r="U13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32" s="11" t="str">
        <f>TRIM(IF(Table1[[#This Row],[is_active3]]="Unknown","TRUE",Table1[[#This Row],[is_active3]]))</f>
        <v>FALSE</v>
      </c>
      <c r="W132">
        <v>93</v>
      </c>
      <c r="X132">
        <f>IF(Table1[[#This Row],[client_satisfaction]]&gt;1,Table1[[#This Row],[client_satisfaction]]/100,Table1[[#This Row],[client_satisfaction]])</f>
        <v>0.93</v>
      </c>
      <c r="Y132">
        <f>IF(Table1[[#This Row],[client_satisfaction2]]=0,0.75,Table1[[#This Row],[client_satisfaction2]])</f>
        <v>0.93</v>
      </c>
    </row>
    <row r="133" spans="1:25" x14ac:dyDescent="0.25">
      <c r="A133" t="s">
        <v>347</v>
      </c>
      <c r="B133" t="s">
        <v>348</v>
      </c>
      <c r="C133" t="str">
        <f>PROPER(TRIM(SUBSTITUTE(SUBSTITUTE(SUBSTITUTE(Table1[[#This Row],[name]],"Ms. ",""),"Mr. ",""),"Mrs. ","")))</f>
        <v>Kaitlyn Davis</v>
      </c>
      <c r="D133" t="s">
        <v>20</v>
      </c>
      <c r="E1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33">
        <v>57</v>
      </c>
      <c r="G133" t="str">
        <f>TRIM(IF(Table1[[#This Row],[age]]="","Unknown",Table1[[#This Row],[age]]))</f>
        <v>57</v>
      </c>
      <c r="H133" t="s">
        <v>135</v>
      </c>
      <c r="I133" t="s">
        <v>136</v>
      </c>
      <c r="J133" t="s">
        <v>114</v>
      </c>
      <c r="K133">
        <v>0</v>
      </c>
      <c r="L133" s="10" t="str">
        <f>TRIM(IF(Table1[[#This Row],[years_of_experience]]="","Unknown",Table1[[#This Row],[years_of_experience]]))</f>
        <v>0</v>
      </c>
      <c r="M133">
        <v>50</v>
      </c>
      <c r="N133">
        <f>IF(Table1[[#This Row],[hourly_rate (USD)]]="",MEDIAN(Table1[hourly_rate (USD)]),Table1[[#This Row],[hourly_rate (USD)]])</f>
        <v>50</v>
      </c>
      <c r="O133" t="str">
        <f>TRIM(CLEAN(Table1[[#This Row],[Updated hourly_rate (USD)]]))</f>
        <v>50</v>
      </c>
      <c r="P133" t="str">
        <f>SUBSTITUTE(SUBSTITUTE(Table1[[#This Row],[Formatted hourly rate]],"USD ",""),"$","")</f>
        <v>50</v>
      </c>
      <c r="Q133">
        <v>1.6</v>
      </c>
      <c r="R133">
        <f>IF(Table1[[#This Row],[rating]]="",2.6,Table1[[#This Row],[rating]])</f>
        <v>1.6</v>
      </c>
      <c r="S133" t="s">
        <v>31</v>
      </c>
      <c r="T133" t="str">
        <f>TRIM(CLEAN(Table1[[#This Row],[is_active]]))</f>
        <v>N</v>
      </c>
      <c r="U1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33" s="11" t="str">
        <f>TRIM(IF(Table1[[#This Row],[is_active3]]="Unknown","TRUE",Table1[[#This Row],[is_active3]]))</f>
        <v>FALSE</v>
      </c>
      <c r="W133">
        <v>0.6</v>
      </c>
      <c r="X133">
        <f>IF(Table1[[#This Row],[client_satisfaction]]&gt;1,Table1[[#This Row],[client_satisfaction]]/100,Table1[[#This Row],[client_satisfaction]])</f>
        <v>0.6</v>
      </c>
      <c r="Y133">
        <f>IF(Table1[[#This Row],[client_satisfaction2]]=0,0.75,Table1[[#This Row],[client_satisfaction2]])</f>
        <v>0.6</v>
      </c>
    </row>
    <row r="134" spans="1:25" x14ac:dyDescent="0.25">
      <c r="A134" t="s">
        <v>349</v>
      </c>
      <c r="B134" t="s">
        <v>350</v>
      </c>
      <c r="C134" t="str">
        <f>PROPER(TRIM(SUBSTITUTE(SUBSTITUTE(SUBSTITUTE(Table1[[#This Row],[name]],"Ms. ",""),"Mr. ",""),"Mrs. ","")))</f>
        <v>Christopher Jones</v>
      </c>
      <c r="D134" t="s">
        <v>61</v>
      </c>
      <c r="E1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34">
        <v>50</v>
      </c>
      <c r="G134" t="str">
        <f>TRIM(IF(Table1[[#This Row],[age]]="","Unknown",Table1[[#This Row],[age]]))</f>
        <v>50</v>
      </c>
      <c r="H134" t="s">
        <v>93</v>
      </c>
      <c r="I134" t="s">
        <v>94</v>
      </c>
      <c r="J134" t="s">
        <v>35</v>
      </c>
      <c r="K134">
        <v>22</v>
      </c>
      <c r="L134" s="10" t="str">
        <f>TRIM(IF(Table1[[#This Row],[years_of_experience]]="","Unknown",Table1[[#This Row],[years_of_experience]]))</f>
        <v>22</v>
      </c>
      <c r="M134">
        <v>100</v>
      </c>
      <c r="N134">
        <f>IF(Table1[[#This Row],[hourly_rate (USD)]]="",MEDIAN(Table1[hourly_rate (USD)]),Table1[[#This Row],[hourly_rate (USD)]])</f>
        <v>100</v>
      </c>
      <c r="O134" t="str">
        <f>TRIM(CLEAN(Table1[[#This Row],[Updated hourly_rate (USD)]]))</f>
        <v>100</v>
      </c>
      <c r="P134" t="str">
        <f>SUBSTITUTE(SUBSTITUTE(Table1[[#This Row],[Formatted hourly rate]],"USD ",""),"$","")</f>
        <v>100</v>
      </c>
      <c r="Q134">
        <v>4.0999999999999996</v>
      </c>
      <c r="R134">
        <f>IF(Table1[[#This Row],[rating]]="",2.6,Table1[[#This Row],[rating]])</f>
        <v>4.0999999999999996</v>
      </c>
      <c r="S134" t="s">
        <v>31</v>
      </c>
      <c r="T134" t="str">
        <f>TRIM(CLEAN(Table1[[#This Row],[is_active]]))</f>
        <v>N</v>
      </c>
      <c r="U13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34" s="11" t="str">
        <f>TRIM(IF(Table1[[#This Row],[is_active3]]="Unknown","TRUE",Table1[[#This Row],[is_active3]]))</f>
        <v>FALSE</v>
      </c>
      <c r="W134">
        <v>0.62</v>
      </c>
      <c r="X134">
        <f>IF(Table1[[#This Row],[client_satisfaction]]&gt;1,Table1[[#This Row],[client_satisfaction]]/100,Table1[[#This Row],[client_satisfaction]])</f>
        <v>0.62</v>
      </c>
      <c r="Y134">
        <f>IF(Table1[[#This Row],[client_satisfaction2]]=0,0.75,Table1[[#This Row],[client_satisfaction2]])</f>
        <v>0.62</v>
      </c>
    </row>
    <row r="135" spans="1:25" x14ac:dyDescent="0.25">
      <c r="A135" t="s">
        <v>351</v>
      </c>
      <c r="B135" t="s">
        <v>352</v>
      </c>
      <c r="C135" t="str">
        <f>PROPER(TRIM(SUBSTITUTE(SUBSTITUTE(SUBSTITUTE(Table1[[#This Row],[name]],"Ms. ",""),"Mr. ",""),"Mrs. ","")))</f>
        <v>Cindy Jacobs</v>
      </c>
      <c r="D135" t="s">
        <v>20</v>
      </c>
      <c r="E1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135" t="str">
        <f>TRIM(IF(Table1[[#This Row],[age]]="","Unknown",Table1[[#This Row],[age]]))</f>
        <v>Unknown</v>
      </c>
      <c r="H135" t="s">
        <v>107</v>
      </c>
      <c r="I135" t="s">
        <v>108</v>
      </c>
      <c r="J135" t="s">
        <v>114</v>
      </c>
      <c r="K135">
        <v>4</v>
      </c>
      <c r="L135" s="10" t="str">
        <f>TRIM(IF(Table1[[#This Row],[years_of_experience]]="","Unknown",Table1[[#This Row],[years_of_experience]]))</f>
        <v>4</v>
      </c>
      <c r="N135">
        <f>IF(Table1[[#This Row],[hourly_rate (USD)]]="",MEDIAN(Table1[hourly_rate (USD)]),Table1[[#This Row],[hourly_rate (USD)]])</f>
        <v>50</v>
      </c>
      <c r="O135" t="str">
        <f>TRIM(CLEAN(Table1[[#This Row],[Updated hourly_rate (USD)]]))</f>
        <v>50</v>
      </c>
      <c r="P135" t="str">
        <f>SUBSTITUTE(SUBSTITUTE(Table1[[#This Row],[Formatted hourly rate]],"USD ",""),"$","")</f>
        <v>50</v>
      </c>
      <c r="Q135">
        <v>2.5</v>
      </c>
      <c r="R135">
        <f>IF(Table1[[#This Row],[rating]]="",2.6,Table1[[#This Row],[rating]])</f>
        <v>2.5</v>
      </c>
      <c r="T135" t="str">
        <f>TRIM(CLEAN(Table1[[#This Row],[is_active]]))</f>
        <v/>
      </c>
      <c r="U13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35" s="11" t="str">
        <f>TRIM(IF(Table1[[#This Row],[is_active3]]="Unknown","TRUE",Table1[[#This Row],[is_active3]]))</f>
        <v>TRUE</v>
      </c>
      <c r="W135">
        <v>0.7</v>
      </c>
      <c r="X135">
        <f>IF(Table1[[#This Row],[client_satisfaction]]&gt;1,Table1[[#This Row],[client_satisfaction]]/100,Table1[[#This Row],[client_satisfaction]])</f>
        <v>0.7</v>
      </c>
      <c r="Y135">
        <f>IF(Table1[[#This Row],[client_satisfaction2]]=0,0.75,Table1[[#This Row],[client_satisfaction2]])</f>
        <v>0.7</v>
      </c>
    </row>
    <row r="136" spans="1:25" x14ac:dyDescent="0.25">
      <c r="A136" t="s">
        <v>353</v>
      </c>
      <c r="B136" t="s">
        <v>354</v>
      </c>
      <c r="C136" t="str">
        <f>PROPER(TRIM(SUBSTITUTE(SUBSTITUTE(SUBSTITUTE(Table1[[#This Row],[name]],"Ms. ",""),"Mr. ",""),"Mrs. ","")))</f>
        <v>Penny Day</v>
      </c>
      <c r="D136" t="s">
        <v>77</v>
      </c>
      <c r="E1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36">
        <v>45</v>
      </c>
      <c r="G136" t="str">
        <f>TRIM(IF(Table1[[#This Row],[age]]="","Unknown",Table1[[#This Row],[age]]))</f>
        <v>45</v>
      </c>
      <c r="H136" t="s">
        <v>49</v>
      </c>
      <c r="I136" t="s">
        <v>50</v>
      </c>
      <c r="J136" t="s">
        <v>17</v>
      </c>
      <c r="K136">
        <v>22</v>
      </c>
      <c r="L136" s="10" t="str">
        <f>TRIM(IF(Table1[[#This Row],[years_of_experience]]="","Unknown",Table1[[#This Row],[years_of_experience]]))</f>
        <v>22</v>
      </c>
      <c r="M136" t="s">
        <v>229</v>
      </c>
      <c r="N136" t="str">
        <f>IF(Table1[[#This Row],[hourly_rate (USD)]]="",MEDIAN(Table1[hourly_rate (USD)]),Table1[[#This Row],[hourly_rate (USD)]])</f>
        <v>$100</v>
      </c>
      <c r="O136" t="str">
        <f>TRIM(CLEAN(Table1[[#This Row],[Updated hourly_rate (USD)]]))</f>
        <v>$100</v>
      </c>
      <c r="P136" t="str">
        <f>SUBSTITUTE(SUBSTITUTE(Table1[[#This Row],[Formatted hourly rate]],"USD ",""),"$","")</f>
        <v>100</v>
      </c>
      <c r="Q136">
        <v>4</v>
      </c>
      <c r="R136">
        <f>IF(Table1[[#This Row],[rating]]="",2.6,Table1[[#This Row],[rating]])</f>
        <v>4</v>
      </c>
      <c r="S136" t="s">
        <v>74</v>
      </c>
      <c r="T136" t="str">
        <f>TRIM(CLEAN(Table1[[#This Row],[is_active]]))</f>
        <v>Y</v>
      </c>
      <c r="U13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36" s="11" t="str">
        <f>TRIM(IF(Table1[[#This Row],[is_active3]]="Unknown","TRUE",Table1[[#This Row],[is_active3]]))</f>
        <v>TRUE</v>
      </c>
      <c r="W136">
        <v>0.75</v>
      </c>
      <c r="X136">
        <f>IF(Table1[[#This Row],[client_satisfaction]]&gt;1,Table1[[#This Row],[client_satisfaction]]/100,Table1[[#This Row],[client_satisfaction]])</f>
        <v>0.75</v>
      </c>
      <c r="Y136">
        <f>IF(Table1[[#This Row],[client_satisfaction2]]=0,0.75,Table1[[#This Row],[client_satisfaction2]])</f>
        <v>0.75</v>
      </c>
    </row>
    <row r="137" spans="1:25" x14ac:dyDescent="0.25">
      <c r="A137" t="s">
        <v>355</v>
      </c>
      <c r="B137" t="s">
        <v>356</v>
      </c>
      <c r="C137" t="str">
        <f>PROPER(TRIM(SUBSTITUTE(SUBSTITUTE(SUBSTITUTE(Table1[[#This Row],[name]],"Ms. ",""),"Mr. ",""),"Mrs. ","")))</f>
        <v>Thomas Ingram</v>
      </c>
      <c r="D137" t="s">
        <v>61</v>
      </c>
      <c r="E1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37">
        <v>60</v>
      </c>
      <c r="G137" t="str">
        <f>TRIM(IF(Table1[[#This Row],[age]]="","Unknown",Table1[[#This Row],[age]]))</f>
        <v>60</v>
      </c>
      <c r="H137" t="s">
        <v>153</v>
      </c>
      <c r="I137" t="s">
        <v>154</v>
      </c>
      <c r="J137" t="s">
        <v>78</v>
      </c>
      <c r="K137">
        <v>39</v>
      </c>
      <c r="L137" s="10" t="str">
        <f>TRIM(IF(Table1[[#This Row],[years_of_experience]]="","Unknown",Table1[[#This Row],[years_of_experience]]))</f>
        <v>39</v>
      </c>
      <c r="M137">
        <v>75</v>
      </c>
      <c r="N137">
        <f>IF(Table1[[#This Row],[hourly_rate (USD)]]="",MEDIAN(Table1[hourly_rate (USD)]),Table1[[#This Row],[hourly_rate (USD)]])</f>
        <v>75</v>
      </c>
      <c r="O137" t="str">
        <f>TRIM(CLEAN(Table1[[#This Row],[Updated hourly_rate (USD)]]))</f>
        <v>75</v>
      </c>
      <c r="P137" t="str">
        <f>SUBSTITUTE(SUBSTITUTE(Table1[[#This Row],[Formatted hourly rate]],"USD ",""),"$","")</f>
        <v>75</v>
      </c>
      <c r="Q137">
        <v>1.4</v>
      </c>
      <c r="R137">
        <f>IF(Table1[[#This Row],[rating]]="",2.6,Table1[[#This Row],[rating]])</f>
        <v>1.4</v>
      </c>
      <c r="S137" t="s">
        <v>159</v>
      </c>
      <c r="T137" t="str">
        <f>TRIM(CLEAN(Table1[[#This Row],[is_active]]))</f>
        <v>no</v>
      </c>
      <c r="U1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37" s="11" t="str">
        <f>TRIM(IF(Table1[[#This Row],[is_active3]]="Unknown","TRUE",Table1[[#This Row],[is_active3]]))</f>
        <v>FALSE</v>
      </c>
      <c r="W137">
        <v>0.7</v>
      </c>
      <c r="X137">
        <f>IF(Table1[[#This Row],[client_satisfaction]]&gt;1,Table1[[#This Row],[client_satisfaction]]/100,Table1[[#This Row],[client_satisfaction]])</f>
        <v>0.7</v>
      </c>
      <c r="Y137">
        <f>IF(Table1[[#This Row],[client_satisfaction2]]=0,0.75,Table1[[#This Row],[client_satisfaction2]])</f>
        <v>0.7</v>
      </c>
    </row>
    <row r="138" spans="1:25" x14ac:dyDescent="0.25">
      <c r="A138" t="s">
        <v>357</v>
      </c>
      <c r="B138" t="s">
        <v>358</v>
      </c>
      <c r="C138" t="str">
        <f>PROPER(TRIM(SUBSTITUTE(SUBSTITUTE(SUBSTITUTE(Table1[[#This Row],[name]],"Ms. ",""),"Mr. ",""),"Mrs. ","")))</f>
        <v>Donna Hansen</v>
      </c>
      <c r="D138" t="s">
        <v>39</v>
      </c>
      <c r="E1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38">
        <v>43</v>
      </c>
      <c r="G138" t="str">
        <f>TRIM(IF(Table1[[#This Row],[age]]="","Unknown",Table1[[#This Row],[age]]))</f>
        <v>43</v>
      </c>
      <c r="H138" t="s">
        <v>67</v>
      </c>
      <c r="I138" t="s">
        <v>22</v>
      </c>
      <c r="J138" t="s">
        <v>78</v>
      </c>
      <c r="K138">
        <v>5</v>
      </c>
      <c r="L138" s="10" t="str">
        <f>TRIM(IF(Table1[[#This Row],[years_of_experience]]="","Unknown",Table1[[#This Row],[years_of_experience]]))</f>
        <v>5</v>
      </c>
      <c r="M138" t="s">
        <v>98</v>
      </c>
      <c r="N138" t="str">
        <f>IF(Table1[[#This Row],[hourly_rate (USD)]]="",MEDIAN(Table1[hourly_rate (USD)]),Table1[[#This Row],[hourly_rate (USD)]])</f>
        <v>USD 50</v>
      </c>
      <c r="O138" t="str">
        <f>TRIM(CLEAN(Table1[[#This Row],[Updated hourly_rate (USD)]]))</f>
        <v>USD 50</v>
      </c>
      <c r="P138" t="str">
        <f>SUBSTITUTE(SUBSTITUTE(Table1[[#This Row],[Formatted hourly rate]],"USD ",""),"$","")</f>
        <v>50</v>
      </c>
      <c r="R138">
        <f>IF(Table1[[#This Row],[rating]]="",2.6,Table1[[#This Row],[rating]])</f>
        <v>2.6</v>
      </c>
      <c r="S138">
        <v>1</v>
      </c>
      <c r="T138" t="str">
        <f>TRIM(CLEAN(Table1[[#This Row],[is_active]]))</f>
        <v>1</v>
      </c>
      <c r="U1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38" s="11" t="str">
        <f>TRIM(IF(Table1[[#This Row],[is_active3]]="Unknown","TRUE",Table1[[#This Row],[is_active3]]))</f>
        <v>TRUE</v>
      </c>
      <c r="W138">
        <v>0.84</v>
      </c>
      <c r="X138">
        <f>IF(Table1[[#This Row],[client_satisfaction]]&gt;1,Table1[[#This Row],[client_satisfaction]]/100,Table1[[#This Row],[client_satisfaction]])</f>
        <v>0.84</v>
      </c>
      <c r="Y138">
        <f>IF(Table1[[#This Row],[client_satisfaction2]]=0,0.75,Table1[[#This Row],[client_satisfaction2]])</f>
        <v>0.84</v>
      </c>
    </row>
    <row r="139" spans="1:25" x14ac:dyDescent="0.25">
      <c r="A139" t="s">
        <v>359</v>
      </c>
      <c r="B139" t="s">
        <v>360</v>
      </c>
      <c r="C139" t="str">
        <f>PROPER(TRIM(SUBSTITUTE(SUBSTITUTE(SUBSTITUTE(Table1[[#This Row],[name]],"Ms. ",""),"Mr. ",""),"Mrs. ","")))</f>
        <v>Donna Bailey</v>
      </c>
      <c r="D139" t="s">
        <v>34</v>
      </c>
      <c r="E1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39">
        <v>39</v>
      </c>
      <c r="G139" t="str">
        <f>TRIM(IF(Table1[[#This Row],[age]]="","Unknown",Table1[[#This Row],[age]]))</f>
        <v>39</v>
      </c>
      <c r="H139" t="s">
        <v>135</v>
      </c>
      <c r="I139" t="s">
        <v>136</v>
      </c>
      <c r="J139" t="s">
        <v>78</v>
      </c>
      <c r="K139">
        <v>5</v>
      </c>
      <c r="L139" s="10" t="str">
        <f>TRIM(IF(Table1[[#This Row],[years_of_experience]]="","Unknown",Table1[[#This Row],[years_of_experience]]))</f>
        <v>5</v>
      </c>
      <c r="M139" t="s">
        <v>55</v>
      </c>
      <c r="N139" t="str">
        <f>IF(Table1[[#This Row],[hourly_rate (USD)]]="",MEDIAN(Table1[hourly_rate (USD)]),Table1[[#This Row],[hourly_rate (USD)]])</f>
        <v>USD 40</v>
      </c>
      <c r="O139" t="str">
        <f>TRIM(CLEAN(Table1[[#This Row],[Updated hourly_rate (USD)]]))</f>
        <v>USD 40</v>
      </c>
      <c r="P139" t="str">
        <f>SUBSTITUTE(SUBSTITUTE(Table1[[#This Row],[Formatted hourly rate]],"USD ",""),"$","")</f>
        <v>40</v>
      </c>
      <c r="Q139">
        <v>1.2</v>
      </c>
      <c r="R139">
        <f>IF(Table1[[#This Row],[rating]]="",2.6,Table1[[#This Row],[rating]])</f>
        <v>1.2</v>
      </c>
      <c r="S139">
        <v>0</v>
      </c>
      <c r="T139" t="str">
        <f>TRIM(CLEAN(Table1[[#This Row],[is_active]]))</f>
        <v>0</v>
      </c>
      <c r="U13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39" s="11" t="str">
        <f>TRIM(IF(Table1[[#This Row],[is_active3]]="Unknown","TRUE",Table1[[#This Row],[is_active3]]))</f>
        <v>FALSE</v>
      </c>
      <c r="W139">
        <v>83</v>
      </c>
      <c r="X139">
        <f>IF(Table1[[#This Row],[client_satisfaction]]&gt;1,Table1[[#This Row],[client_satisfaction]]/100,Table1[[#This Row],[client_satisfaction]])</f>
        <v>0.83</v>
      </c>
      <c r="Y139">
        <f>IF(Table1[[#This Row],[client_satisfaction2]]=0,0.75,Table1[[#This Row],[client_satisfaction2]])</f>
        <v>0.83</v>
      </c>
    </row>
    <row r="140" spans="1:25" x14ac:dyDescent="0.25">
      <c r="A140" t="s">
        <v>361</v>
      </c>
      <c r="B140" t="s">
        <v>362</v>
      </c>
      <c r="C140" t="str">
        <f>PROPER(TRIM(SUBSTITUTE(SUBSTITUTE(SUBSTITUTE(Table1[[#This Row],[name]],"Ms. ",""),"Mr. ",""),"Mrs. ","")))</f>
        <v>Joshua Armstrong</v>
      </c>
      <c r="D140" t="s">
        <v>27</v>
      </c>
      <c r="E1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40">
        <v>26</v>
      </c>
      <c r="G140" t="str">
        <f>TRIM(IF(Table1[[#This Row],[age]]="","Unknown",Table1[[#This Row],[age]]))</f>
        <v>26</v>
      </c>
      <c r="H140" t="s">
        <v>179</v>
      </c>
      <c r="I140" t="s">
        <v>72</v>
      </c>
      <c r="J140" t="s">
        <v>73</v>
      </c>
      <c r="K140">
        <v>5</v>
      </c>
      <c r="L140" s="10" t="str">
        <f>TRIM(IF(Table1[[#This Row],[years_of_experience]]="","Unknown",Table1[[#This Row],[years_of_experience]]))</f>
        <v>5</v>
      </c>
      <c r="M140">
        <v>50</v>
      </c>
      <c r="N140">
        <f>IF(Table1[[#This Row],[hourly_rate (USD)]]="",MEDIAN(Table1[hourly_rate (USD)]),Table1[[#This Row],[hourly_rate (USD)]])</f>
        <v>50</v>
      </c>
      <c r="O140" t="str">
        <f>TRIM(CLEAN(Table1[[#This Row],[Updated hourly_rate (USD)]]))</f>
        <v>50</v>
      </c>
      <c r="P140" t="str">
        <f>SUBSTITUTE(SUBSTITUTE(Table1[[#This Row],[Formatted hourly rate]],"USD ",""),"$","")</f>
        <v>50</v>
      </c>
      <c r="Q140">
        <v>0</v>
      </c>
      <c r="R140">
        <f>IF(Table1[[#This Row],[rating]]="",2.6,Table1[[#This Row],[rating]])</f>
        <v>0</v>
      </c>
      <c r="S140" t="s">
        <v>31</v>
      </c>
      <c r="T140" t="str">
        <f>TRIM(CLEAN(Table1[[#This Row],[is_active]]))</f>
        <v>N</v>
      </c>
      <c r="U14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40" s="11" t="str">
        <f>TRIM(IF(Table1[[#This Row],[is_active3]]="Unknown","TRUE",Table1[[#This Row],[is_active3]]))</f>
        <v>FALSE</v>
      </c>
      <c r="X140">
        <f>IF(Table1[[#This Row],[client_satisfaction]]&gt;1,Table1[[#This Row],[client_satisfaction]]/100,Table1[[#This Row],[client_satisfaction]])</f>
        <v>0</v>
      </c>
      <c r="Y140">
        <f>IF(Table1[[#This Row],[client_satisfaction2]]=0,0.75,Table1[[#This Row],[client_satisfaction2]])</f>
        <v>0.75</v>
      </c>
    </row>
    <row r="141" spans="1:25" x14ac:dyDescent="0.25">
      <c r="A141" t="s">
        <v>363</v>
      </c>
      <c r="B141" t="s">
        <v>364</v>
      </c>
      <c r="C141" t="str">
        <f>PROPER(TRIM(SUBSTITUTE(SUBSTITUTE(SUBSTITUTE(Table1[[#This Row],[name]],"Ms. ",""),"Mr. ",""),"Mrs. ","")))</f>
        <v>Jonathan Garza</v>
      </c>
      <c r="D141" t="s">
        <v>48</v>
      </c>
      <c r="E1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41">
        <v>31</v>
      </c>
      <c r="G141" t="str">
        <f>TRIM(IF(Table1[[#This Row],[age]]="","Unknown",Table1[[#This Row],[age]]))</f>
        <v>31</v>
      </c>
      <c r="H141" t="s">
        <v>28</v>
      </c>
      <c r="I141" t="s">
        <v>29</v>
      </c>
      <c r="J141" t="s">
        <v>78</v>
      </c>
      <c r="K141">
        <v>11</v>
      </c>
      <c r="L141" s="10" t="str">
        <f>TRIM(IF(Table1[[#This Row],[years_of_experience]]="","Unknown",Table1[[#This Row],[years_of_experience]]))</f>
        <v>11</v>
      </c>
      <c r="M141">
        <v>50</v>
      </c>
      <c r="N141">
        <f>IF(Table1[[#This Row],[hourly_rate (USD)]]="",MEDIAN(Table1[hourly_rate (USD)]),Table1[[#This Row],[hourly_rate (USD)]])</f>
        <v>50</v>
      </c>
      <c r="O141" t="str">
        <f>TRIM(CLEAN(Table1[[#This Row],[Updated hourly_rate (USD)]]))</f>
        <v>50</v>
      </c>
      <c r="P141" t="str">
        <f>SUBSTITUTE(SUBSTITUTE(Table1[[#This Row],[Formatted hourly rate]],"USD ",""),"$","")</f>
        <v>50</v>
      </c>
      <c r="Q141">
        <v>3.1</v>
      </c>
      <c r="R141">
        <f>IF(Table1[[#This Row],[rating]]="",2.6,Table1[[#This Row],[rating]])</f>
        <v>3.1</v>
      </c>
      <c r="S141" t="b">
        <v>0</v>
      </c>
      <c r="T141" t="str">
        <f>TRIM(CLEAN(Table1[[#This Row],[is_active]]))</f>
        <v>FALSE</v>
      </c>
      <c r="U14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41" s="11" t="str">
        <f>TRIM(IF(Table1[[#This Row],[is_active3]]="Unknown","TRUE",Table1[[#This Row],[is_active3]]))</f>
        <v>TRUE</v>
      </c>
      <c r="W141">
        <v>0.88</v>
      </c>
      <c r="X141">
        <f>IF(Table1[[#This Row],[client_satisfaction]]&gt;1,Table1[[#This Row],[client_satisfaction]]/100,Table1[[#This Row],[client_satisfaction]])</f>
        <v>0.88</v>
      </c>
      <c r="Y141">
        <f>IF(Table1[[#This Row],[client_satisfaction2]]=0,0.75,Table1[[#This Row],[client_satisfaction2]])</f>
        <v>0.88</v>
      </c>
    </row>
    <row r="142" spans="1:25" x14ac:dyDescent="0.25">
      <c r="A142" t="s">
        <v>365</v>
      </c>
      <c r="B142" t="s">
        <v>366</v>
      </c>
      <c r="C142" t="str">
        <f>PROPER(TRIM(SUBSTITUTE(SUBSTITUTE(SUBSTITUTE(Table1[[#This Row],[name]],"Ms. ",""),"Mr. ",""),"Mrs. ","")))</f>
        <v>Charles Jones</v>
      </c>
      <c r="D142" t="s">
        <v>48</v>
      </c>
      <c r="E1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42">
        <v>52</v>
      </c>
      <c r="G142" t="str">
        <f>TRIM(IF(Table1[[#This Row],[age]]="","Unknown",Table1[[#This Row],[age]]))</f>
        <v>52</v>
      </c>
      <c r="H142" t="s">
        <v>135</v>
      </c>
      <c r="I142" t="s">
        <v>136</v>
      </c>
      <c r="J142" t="s">
        <v>73</v>
      </c>
      <c r="K142">
        <v>15</v>
      </c>
      <c r="L142" s="10" t="str">
        <f>TRIM(IF(Table1[[#This Row],[years_of_experience]]="","Unknown",Table1[[#This Row],[years_of_experience]]))</f>
        <v>15</v>
      </c>
      <c r="M142">
        <v>50</v>
      </c>
      <c r="N142">
        <f>IF(Table1[[#This Row],[hourly_rate (USD)]]="",MEDIAN(Table1[hourly_rate (USD)]),Table1[[#This Row],[hourly_rate (USD)]])</f>
        <v>50</v>
      </c>
      <c r="O142" t="str">
        <f>TRIM(CLEAN(Table1[[#This Row],[Updated hourly_rate (USD)]]))</f>
        <v>50</v>
      </c>
      <c r="P142" t="str">
        <f>SUBSTITUTE(SUBSTITUTE(Table1[[#This Row],[Formatted hourly rate]],"USD ",""),"$","")</f>
        <v>50</v>
      </c>
      <c r="Q142">
        <v>0</v>
      </c>
      <c r="R142">
        <f>IF(Table1[[#This Row],[rating]]="",2.6,Table1[[#This Row],[rating]])</f>
        <v>0</v>
      </c>
      <c r="S142" t="s">
        <v>68</v>
      </c>
      <c r="T142" t="str">
        <f>TRIM(CLEAN(Table1[[#This Row],[is_active]]))</f>
        <v>yes</v>
      </c>
      <c r="U14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42" s="11" t="str">
        <f>TRIM(IF(Table1[[#This Row],[is_active3]]="Unknown","TRUE",Table1[[#This Row],[is_active3]]))</f>
        <v>TRUE</v>
      </c>
      <c r="W142">
        <v>0.81</v>
      </c>
      <c r="X142">
        <f>IF(Table1[[#This Row],[client_satisfaction]]&gt;1,Table1[[#This Row],[client_satisfaction]]/100,Table1[[#This Row],[client_satisfaction]])</f>
        <v>0.81</v>
      </c>
      <c r="Y142">
        <f>IF(Table1[[#This Row],[client_satisfaction2]]=0,0.75,Table1[[#This Row],[client_satisfaction2]])</f>
        <v>0.81</v>
      </c>
    </row>
    <row r="143" spans="1:25" x14ac:dyDescent="0.25">
      <c r="A143" t="s">
        <v>367</v>
      </c>
      <c r="B143" t="s">
        <v>368</v>
      </c>
      <c r="C143" t="str">
        <f>PROPER(TRIM(SUBSTITUTE(SUBSTITUTE(SUBSTITUTE(Table1[[#This Row],[name]],"Ms. ",""),"Mr. ",""),"Mrs. ","")))</f>
        <v>Lindsey Miles</v>
      </c>
      <c r="D143" t="s">
        <v>39</v>
      </c>
      <c r="E1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43">
        <v>34</v>
      </c>
      <c r="G143" t="str">
        <f>TRIM(IF(Table1[[#This Row],[age]]="","Unknown",Table1[[#This Row],[age]]))</f>
        <v>34</v>
      </c>
      <c r="H143" t="s">
        <v>93</v>
      </c>
      <c r="I143" t="s">
        <v>94</v>
      </c>
      <c r="J143" t="s">
        <v>51</v>
      </c>
      <c r="K143">
        <v>5</v>
      </c>
      <c r="L143" s="10" t="str">
        <f>TRIM(IF(Table1[[#This Row],[years_of_experience]]="","Unknown",Table1[[#This Row],[years_of_experience]]))</f>
        <v>5</v>
      </c>
      <c r="M143" t="s">
        <v>314</v>
      </c>
      <c r="N143" t="str">
        <f>IF(Table1[[#This Row],[hourly_rate (USD)]]="",MEDIAN(Table1[hourly_rate (USD)]),Table1[[#This Row],[hourly_rate (USD)]])</f>
        <v>USD 20</v>
      </c>
      <c r="O143" t="str">
        <f>TRIM(CLEAN(Table1[[#This Row],[Updated hourly_rate (USD)]]))</f>
        <v>USD 20</v>
      </c>
      <c r="P143" t="str">
        <f>SUBSTITUTE(SUBSTITUTE(Table1[[#This Row],[Formatted hourly rate]],"USD ",""),"$","")</f>
        <v>20</v>
      </c>
      <c r="Q143">
        <v>2.2000000000000002</v>
      </c>
      <c r="R143">
        <f>IF(Table1[[#This Row],[rating]]="",2.6,Table1[[#This Row],[rating]])</f>
        <v>2.2000000000000002</v>
      </c>
      <c r="S143" t="s">
        <v>74</v>
      </c>
      <c r="T143" t="str">
        <f>TRIM(CLEAN(Table1[[#This Row],[is_active]]))</f>
        <v>Y</v>
      </c>
      <c r="U14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43" s="11" t="str">
        <f>TRIM(IF(Table1[[#This Row],[is_active3]]="Unknown","TRUE",Table1[[#This Row],[is_active3]]))</f>
        <v>TRUE</v>
      </c>
      <c r="W143">
        <v>0.8</v>
      </c>
      <c r="X143">
        <f>IF(Table1[[#This Row],[client_satisfaction]]&gt;1,Table1[[#This Row],[client_satisfaction]]/100,Table1[[#This Row],[client_satisfaction]])</f>
        <v>0.8</v>
      </c>
      <c r="Y143">
        <f>IF(Table1[[#This Row],[client_satisfaction2]]=0,0.75,Table1[[#This Row],[client_satisfaction2]])</f>
        <v>0.8</v>
      </c>
    </row>
    <row r="144" spans="1:25" x14ac:dyDescent="0.25">
      <c r="A144" t="s">
        <v>369</v>
      </c>
      <c r="B144" t="s">
        <v>370</v>
      </c>
      <c r="C144" t="str">
        <f>PROPER(TRIM(SUBSTITUTE(SUBSTITUTE(SUBSTITUTE(Table1[[#This Row],[name]],"Ms. ",""),"Mr. ",""),"Mrs. ","")))</f>
        <v>Eduardo Reed</v>
      </c>
      <c r="D144" t="s">
        <v>27</v>
      </c>
      <c r="E1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44">
        <v>45</v>
      </c>
      <c r="G144" t="str">
        <f>TRIM(IF(Table1[[#This Row],[age]]="","Unknown",Table1[[#This Row],[age]]))</f>
        <v>45</v>
      </c>
      <c r="H144" t="s">
        <v>67</v>
      </c>
      <c r="I144" t="s">
        <v>22</v>
      </c>
      <c r="J144" t="s">
        <v>35</v>
      </c>
      <c r="K144">
        <v>7</v>
      </c>
      <c r="L144" s="10" t="str">
        <f>TRIM(IF(Table1[[#This Row],[years_of_experience]]="","Unknown",Table1[[#This Row],[years_of_experience]]))</f>
        <v>7</v>
      </c>
      <c r="M144">
        <v>75</v>
      </c>
      <c r="N144">
        <f>IF(Table1[[#This Row],[hourly_rate (USD)]]="",MEDIAN(Table1[hourly_rate (USD)]),Table1[[#This Row],[hourly_rate (USD)]])</f>
        <v>75</v>
      </c>
      <c r="O144" t="str">
        <f>TRIM(CLEAN(Table1[[#This Row],[Updated hourly_rate (USD)]]))</f>
        <v>75</v>
      </c>
      <c r="P144" t="str">
        <f>SUBSTITUTE(SUBSTITUTE(Table1[[#This Row],[Formatted hourly rate]],"USD ",""),"$","")</f>
        <v>75</v>
      </c>
      <c r="Q144">
        <v>3</v>
      </c>
      <c r="R144">
        <f>IF(Table1[[#This Row],[rating]]="",2.6,Table1[[#This Row],[rating]])</f>
        <v>3</v>
      </c>
      <c r="S144">
        <v>1</v>
      </c>
      <c r="T144" t="str">
        <f>TRIM(CLEAN(Table1[[#This Row],[is_active]]))</f>
        <v>1</v>
      </c>
      <c r="U1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44" s="11" t="str">
        <f>TRIM(IF(Table1[[#This Row],[is_active3]]="Unknown","TRUE",Table1[[#This Row],[is_active3]]))</f>
        <v>TRUE</v>
      </c>
      <c r="W144">
        <v>0.67</v>
      </c>
      <c r="X144">
        <f>IF(Table1[[#This Row],[client_satisfaction]]&gt;1,Table1[[#This Row],[client_satisfaction]]/100,Table1[[#This Row],[client_satisfaction]])</f>
        <v>0.67</v>
      </c>
      <c r="Y144">
        <f>IF(Table1[[#This Row],[client_satisfaction2]]=0,0.75,Table1[[#This Row],[client_satisfaction2]])</f>
        <v>0.67</v>
      </c>
    </row>
    <row r="145" spans="1:25" x14ac:dyDescent="0.25">
      <c r="A145" t="s">
        <v>371</v>
      </c>
      <c r="B145" t="s">
        <v>372</v>
      </c>
      <c r="C145" t="str">
        <f>PROPER(TRIM(SUBSTITUTE(SUBSTITUTE(SUBSTITUTE(Table1[[#This Row],[name]],"Ms. ",""),"Mr. ",""),"Mrs. ","")))</f>
        <v>Lee Fowler</v>
      </c>
      <c r="D145" t="s">
        <v>48</v>
      </c>
      <c r="E1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45">
        <v>46</v>
      </c>
      <c r="G145" t="str">
        <f>TRIM(IF(Table1[[#This Row],[age]]="","Unknown",Table1[[#This Row],[age]]))</f>
        <v>46</v>
      </c>
      <c r="H145" t="s">
        <v>67</v>
      </c>
      <c r="I145" t="s">
        <v>22</v>
      </c>
      <c r="J145" t="s">
        <v>78</v>
      </c>
      <c r="K145">
        <v>9</v>
      </c>
      <c r="L145" s="10" t="str">
        <f>TRIM(IF(Table1[[#This Row],[years_of_experience]]="","Unknown",Table1[[#This Row],[years_of_experience]]))</f>
        <v>9</v>
      </c>
      <c r="M145" t="s">
        <v>121</v>
      </c>
      <c r="N145" t="str">
        <f>IF(Table1[[#This Row],[hourly_rate (USD)]]="",MEDIAN(Table1[hourly_rate (USD)]),Table1[[#This Row],[hourly_rate (USD)]])</f>
        <v>$20</v>
      </c>
      <c r="O145" t="str">
        <f>TRIM(CLEAN(Table1[[#This Row],[Updated hourly_rate (USD)]]))</f>
        <v>$20</v>
      </c>
      <c r="P145" t="str">
        <f>SUBSTITUTE(SUBSTITUTE(Table1[[#This Row],[Formatted hourly rate]],"USD ",""),"$","")</f>
        <v>20</v>
      </c>
      <c r="Q145">
        <v>0</v>
      </c>
      <c r="R145">
        <f>IF(Table1[[#This Row],[rating]]="",2.6,Table1[[#This Row],[rating]])</f>
        <v>0</v>
      </c>
      <c r="S145" t="s">
        <v>31</v>
      </c>
      <c r="T145" t="str">
        <f>TRIM(CLEAN(Table1[[#This Row],[is_active]]))</f>
        <v>N</v>
      </c>
      <c r="U14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45" s="11" t="str">
        <f>TRIM(IF(Table1[[#This Row],[is_active3]]="Unknown","TRUE",Table1[[#This Row],[is_active3]]))</f>
        <v>FALSE</v>
      </c>
      <c r="W145">
        <v>0.82</v>
      </c>
      <c r="X145">
        <f>IF(Table1[[#This Row],[client_satisfaction]]&gt;1,Table1[[#This Row],[client_satisfaction]]/100,Table1[[#This Row],[client_satisfaction]])</f>
        <v>0.82</v>
      </c>
      <c r="Y145">
        <f>IF(Table1[[#This Row],[client_satisfaction2]]=0,0.75,Table1[[#This Row],[client_satisfaction2]])</f>
        <v>0.82</v>
      </c>
    </row>
    <row r="146" spans="1:25" x14ac:dyDescent="0.25">
      <c r="A146" t="s">
        <v>373</v>
      </c>
      <c r="B146" t="s">
        <v>374</v>
      </c>
      <c r="C146" t="str">
        <f>PROPER(TRIM(SUBSTITUTE(SUBSTITUTE(SUBSTITUTE(Table1[[#This Row],[name]],"Ms. ",""),"Mr. ",""),"Mrs. ","")))</f>
        <v>Steven Jones Jr.</v>
      </c>
      <c r="D146" t="s">
        <v>48</v>
      </c>
      <c r="E1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46">
        <v>56</v>
      </c>
      <c r="G146" t="str">
        <f>TRIM(IF(Table1[[#This Row],[age]]="","Unknown",Table1[[#This Row],[age]]))</f>
        <v>56</v>
      </c>
      <c r="H146" t="s">
        <v>135</v>
      </c>
      <c r="I146" t="s">
        <v>136</v>
      </c>
      <c r="J146" t="s">
        <v>73</v>
      </c>
      <c r="K146">
        <v>21</v>
      </c>
      <c r="L146" s="10" t="str">
        <f>TRIM(IF(Table1[[#This Row],[years_of_experience]]="","Unknown",Table1[[#This Row],[years_of_experience]]))</f>
        <v>21</v>
      </c>
      <c r="M146" t="s">
        <v>24</v>
      </c>
      <c r="N146" t="str">
        <f>IF(Table1[[#This Row],[hourly_rate (USD)]]="",MEDIAN(Table1[hourly_rate (USD)]),Table1[[#This Row],[hourly_rate (USD)]])</f>
        <v>USD 100</v>
      </c>
      <c r="O146" t="str">
        <f>TRIM(CLEAN(Table1[[#This Row],[Updated hourly_rate (USD)]]))</f>
        <v>USD 100</v>
      </c>
      <c r="P146" t="str">
        <f>SUBSTITUTE(SUBSTITUTE(Table1[[#This Row],[Formatted hourly rate]],"USD ",""),"$","")</f>
        <v>100</v>
      </c>
      <c r="Q146">
        <v>0</v>
      </c>
      <c r="R146">
        <f>IF(Table1[[#This Row],[rating]]="",2.6,Table1[[#This Row],[rating]])</f>
        <v>0</v>
      </c>
      <c r="S146" t="b">
        <v>1</v>
      </c>
      <c r="T146" t="str">
        <f>TRIM(CLEAN(Table1[[#This Row],[is_active]]))</f>
        <v>TRUE</v>
      </c>
      <c r="U14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46" s="11" t="str">
        <f>TRIM(IF(Table1[[#This Row],[is_active3]]="Unknown","TRUE",Table1[[#This Row],[is_active3]]))</f>
        <v>TRUE</v>
      </c>
      <c r="W146">
        <v>78</v>
      </c>
      <c r="X146">
        <f>IF(Table1[[#This Row],[client_satisfaction]]&gt;1,Table1[[#This Row],[client_satisfaction]]/100,Table1[[#This Row],[client_satisfaction]])</f>
        <v>0.78</v>
      </c>
      <c r="Y146">
        <f>IF(Table1[[#This Row],[client_satisfaction2]]=0,0.75,Table1[[#This Row],[client_satisfaction2]])</f>
        <v>0.78</v>
      </c>
    </row>
    <row r="147" spans="1:25" x14ac:dyDescent="0.25">
      <c r="A147" t="s">
        <v>375</v>
      </c>
      <c r="B147" t="s">
        <v>376</v>
      </c>
      <c r="C147" t="str">
        <f>PROPER(TRIM(SUBSTITUTE(SUBSTITUTE(SUBSTITUTE(Table1[[#This Row],[name]],"Ms. ",""),"Mr. ",""),"Mrs. ","")))</f>
        <v>Ashley Chen</v>
      </c>
      <c r="D147" t="s">
        <v>20</v>
      </c>
      <c r="E1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47">
        <v>59</v>
      </c>
      <c r="G147" t="str">
        <f>TRIM(IF(Table1[[#This Row],[age]]="","Unknown",Table1[[#This Row],[age]]))</f>
        <v>59</v>
      </c>
      <c r="H147" t="s">
        <v>28</v>
      </c>
      <c r="I147" t="s">
        <v>29</v>
      </c>
      <c r="J147" t="s">
        <v>44</v>
      </c>
      <c r="K147">
        <v>7</v>
      </c>
      <c r="L147" s="10" t="str">
        <f>TRIM(IF(Table1[[#This Row],[years_of_experience]]="","Unknown",Table1[[#This Row],[years_of_experience]]))</f>
        <v>7</v>
      </c>
      <c r="M147" t="s">
        <v>36</v>
      </c>
      <c r="N147" t="str">
        <f>IF(Table1[[#This Row],[hourly_rate (USD)]]="",MEDIAN(Table1[hourly_rate (USD)]),Table1[[#This Row],[hourly_rate (USD)]])</f>
        <v>$40</v>
      </c>
      <c r="O147" t="str">
        <f>TRIM(CLEAN(Table1[[#This Row],[Updated hourly_rate (USD)]]))</f>
        <v>$40</v>
      </c>
      <c r="P147" t="str">
        <f>SUBSTITUTE(SUBSTITUTE(Table1[[#This Row],[Formatted hourly rate]],"USD ",""),"$","")</f>
        <v>40</v>
      </c>
      <c r="Q147">
        <v>1.4</v>
      </c>
      <c r="R147">
        <f>IF(Table1[[#This Row],[rating]]="",2.6,Table1[[#This Row],[rating]])</f>
        <v>1.4</v>
      </c>
      <c r="S147" t="b">
        <v>0</v>
      </c>
      <c r="T147" t="str">
        <f>TRIM(CLEAN(Table1[[#This Row],[is_active]]))</f>
        <v>FALSE</v>
      </c>
      <c r="U14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47" s="11" t="str">
        <f>TRIM(IF(Table1[[#This Row],[is_active3]]="Unknown","TRUE",Table1[[#This Row],[is_active3]]))</f>
        <v>TRUE</v>
      </c>
      <c r="W147">
        <v>0.81</v>
      </c>
      <c r="X147">
        <f>IF(Table1[[#This Row],[client_satisfaction]]&gt;1,Table1[[#This Row],[client_satisfaction]]/100,Table1[[#This Row],[client_satisfaction]])</f>
        <v>0.81</v>
      </c>
      <c r="Y147">
        <f>IF(Table1[[#This Row],[client_satisfaction2]]=0,0.75,Table1[[#This Row],[client_satisfaction2]])</f>
        <v>0.81</v>
      </c>
    </row>
    <row r="148" spans="1:25" x14ac:dyDescent="0.25">
      <c r="A148" t="s">
        <v>377</v>
      </c>
      <c r="B148" t="s">
        <v>378</v>
      </c>
      <c r="C148" t="str">
        <f>PROPER(TRIM(SUBSTITUTE(SUBSTITUTE(SUBSTITUTE(Table1[[#This Row],[name]],"Ms. ",""),"Mr. ",""),"Mrs. ","")))</f>
        <v>Erica Davis</v>
      </c>
      <c r="D148" t="s">
        <v>20</v>
      </c>
      <c r="E1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48">
        <v>54</v>
      </c>
      <c r="G148" t="str">
        <f>TRIM(IF(Table1[[#This Row],[age]]="","Unknown",Table1[[#This Row],[age]]))</f>
        <v>54</v>
      </c>
      <c r="H148" t="s">
        <v>139</v>
      </c>
      <c r="I148" t="s">
        <v>140</v>
      </c>
      <c r="J148" t="s">
        <v>17</v>
      </c>
      <c r="K148">
        <v>4</v>
      </c>
      <c r="L148" s="10" t="str">
        <f>TRIM(IF(Table1[[#This Row],[years_of_experience]]="","Unknown",Table1[[#This Row],[years_of_experience]]))</f>
        <v>4</v>
      </c>
      <c r="N148">
        <f>IF(Table1[[#This Row],[hourly_rate (USD)]]="",MEDIAN(Table1[hourly_rate (USD)]),Table1[[#This Row],[hourly_rate (USD)]])</f>
        <v>50</v>
      </c>
      <c r="O148" t="str">
        <f>TRIM(CLEAN(Table1[[#This Row],[Updated hourly_rate (USD)]]))</f>
        <v>50</v>
      </c>
      <c r="P148" t="str">
        <f>SUBSTITUTE(SUBSTITUTE(Table1[[#This Row],[Formatted hourly rate]],"USD ",""),"$","")</f>
        <v>50</v>
      </c>
      <c r="Q148">
        <v>1.4</v>
      </c>
      <c r="R148">
        <f>IF(Table1[[#This Row],[rating]]="",2.6,Table1[[#This Row],[rating]])</f>
        <v>1.4</v>
      </c>
      <c r="S148" t="b">
        <v>1</v>
      </c>
      <c r="T148" t="str">
        <f>TRIM(CLEAN(Table1[[#This Row],[is_active]]))</f>
        <v>TRUE</v>
      </c>
      <c r="U14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48" s="11" t="str">
        <f>TRIM(IF(Table1[[#This Row],[is_active3]]="Unknown","TRUE",Table1[[#This Row],[is_active3]]))</f>
        <v>TRUE</v>
      </c>
      <c r="W148">
        <v>0.74</v>
      </c>
      <c r="X148">
        <f>IF(Table1[[#This Row],[client_satisfaction]]&gt;1,Table1[[#This Row],[client_satisfaction]]/100,Table1[[#This Row],[client_satisfaction]])</f>
        <v>0.74</v>
      </c>
      <c r="Y148">
        <f>IF(Table1[[#This Row],[client_satisfaction2]]=0,0.75,Table1[[#This Row],[client_satisfaction2]])</f>
        <v>0.74</v>
      </c>
    </row>
    <row r="149" spans="1:25" x14ac:dyDescent="0.25">
      <c r="A149" t="s">
        <v>379</v>
      </c>
      <c r="B149" t="s">
        <v>380</v>
      </c>
      <c r="C149" t="str">
        <f>PROPER(TRIM(SUBSTITUTE(SUBSTITUTE(SUBSTITUTE(Table1[[#This Row],[name]],"Ms. ",""),"Mr. ",""),"Mrs. ","")))</f>
        <v>Wayne Gonzales</v>
      </c>
      <c r="D149" t="s">
        <v>92</v>
      </c>
      <c r="E1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49">
        <v>36</v>
      </c>
      <c r="G149" t="str">
        <f>TRIM(IF(Table1[[#This Row],[age]]="","Unknown",Table1[[#This Row],[age]]))</f>
        <v>36</v>
      </c>
      <c r="H149" t="s">
        <v>28</v>
      </c>
      <c r="I149" t="s">
        <v>29</v>
      </c>
      <c r="J149" t="s">
        <v>73</v>
      </c>
      <c r="K149">
        <v>7</v>
      </c>
      <c r="L149" s="10" t="str">
        <f>TRIM(IF(Table1[[#This Row],[years_of_experience]]="","Unknown",Table1[[#This Row],[years_of_experience]]))</f>
        <v>7</v>
      </c>
      <c r="M149">
        <v>30</v>
      </c>
      <c r="N149">
        <f>IF(Table1[[#This Row],[hourly_rate (USD)]]="",MEDIAN(Table1[hourly_rate (USD)]),Table1[[#This Row],[hourly_rate (USD)]])</f>
        <v>30</v>
      </c>
      <c r="O149" t="str">
        <f>TRIM(CLEAN(Table1[[#This Row],[Updated hourly_rate (USD)]]))</f>
        <v>30</v>
      </c>
      <c r="P149" t="str">
        <f>SUBSTITUTE(SUBSTITUTE(Table1[[#This Row],[Formatted hourly rate]],"USD ",""),"$","")</f>
        <v>30</v>
      </c>
      <c r="Q149">
        <v>0</v>
      </c>
      <c r="R149">
        <f>IF(Table1[[#This Row],[rating]]="",2.6,Table1[[#This Row],[rating]])</f>
        <v>0</v>
      </c>
      <c r="S149" t="s">
        <v>31</v>
      </c>
      <c r="T149" t="str">
        <f>TRIM(CLEAN(Table1[[#This Row],[is_active]]))</f>
        <v>N</v>
      </c>
      <c r="U1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49" s="11" t="str">
        <f>TRIM(IF(Table1[[#This Row],[is_active3]]="Unknown","TRUE",Table1[[#This Row],[is_active3]]))</f>
        <v>FALSE</v>
      </c>
      <c r="W149">
        <v>0.88</v>
      </c>
      <c r="X149">
        <f>IF(Table1[[#This Row],[client_satisfaction]]&gt;1,Table1[[#This Row],[client_satisfaction]]/100,Table1[[#This Row],[client_satisfaction]])</f>
        <v>0.88</v>
      </c>
      <c r="Y149">
        <f>IF(Table1[[#This Row],[client_satisfaction2]]=0,0.75,Table1[[#This Row],[client_satisfaction2]])</f>
        <v>0.88</v>
      </c>
    </row>
    <row r="150" spans="1:25" x14ac:dyDescent="0.25">
      <c r="A150" t="s">
        <v>381</v>
      </c>
      <c r="B150" t="s">
        <v>382</v>
      </c>
      <c r="C150" t="str">
        <f>PROPER(TRIM(SUBSTITUTE(SUBSTITUTE(SUBSTITUTE(Table1[[#This Row],[name]],"Ms. ",""),"Mr. ",""),"Mrs. ","")))</f>
        <v>Gary Ballard</v>
      </c>
      <c r="D150" t="s">
        <v>27</v>
      </c>
      <c r="E1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50">
        <v>25</v>
      </c>
      <c r="G150" t="str">
        <f>TRIM(IF(Table1[[#This Row],[age]]="","Unknown",Table1[[#This Row],[age]]))</f>
        <v>25</v>
      </c>
      <c r="H150" t="s">
        <v>179</v>
      </c>
      <c r="I150" t="s">
        <v>72</v>
      </c>
      <c r="J150" t="s">
        <v>51</v>
      </c>
      <c r="K150">
        <v>0</v>
      </c>
      <c r="L150" s="10" t="str">
        <f>TRIM(IF(Table1[[#This Row],[years_of_experience]]="","Unknown",Table1[[#This Row],[years_of_experience]]))</f>
        <v>0</v>
      </c>
      <c r="M150">
        <v>40</v>
      </c>
      <c r="N150">
        <f>IF(Table1[[#This Row],[hourly_rate (USD)]]="",MEDIAN(Table1[hourly_rate (USD)]),Table1[[#This Row],[hourly_rate (USD)]])</f>
        <v>40</v>
      </c>
      <c r="O150" t="str">
        <f>TRIM(CLEAN(Table1[[#This Row],[Updated hourly_rate (USD)]]))</f>
        <v>40</v>
      </c>
      <c r="P150" t="str">
        <f>SUBSTITUTE(SUBSTITUTE(Table1[[#This Row],[Formatted hourly rate]],"USD ",""),"$","")</f>
        <v>40</v>
      </c>
      <c r="Q150">
        <v>0</v>
      </c>
      <c r="R150">
        <f>IF(Table1[[#This Row],[rating]]="",2.6,Table1[[#This Row],[rating]])</f>
        <v>0</v>
      </c>
      <c r="S150">
        <v>0</v>
      </c>
      <c r="T150" t="str">
        <f>TRIM(CLEAN(Table1[[#This Row],[is_active]]))</f>
        <v>0</v>
      </c>
      <c r="U15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50" s="11" t="str">
        <f>TRIM(IF(Table1[[#This Row],[is_active3]]="Unknown","TRUE",Table1[[#This Row],[is_active3]]))</f>
        <v>FALSE</v>
      </c>
      <c r="W150">
        <v>0.9</v>
      </c>
      <c r="X150">
        <f>IF(Table1[[#This Row],[client_satisfaction]]&gt;1,Table1[[#This Row],[client_satisfaction]]/100,Table1[[#This Row],[client_satisfaction]])</f>
        <v>0.9</v>
      </c>
      <c r="Y150">
        <f>IF(Table1[[#This Row],[client_satisfaction2]]=0,0.75,Table1[[#This Row],[client_satisfaction2]])</f>
        <v>0.9</v>
      </c>
    </row>
    <row r="151" spans="1:25" x14ac:dyDescent="0.25">
      <c r="A151" t="s">
        <v>383</v>
      </c>
      <c r="B151" t="s">
        <v>384</v>
      </c>
      <c r="C151" t="str">
        <f>PROPER(TRIM(SUBSTITUTE(SUBSTITUTE(SUBSTITUTE(Table1[[#This Row],[name]],"Ms. ",""),"Mr. ",""),"Mrs. ","")))</f>
        <v>Maria Mcguire</v>
      </c>
      <c r="D151" t="s">
        <v>20</v>
      </c>
      <c r="E1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51">
        <v>37</v>
      </c>
      <c r="G151" t="str">
        <f>TRIM(IF(Table1[[#This Row],[age]]="","Unknown",Table1[[#This Row],[age]]))</f>
        <v>37</v>
      </c>
      <c r="H151" t="s">
        <v>124</v>
      </c>
      <c r="I151" t="s">
        <v>125</v>
      </c>
      <c r="J151" t="s">
        <v>51</v>
      </c>
      <c r="K151">
        <v>15</v>
      </c>
      <c r="L151" s="10" t="str">
        <f>TRIM(IF(Table1[[#This Row],[years_of_experience]]="","Unknown",Table1[[#This Row],[years_of_experience]]))</f>
        <v>15</v>
      </c>
      <c r="M151" t="s">
        <v>36</v>
      </c>
      <c r="N151" t="str">
        <f>IF(Table1[[#This Row],[hourly_rate (USD)]]="",MEDIAN(Table1[hourly_rate (USD)]),Table1[[#This Row],[hourly_rate (USD)]])</f>
        <v>$40</v>
      </c>
      <c r="O151" t="str">
        <f>TRIM(CLEAN(Table1[[#This Row],[Updated hourly_rate (USD)]]))</f>
        <v>$40</v>
      </c>
      <c r="P151" t="str">
        <f>SUBSTITUTE(SUBSTITUTE(Table1[[#This Row],[Formatted hourly rate]],"USD ",""),"$","")</f>
        <v>40</v>
      </c>
      <c r="Q151">
        <v>2.9</v>
      </c>
      <c r="R151">
        <f>IF(Table1[[#This Row],[rating]]="",2.6,Table1[[#This Row],[rating]])</f>
        <v>2.9</v>
      </c>
      <c r="S151" t="b">
        <v>0</v>
      </c>
      <c r="T151" t="str">
        <f>TRIM(CLEAN(Table1[[#This Row],[is_active]]))</f>
        <v>FALSE</v>
      </c>
      <c r="U15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51" s="11" t="str">
        <f>TRIM(IF(Table1[[#This Row],[is_active3]]="Unknown","TRUE",Table1[[#This Row],[is_active3]]))</f>
        <v>TRUE</v>
      </c>
      <c r="X151">
        <f>IF(Table1[[#This Row],[client_satisfaction]]&gt;1,Table1[[#This Row],[client_satisfaction]]/100,Table1[[#This Row],[client_satisfaction]])</f>
        <v>0</v>
      </c>
      <c r="Y151">
        <f>IF(Table1[[#This Row],[client_satisfaction2]]=0,0.75,Table1[[#This Row],[client_satisfaction2]])</f>
        <v>0.75</v>
      </c>
    </row>
    <row r="152" spans="1:25" x14ac:dyDescent="0.25">
      <c r="A152" t="s">
        <v>385</v>
      </c>
      <c r="B152" t="s">
        <v>386</v>
      </c>
      <c r="C152" t="str">
        <f>PROPER(TRIM(SUBSTITUTE(SUBSTITUTE(SUBSTITUTE(Table1[[#This Row],[name]],"Ms. ",""),"Mr. ",""),"Mrs. ","")))</f>
        <v>Matthew Richards</v>
      </c>
      <c r="D152" t="s">
        <v>92</v>
      </c>
      <c r="E1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152" t="str">
        <f>TRIM(IF(Table1[[#This Row],[age]]="","Unknown",Table1[[#This Row],[age]]))</f>
        <v>Unknown</v>
      </c>
      <c r="H152" t="s">
        <v>62</v>
      </c>
      <c r="I152" t="s">
        <v>63</v>
      </c>
      <c r="J152" t="s">
        <v>51</v>
      </c>
      <c r="K152">
        <v>10</v>
      </c>
      <c r="L152" s="10" t="str">
        <f>TRIM(IF(Table1[[#This Row],[years_of_experience]]="","Unknown",Table1[[#This Row],[years_of_experience]]))</f>
        <v>10</v>
      </c>
      <c r="M152" t="s">
        <v>55</v>
      </c>
      <c r="N152" t="str">
        <f>IF(Table1[[#This Row],[hourly_rate (USD)]]="",MEDIAN(Table1[hourly_rate (USD)]),Table1[[#This Row],[hourly_rate (USD)]])</f>
        <v>USD 40</v>
      </c>
      <c r="O152" t="str">
        <f>TRIM(CLEAN(Table1[[#This Row],[Updated hourly_rate (USD)]]))</f>
        <v>USD 40</v>
      </c>
      <c r="P152" t="str">
        <f>SUBSTITUTE(SUBSTITUTE(Table1[[#This Row],[Formatted hourly rate]],"USD ",""),"$","")</f>
        <v>40</v>
      </c>
      <c r="Q152">
        <v>0</v>
      </c>
      <c r="R152">
        <f>IF(Table1[[#This Row],[rating]]="",2.6,Table1[[#This Row],[rating]])</f>
        <v>0</v>
      </c>
      <c r="T152" t="str">
        <f>TRIM(CLEAN(Table1[[#This Row],[is_active]]))</f>
        <v/>
      </c>
      <c r="U15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52" s="11" t="str">
        <f>TRIM(IF(Table1[[#This Row],[is_active3]]="Unknown","TRUE",Table1[[#This Row],[is_active3]]))</f>
        <v>TRUE</v>
      </c>
      <c r="X152">
        <f>IF(Table1[[#This Row],[client_satisfaction]]&gt;1,Table1[[#This Row],[client_satisfaction]]/100,Table1[[#This Row],[client_satisfaction]])</f>
        <v>0</v>
      </c>
      <c r="Y152">
        <f>IF(Table1[[#This Row],[client_satisfaction2]]=0,0.75,Table1[[#This Row],[client_satisfaction2]])</f>
        <v>0.75</v>
      </c>
    </row>
    <row r="153" spans="1:25" x14ac:dyDescent="0.25">
      <c r="A153" t="s">
        <v>387</v>
      </c>
      <c r="B153" t="s">
        <v>388</v>
      </c>
      <c r="C153" t="str">
        <f>PROPER(TRIM(SUBSTITUTE(SUBSTITUTE(SUBSTITUTE(Table1[[#This Row],[name]],"Ms. ",""),"Mr. ",""),"Mrs. ","")))</f>
        <v>Patrick Malone</v>
      </c>
      <c r="D153" t="s">
        <v>48</v>
      </c>
      <c r="E1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53">
        <v>29</v>
      </c>
      <c r="G153" t="str">
        <f>TRIM(IF(Table1[[#This Row],[age]]="","Unknown",Table1[[#This Row],[age]]))</f>
        <v>29</v>
      </c>
      <c r="H153" t="s">
        <v>190</v>
      </c>
      <c r="I153" t="s">
        <v>72</v>
      </c>
      <c r="J153" t="s">
        <v>51</v>
      </c>
      <c r="K153">
        <v>11</v>
      </c>
      <c r="L153" s="10" t="str">
        <f>TRIM(IF(Table1[[#This Row],[years_of_experience]]="","Unknown",Table1[[#This Row],[years_of_experience]]))</f>
        <v>11</v>
      </c>
      <c r="M153">
        <v>20</v>
      </c>
      <c r="N153">
        <f>IF(Table1[[#This Row],[hourly_rate (USD)]]="",MEDIAN(Table1[hourly_rate (USD)]),Table1[[#This Row],[hourly_rate (USD)]])</f>
        <v>20</v>
      </c>
      <c r="O153" t="str">
        <f>TRIM(CLEAN(Table1[[#This Row],[Updated hourly_rate (USD)]]))</f>
        <v>20</v>
      </c>
      <c r="P153" t="str">
        <f>SUBSTITUTE(SUBSTITUTE(Table1[[#This Row],[Formatted hourly rate]],"USD ",""),"$","")</f>
        <v>20</v>
      </c>
      <c r="Q153">
        <v>2.7</v>
      </c>
      <c r="R153">
        <f>IF(Table1[[#This Row],[rating]]="",2.6,Table1[[#This Row],[rating]])</f>
        <v>2.7</v>
      </c>
      <c r="S153" t="s">
        <v>159</v>
      </c>
      <c r="T153" t="str">
        <f>TRIM(CLEAN(Table1[[#This Row],[is_active]]))</f>
        <v>no</v>
      </c>
      <c r="U15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53" s="11" t="str">
        <f>TRIM(IF(Table1[[#This Row],[is_active3]]="Unknown","TRUE",Table1[[#This Row],[is_active3]]))</f>
        <v>FALSE</v>
      </c>
      <c r="W153">
        <v>0.93</v>
      </c>
      <c r="X153">
        <f>IF(Table1[[#This Row],[client_satisfaction]]&gt;1,Table1[[#This Row],[client_satisfaction]]/100,Table1[[#This Row],[client_satisfaction]])</f>
        <v>0.93</v>
      </c>
      <c r="Y153">
        <f>IF(Table1[[#This Row],[client_satisfaction2]]=0,0.75,Table1[[#This Row],[client_satisfaction2]])</f>
        <v>0.93</v>
      </c>
    </row>
    <row r="154" spans="1:25" x14ac:dyDescent="0.25">
      <c r="A154" t="s">
        <v>389</v>
      </c>
      <c r="B154" t="s">
        <v>390</v>
      </c>
      <c r="C154" t="str">
        <f>PROPER(TRIM(SUBSTITUTE(SUBSTITUTE(SUBSTITUTE(Table1[[#This Row],[name]],"Ms. ",""),"Mr. ",""),"Mrs. ","")))</f>
        <v>Cindy Martin</v>
      </c>
      <c r="D154" t="s">
        <v>39</v>
      </c>
      <c r="E1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54">
        <v>55</v>
      </c>
      <c r="G154" t="str">
        <f>TRIM(IF(Table1[[#This Row],[age]]="","Unknown",Table1[[#This Row],[age]]))</f>
        <v>55</v>
      </c>
      <c r="H154" t="s">
        <v>71</v>
      </c>
      <c r="I154" t="s">
        <v>72</v>
      </c>
      <c r="J154" t="s">
        <v>23</v>
      </c>
      <c r="K154">
        <v>12</v>
      </c>
      <c r="L154" s="10" t="str">
        <f>TRIM(IF(Table1[[#This Row],[years_of_experience]]="","Unknown",Table1[[#This Row],[years_of_experience]]))</f>
        <v>12</v>
      </c>
      <c r="M154">
        <v>100</v>
      </c>
      <c r="N154">
        <f>IF(Table1[[#This Row],[hourly_rate (USD)]]="",MEDIAN(Table1[hourly_rate (USD)]),Table1[[#This Row],[hourly_rate (USD)]])</f>
        <v>100</v>
      </c>
      <c r="O154" t="str">
        <f>TRIM(CLEAN(Table1[[#This Row],[Updated hourly_rate (USD)]]))</f>
        <v>100</v>
      </c>
      <c r="P154" t="str">
        <f>SUBSTITUTE(SUBSTITUTE(Table1[[#This Row],[Formatted hourly rate]],"USD ",""),"$","")</f>
        <v>100</v>
      </c>
      <c r="Q154">
        <v>1.8</v>
      </c>
      <c r="R154">
        <f>IF(Table1[[#This Row],[rating]]="",2.6,Table1[[#This Row],[rating]])</f>
        <v>1.8</v>
      </c>
      <c r="S154">
        <v>1</v>
      </c>
      <c r="T154" t="str">
        <f>TRIM(CLEAN(Table1[[#This Row],[is_active]]))</f>
        <v>1</v>
      </c>
      <c r="U15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54" s="11" t="str">
        <f>TRIM(IF(Table1[[#This Row],[is_active3]]="Unknown","TRUE",Table1[[#This Row],[is_active3]]))</f>
        <v>TRUE</v>
      </c>
      <c r="X154">
        <f>IF(Table1[[#This Row],[client_satisfaction]]&gt;1,Table1[[#This Row],[client_satisfaction]]/100,Table1[[#This Row],[client_satisfaction]])</f>
        <v>0</v>
      </c>
      <c r="Y154">
        <f>IF(Table1[[#This Row],[client_satisfaction2]]=0,0.75,Table1[[#This Row],[client_satisfaction2]])</f>
        <v>0.75</v>
      </c>
    </row>
    <row r="155" spans="1:25" x14ac:dyDescent="0.25">
      <c r="A155" t="s">
        <v>391</v>
      </c>
      <c r="B155" t="s">
        <v>392</v>
      </c>
      <c r="C155" t="str">
        <f>PROPER(TRIM(SUBSTITUTE(SUBSTITUTE(SUBSTITUTE(Table1[[#This Row],[name]],"Ms. ",""),"Mr. ",""),"Mrs. ","")))</f>
        <v>Anne Edwards</v>
      </c>
      <c r="D155" t="s">
        <v>77</v>
      </c>
      <c r="E1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55">
        <v>38</v>
      </c>
      <c r="G155" t="str">
        <f>TRIM(IF(Table1[[#This Row],[age]]="","Unknown",Table1[[#This Row],[age]]))</f>
        <v>38</v>
      </c>
      <c r="H155" t="s">
        <v>85</v>
      </c>
      <c r="I155" t="s">
        <v>86</v>
      </c>
      <c r="J155" t="s">
        <v>89</v>
      </c>
      <c r="K155">
        <v>20</v>
      </c>
      <c r="L155" s="10" t="str">
        <f>TRIM(IF(Table1[[#This Row],[years_of_experience]]="","Unknown",Table1[[#This Row],[years_of_experience]]))</f>
        <v>20</v>
      </c>
      <c r="M155" t="s">
        <v>170</v>
      </c>
      <c r="N155" t="str">
        <f>IF(Table1[[#This Row],[hourly_rate (USD)]]="",MEDIAN(Table1[hourly_rate (USD)]),Table1[[#This Row],[hourly_rate (USD)]])</f>
        <v>$75</v>
      </c>
      <c r="O155" t="str">
        <f>TRIM(CLEAN(Table1[[#This Row],[Updated hourly_rate (USD)]]))</f>
        <v>$75</v>
      </c>
      <c r="P155" t="str">
        <f>SUBSTITUTE(SUBSTITUTE(Table1[[#This Row],[Formatted hourly rate]],"USD ",""),"$","")</f>
        <v>75</v>
      </c>
      <c r="Q155">
        <v>1.1000000000000001</v>
      </c>
      <c r="R155">
        <f>IF(Table1[[#This Row],[rating]]="",2.6,Table1[[#This Row],[rating]])</f>
        <v>1.1000000000000001</v>
      </c>
      <c r="S155" t="s">
        <v>159</v>
      </c>
      <c r="T155" t="str">
        <f>TRIM(CLEAN(Table1[[#This Row],[is_active]]))</f>
        <v>no</v>
      </c>
      <c r="U15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55" s="11" t="str">
        <f>TRIM(IF(Table1[[#This Row],[is_active3]]="Unknown","TRUE",Table1[[#This Row],[is_active3]]))</f>
        <v>FALSE</v>
      </c>
      <c r="W155">
        <v>0.71</v>
      </c>
      <c r="X155">
        <f>IF(Table1[[#This Row],[client_satisfaction]]&gt;1,Table1[[#This Row],[client_satisfaction]]/100,Table1[[#This Row],[client_satisfaction]])</f>
        <v>0.71</v>
      </c>
      <c r="Y155">
        <f>IF(Table1[[#This Row],[client_satisfaction2]]=0,0.75,Table1[[#This Row],[client_satisfaction2]])</f>
        <v>0.71</v>
      </c>
    </row>
    <row r="156" spans="1:25" x14ac:dyDescent="0.25">
      <c r="A156" t="s">
        <v>393</v>
      </c>
      <c r="B156" t="s">
        <v>394</v>
      </c>
      <c r="C156" t="str">
        <f>PROPER(TRIM(SUBSTITUTE(SUBSTITUTE(SUBSTITUTE(Table1[[#This Row],[name]],"Ms. ",""),"Mr. ",""),"Mrs. ","")))</f>
        <v>Mitchell Martin</v>
      </c>
      <c r="D156" t="s">
        <v>97</v>
      </c>
      <c r="E1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56">
        <v>47</v>
      </c>
      <c r="G156" t="str">
        <f>TRIM(IF(Table1[[#This Row],[age]]="","Unknown",Table1[[#This Row],[age]]))</f>
        <v>47</v>
      </c>
      <c r="H156" t="s">
        <v>112</v>
      </c>
      <c r="I156" t="s">
        <v>113</v>
      </c>
      <c r="J156" t="s">
        <v>89</v>
      </c>
      <c r="K156">
        <v>29</v>
      </c>
      <c r="L156" s="10" t="str">
        <f>TRIM(IF(Table1[[#This Row],[years_of_experience]]="","Unknown",Table1[[#This Row],[years_of_experience]]))</f>
        <v>29</v>
      </c>
      <c r="M156" t="s">
        <v>36</v>
      </c>
      <c r="N156" t="str">
        <f>IF(Table1[[#This Row],[hourly_rate (USD)]]="",MEDIAN(Table1[hourly_rate (USD)]),Table1[[#This Row],[hourly_rate (USD)]])</f>
        <v>$40</v>
      </c>
      <c r="O156" t="str">
        <f>TRIM(CLEAN(Table1[[#This Row],[Updated hourly_rate (USD)]]))</f>
        <v>$40</v>
      </c>
      <c r="P156" t="str">
        <f>SUBSTITUTE(SUBSTITUTE(Table1[[#This Row],[Formatted hourly rate]],"USD ",""),"$","")</f>
        <v>40</v>
      </c>
      <c r="Q156">
        <v>4.3</v>
      </c>
      <c r="R156">
        <f>IF(Table1[[#This Row],[rating]]="",2.6,Table1[[#This Row],[rating]])</f>
        <v>4.3</v>
      </c>
      <c r="S156">
        <v>1</v>
      </c>
      <c r="T156" t="str">
        <f>TRIM(CLEAN(Table1[[#This Row],[is_active]]))</f>
        <v>1</v>
      </c>
      <c r="U15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56" s="11" t="str">
        <f>TRIM(IF(Table1[[#This Row],[is_active3]]="Unknown","TRUE",Table1[[#This Row],[is_active3]]))</f>
        <v>TRUE</v>
      </c>
      <c r="W156">
        <v>0.95</v>
      </c>
      <c r="X156">
        <f>IF(Table1[[#This Row],[client_satisfaction]]&gt;1,Table1[[#This Row],[client_satisfaction]]/100,Table1[[#This Row],[client_satisfaction]])</f>
        <v>0.95</v>
      </c>
      <c r="Y156">
        <f>IF(Table1[[#This Row],[client_satisfaction2]]=0,0.75,Table1[[#This Row],[client_satisfaction2]])</f>
        <v>0.95</v>
      </c>
    </row>
    <row r="157" spans="1:25" x14ac:dyDescent="0.25">
      <c r="A157" t="s">
        <v>395</v>
      </c>
      <c r="B157" t="s">
        <v>396</v>
      </c>
      <c r="C157" t="str">
        <f>PROPER(TRIM(SUBSTITUTE(SUBSTITUTE(SUBSTITUTE(Table1[[#This Row],[name]],"Ms. ",""),"Mr. ",""),"Mrs. ","")))</f>
        <v>Mitchell Patrick</v>
      </c>
      <c r="D157" t="s">
        <v>92</v>
      </c>
      <c r="E1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57">
        <v>60</v>
      </c>
      <c r="G157" t="str">
        <f>TRIM(IF(Table1[[#This Row],[age]]="","Unknown",Table1[[#This Row],[age]]))</f>
        <v>60</v>
      </c>
      <c r="H157" t="s">
        <v>107</v>
      </c>
      <c r="I157" t="s">
        <v>108</v>
      </c>
      <c r="J157" t="s">
        <v>35</v>
      </c>
      <c r="K157">
        <v>15</v>
      </c>
      <c r="L157" s="10" t="str">
        <f>TRIM(IF(Table1[[#This Row],[years_of_experience]]="","Unknown",Table1[[#This Row],[years_of_experience]]))</f>
        <v>15</v>
      </c>
      <c r="M157">
        <v>100</v>
      </c>
      <c r="N157">
        <f>IF(Table1[[#This Row],[hourly_rate (USD)]]="",MEDIAN(Table1[hourly_rate (USD)]),Table1[[#This Row],[hourly_rate (USD)]])</f>
        <v>100</v>
      </c>
      <c r="O157" t="str">
        <f>TRIM(CLEAN(Table1[[#This Row],[Updated hourly_rate (USD)]]))</f>
        <v>100</v>
      </c>
      <c r="P157" t="str">
        <f>SUBSTITUTE(SUBSTITUTE(Table1[[#This Row],[Formatted hourly rate]],"USD ",""),"$","")</f>
        <v>100</v>
      </c>
      <c r="Q157">
        <v>1.5</v>
      </c>
      <c r="R157">
        <f>IF(Table1[[#This Row],[rating]]="",2.6,Table1[[#This Row],[rating]])</f>
        <v>1.5</v>
      </c>
      <c r="S157">
        <v>0</v>
      </c>
      <c r="T157" t="str">
        <f>TRIM(CLEAN(Table1[[#This Row],[is_active]]))</f>
        <v>0</v>
      </c>
      <c r="U15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57" s="11" t="str">
        <f>TRIM(IF(Table1[[#This Row],[is_active3]]="Unknown","TRUE",Table1[[#This Row],[is_active3]]))</f>
        <v>FALSE</v>
      </c>
      <c r="W157">
        <v>80</v>
      </c>
      <c r="X157">
        <f>IF(Table1[[#This Row],[client_satisfaction]]&gt;1,Table1[[#This Row],[client_satisfaction]]/100,Table1[[#This Row],[client_satisfaction]])</f>
        <v>0.8</v>
      </c>
      <c r="Y157">
        <f>IF(Table1[[#This Row],[client_satisfaction2]]=0,0.75,Table1[[#This Row],[client_satisfaction2]])</f>
        <v>0.8</v>
      </c>
    </row>
    <row r="158" spans="1:25" x14ac:dyDescent="0.25">
      <c r="A158" t="s">
        <v>397</v>
      </c>
      <c r="B158" t="s">
        <v>398</v>
      </c>
      <c r="C158" t="str">
        <f>PROPER(TRIM(SUBSTITUTE(SUBSTITUTE(SUBSTITUTE(Table1[[#This Row],[name]],"Ms. ",""),"Mr. ",""),"Mrs. ","")))</f>
        <v>Rebecca Lyons</v>
      </c>
      <c r="D158" t="s">
        <v>20</v>
      </c>
      <c r="E1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58">
        <v>43</v>
      </c>
      <c r="G158" t="str">
        <f>TRIM(IF(Table1[[#This Row],[age]]="","Unknown",Table1[[#This Row],[age]]))</f>
        <v>43</v>
      </c>
      <c r="H158" t="s">
        <v>15</v>
      </c>
      <c r="I158" t="s">
        <v>16</v>
      </c>
      <c r="J158" t="s">
        <v>51</v>
      </c>
      <c r="K158">
        <v>9</v>
      </c>
      <c r="L158" s="10" t="str">
        <f>TRIM(IF(Table1[[#This Row],[years_of_experience]]="","Unknown",Table1[[#This Row],[years_of_experience]]))</f>
        <v>9</v>
      </c>
      <c r="M158" t="s">
        <v>121</v>
      </c>
      <c r="N158" t="str">
        <f>IF(Table1[[#This Row],[hourly_rate (USD)]]="",MEDIAN(Table1[hourly_rate (USD)]),Table1[[#This Row],[hourly_rate (USD)]])</f>
        <v>$20</v>
      </c>
      <c r="O158" t="str">
        <f>TRIM(CLEAN(Table1[[#This Row],[Updated hourly_rate (USD)]]))</f>
        <v>$20</v>
      </c>
      <c r="P158" t="str">
        <f>SUBSTITUTE(SUBSTITUTE(Table1[[#This Row],[Formatted hourly rate]],"USD ",""),"$","")</f>
        <v>20</v>
      </c>
      <c r="Q158">
        <v>2.2000000000000002</v>
      </c>
      <c r="R158">
        <f>IF(Table1[[#This Row],[rating]]="",2.6,Table1[[#This Row],[rating]])</f>
        <v>2.2000000000000002</v>
      </c>
      <c r="S158" t="s">
        <v>31</v>
      </c>
      <c r="T158" t="str">
        <f>TRIM(CLEAN(Table1[[#This Row],[is_active]]))</f>
        <v>N</v>
      </c>
      <c r="U15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58" s="11" t="str">
        <f>TRIM(IF(Table1[[#This Row],[is_active3]]="Unknown","TRUE",Table1[[#This Row],[is_active3]]))</f>
        <v>FALSE</v>
      </c>
      <c r="X158">
        <f>IF(Table1[[#This Row],[client_satisfaction]]&gt;1,Table1[[#This Row],[client_satisfaction]]/100,Table1[[#This Row],[client_satisfaction]])</f>
        <v>0</v>
      </c>
      <c r="Y158">
        <f>IF(Table1[[#This Row],[client_satisfaction2]]=0,0.75,Table1[[#This Row],[client_satisfaction2]])</f>
        <v>0.75</v>
      </c>
    </row>
    <row r="159" spans="1:25" x14ac:dyDescent="0.25">
      <c r="A159" t="s">
        <v>399</v>
      </c>
      <c r="B159" t="s">
        <v>400</v>
      </c>
      <c r="C159" t="str">
        <f>PROPER(TRIM(SUBSTITUTE(SUBSTITUTE(SUBSTITUTE(Table1[[#This Row],[name]],"Ms. ",""),"Mr. ",""),"Mrs. ","")))</f>
        <v>Christian Lopez</v>
      </c>
      <c r="D159" t="s">
        <v>97</v>
      </c>
      <c r="E1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59">
        <v>56</v>
      </c>
      <c r="G159" t="str">
        <f>TRIM(IF(Table1[[#This Row],[age]]="","Unknown",Table1[[#This Row],[age]]))</f>
        <v>56</v>
      </c>
      <c r="H159" t="s">
        <v>153</v>
      </c>
      <c r="I159" t="s">
        <v>154</v>
      </c>
      <c r="J159" t="s">
        <v>51</v>
      </c>
      <c r="L159" s="10" t="str">
        <f>TRIM(IF(Table1[[#This Row],[years_of_experience]]="","Unknown",Table1[[#This Row],[years_of_experience]]))</f>
        <v>Unknown</v>
      </c>
      <c r="M159">
        <v>100</v>
      </c>
      <c r="N159">
        <f>IF(Table1[[#This Row],[hourly_rate (USD)]]="",MEDIAN(Table1[hourly_rate (USD)]),Table1[[#This Row],[hourly_rate (USD)]])</f>
        <v>100</v>
      </c>
      <c r="O159" t="str">
        <f>TRIM(CLEAN(Table1[[#This Row],[Updated hourly_rate (USD)]]))</f>
        <v>100</v>
      </c>
      <c r="P159" t="str">
        <f>SUBSTITUTE(SUBSTITUTE(Table1[[#This Row],[Formatted hourly rate]],"USD ",""),"$","")</f>
        <v>100</v>
      </c>
      <c r="Q159">
        <v>3.2</v>
      </c>
      <c r="R159">
        <f>IF(Table1[[#This Row],[rating]]="",2.6,Table1[[#This Row],[rating]])</f>
        <v>3.2</v>
      </c>
      <c r="S159">
        <v>0</v>
      </c>
      <c r="T159" t="str">
        <f>TRIM(CLEAN(Table1[[#This Row],[is_active]]))</f>
        <v>0</v>
      </c>
      <c r="U1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59" s="11" t="str">
        <f>TRIM(IF(Table1[[#This Row],[is_active3]]="Unknown","TRUE",Table1[[#This Row],[is_active3]]))</f>
        <v>FALSE</v>
      </c>
      <c r="W159">
        <v>0.62</v>
      </c>
      <c r="X159">
        <f>IF(Table1[[#This Row],[client_satisfaction]]&gt;1,Table1[[#This Row],[client_satisfaction]]/100,Table1[[#This Row],[client_satisfaction]])</f>
        <v>0.62</v>
      </c>
      <c r="Y159">
        <f>IF(Table1[[#This Row],[client_satisfaction2]]=0,0.75,Table1[[#This Row],[client_satisfaction2]])</f>
        <v>0.62</v>
      </c>
    </row>
    <row r="160" spans="1:25" x14ac:dyDescent="0.25">
      <c r="A160" t="s">
        <v>401</v>
      </c>
      <c r="B160" t="s">
        <v>402</v>
      </c>
      <c r="C160" t="str">
        <f>PROPER(TRIM(SUBSTITUTE(SUBSTITUTE(SUBSTITUTE(Table1[[#This Row],[name]],"Ms. ",""),"Mr. ",""),"Mrs. ","")))</f>
        <v>Nathan Blair</v>
      </c>
      <c r="D160" t="s">
        <v>27</v>
      </c>
      <c r="E1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60">
        <v>42</v>
      </c>
      <c r="G160" t="str">
        <f>TRIM(IF(Table1[[#This Row],[age]]="","Unknown",Table1[[#This Row],[age]]))</f>
        <v>42</v>
      </c>
      <c r="H160" t="s">
        <v>124</v>
      </c>
      <c r="I160" t="s">
        <v>125</v>
      </c>
      <c r="J160" t="s">
        <v>89</v>
      </c>
      <c r="K160">
        <v>2</v>
      </c>
      <c r="L160" s="10" t="str">
        <f>TRIM(IF(Table1[[#This Row],[years_of_experience]]="","Unknown",Table1[[#This Row],[years_of_experience]]))</f>
        <v>2</v>
      </c>
      <c r="M160" t="s">
        <v>64</v>
      </c>
      <c r="N160" t="str">
        <f>IF(Table1[[#This Row],[hourly_rate (USD)]]="",MEDIAN(Table1[hourly_rate (USD)]),Table1[[#This Row],[hourly_rate (USD)]])</f>
        <v>$50</v>
      </c>
      <c r="O160" t="str">
        <f>TRIM(CLEAN(Table1[[#This Row],[Updated hourly_rate (USD)]]))</f>
        <v>$50</v>
      </c>
      <c r="P160" t="str">
        <f>SUBSTITUTE(SUBSTITUTE(Table1[[#This Row],[Formatted hourly rate]],"USD ",""),"$","")</f>
        <v>50</v>
      </c>
      <c r="Q160">
        <v>1.9</v>
      </c>
      <c r="R160">
        <f>IF(Table1[[#This Row],[rating]]="",2.6,Table1[[#This Row],[rating]])</f>
        <v>1.9</v>
      </c>
      <c r="S160" t="b">
        <v>0</v>
      </c>
      <c r="T160" t="str">
        <f>TRIM(CLEAN(Table1[[#This Row],[is_active]]))</f>
        <v>FALSE</v>
      </c>
      <c r="U16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60" s="11" t="str">
        <f>TRIM(IF(Table1[[#This Row],[is_active3]]="Unknown","TRUE",Table1[[#This Row],[is_active3]]))</f>
        <v>TRUE</v>
      </c>
      <c r="W160">
        <v>0.95</v>
      </c>
      <c r="X160">
        <f>IF(Table1[[#This Row],[client_satisfaction]]&gt;1,Table1[[#This Row],[client_satisfaction]]/100,Table1[[#This Row],[client_satisfaction]])</f>
        <v>0.95</v>
      </c>
      <c r="Y160">
        <f>IF(Table1[[#This Row],[client_satisfaction2]]=0,0.75,Table1[[#This Row],[client_satisfaction2]])</f>
        <v>0.95</v>
      </c>
    </row>
    <row r="161" spans="1:25" x14ac:dyDescent="0.25">
      <c r="A161" t="s">
        <v>403</v>
      </c>
      <c r="B161" t="s">
        <v>404</v>
      </c>
      <c r="C161" t="str">
        <f>PROPER(TRIM(SUBSTITUTE(SUBSTITUTE(SUBSTITUTE(Table1[[#This Row],[name]],"Ms. ",""),"Mr. ",""),"Mrs. ","")))</f>
        <v>Patricia Lopez</v>
      </c>
      <c r="D161" t="s">
        <v>77</v>
      </c>
      <c r="E1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61">
        <v>20</v>
      </c>
      <c r="G161" t="str">
        <f>TRIM(IF(Table1[[#This Row],[age]]="","Unknown",Table1[[#This Row],[age]]))</f>
        <v>20</v>
      </c>
      <c r="H161" t="s">
        <v>190</v>
      </c>
      <c r="I161" t="s">
        <v>72</v>
      </c>
      <c r="J161" t="s">
        <v>30</v>
      </c>
      <c r="K161">
        <v>0</v>
      </c>
      <c r="L161" s="10" t="str">
        <f>TRIM(IF(Table1[[#This Row],[years_of_experience]]="","Unknown",Table1[[#This Row],[years_of_experience]]))</f>
        <v>0</v>
      </c>
      <c r="M161">
        <v>40</v>
      </c>
      <c r="N161">
        <f>IF(Table1[[#This Row],[hourly_rate (USD)]]="",MEDIAN(Table1[hourly_rate (USD)]),Table1[[#This Row],[hourly_rate (USD)]])</f>
        <v>40</v>
      </c>
      <c r="O161" t="str">
        <f>TRIM(CLEAN(Table1[[#This Row],[Updated hourly_rate (USD)]]))</f>
        <v>40</v>
      </c>
      <c r="P161" t="str">
        <f>SUBSTITUTE(SUBSTITUTE(Table1[[#This Row],[Formatted hourly rate]],"USD ",""),"$","")</f>
        <v>40</v>
      </c>
      <c r="Q161">
        <v>2.5</v>
      </c>
      <c r="R161">
        <f>IF(Table1[[#This Row],[rating]]="",2.6,Table1[[#This Row],[rating]])</f>
        <v>2.5</v>
      </c>
      <c r="S161">
        <v>0</v>
      </c>
      <c r="T161" t="str">
        <f>TRIM(CLEAN(Table1[[#This Row],[is_active]]))</f>
        <v>0</v>
      </c>
      <c r="U16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61" s="11" t="str">
        <f>TRIM(IF(Table1[[#This Row],[is_active3]]="Unknown","TRUE",Table1[[#This Row],[is_active3]]))</f>
        <v>FALSE</v>
      </c>
      <c r="W161">
        <v>0.79</v>
      </c>
      <c r="X161">
        <f>IF(Table1[[#This Row],[client_satisfaction]]&gt;1,Table1[[#This Row],[client_satisfaction]]/100,Table1[[#This Row],[client_satisfaction]])</f>
        <v>0.79</v>
      </c>
      <c r="Y161">
        <f>IF(Table1[[#This Row],[client_satisfaction2]]=0,0.75,Table1[[#This Row],[client_satisfaction2]])</f>
        <v>0.79</v>
      </c>
    </row>
    <row r="162" spans="1:25" x14ac:dyDescent="0.25">
      <c r="A162" t="s">
        <v>405</v>
      </c>
      <c r="B162" t="s">
        <v>406</v>
      </c>
      <c r="C162" t="str">
        <f>PROPER(TRIM(SUBSTITUTE(SUBSTITUTE(SUBSTITUTE(Table1[[#This Row],[name]],"Ms. ",""),"Mr. ",""),"Mrs. ","")))</f>
        <v>Michelle Wu</v>
      </c>
      <c r="D162" t="s">
        <v>39</v>
      </c>
      <c r="E1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62">
        <v>47</v>
      </c>
      <c r="G162" t="str">
        <f>TRIM(IF(Table1[[#This Row],[age]]="","Unknown",Table1[[#This Row],[age]]))</f>
        <v>47</v>
      </c>
      <c r="H162" t="s">
        <v>49</v>
      </c>
      <c r="I162" t="s">
        <v>50</v>
      </c>
      <c r="J162" t="s">
        <v>73</v>
      </c>
      <c r="K162">
        <v>12</v>
      </c>
      <c r="L162" s="10" t="str">
        <f>TRIM(IF(Table1[[#This Row],[years_of_experience]]="","Unknown",Table1[[#This Row],[years_of_experience]]))</f>
        <v>12</v>
      </c>
      <c r="M162">
        <v>40</v>
      </c>
      <c r="N162">
        <f>IF(Table1[[#This Row],[hourly_rate (USD)]]="",MEDIAN(Table1[hourly_rate (USD)]),Table1[[#This Row],[hourly_rate (USD)]])</f>
        <v>40</v>
      </c>
      <c r="O162" t="str">
        <f>TRIM(CLEAN(Table1[[#This Row],[Updated hourly_rate (USD)]]))</f>
        <v>40</v>
      </c>
      <c r="P162" t="str">
        <f>SUBSTITUTE(SUBSTITUTE(Table1[[#This Row],[Formatted hourly rate]],"USD ",""),"$","")</f>
        <v>40</v>
      </c>
      <c r="Q162">
        <v>4.5</v>
      </c>
      <c r="R162">
        <f>IF(Table1[[#This Row],[rating]]="",2.6,Table1[[#This Row],[rating]])</f>
        <v>4.5</v>
      </c>
      <c r="S162" t="s">
        <v>159</v>
      </c>
      <c r="T162" t="str">
        <f>TRIM(CLEAN(Table1[[#This Row],[is_active]]))</f>
        <v>no</v>
      </c>
      <c r="U16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62" s="11" t="str">
        <f>TRIM(IF(Table1[[#This Row],[is_active3]]="Unknown","TRUE",Table1[[#This Row],[is_active3]]))</f>
        <v>FALSE</v>
      </c>
      <c r="W162">
        <v>0.62</v>
      </c>
      <c r="X162">
        <f>IF(Table1[[#This Row],[client_satisfaction]]&gt;1,Table1[[#This Row],[client_satisfaction]]/100,Table1[[#This Row],[client_satisfaction]])</f>
        <v>0.62</v>
      </c>
      <c r="Y162">
        <f>IF(Table1[[#This Row],[client_satisfaction2]]=0,0.75,Table1[[#This Row],[client_satisfaction2]])</f>
        <v>0.62</v>
      </c>
    </row>
    <row r="163" spans="1:25" x14ac:dyDescent="0.25">
      <c r="A163" t="s">
        <v>407</v>
      </c>
      <c r="B163" t="s">
        <v>408</v>
      </c>
      <c r="C163" t="str">
        <f>PROPER(TRIM(SUBSTITUTE(SUBSTITUTE(SUBSTITUTE(Table1[[#This Row],[name]],"Ms. ",""),"Mr. ",""),"Mrs. ","")))</f>
        <v>Donald Mitchell</v>
      </c>
      <c r="D163" t="s">
        <v>48</v>
      </c>
      <c r="E1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163" t="str">
        <f>TRIM(IF(Table1[[#This Row],[age]]="","Unknown",Table1[[#This Row],[age]]))</f>
        <v>Unknown</v>
      </c>
      <c r="H163" t="s">
        <v>71</v>
      </c>
      <c r="I163" t="s">
        <v>72</v>
      </c>
      <c r="J163" t="s">
        <v>51</v>
      </c>
      <c r="K163">
        <v>12</v>
      </c>
      <c r="L163" s="10" t="str">
        <f>TRIM(IF(Table1[[#This Row],[years_of_experience]]="","Unknown",Table1[[#This Row],[years_of_experience]]))</f>
        <v>12</v>
      </c>
      <c r="M163" t="s">
        <v>45</v>
      </c>
      <c r="N163" t="str">
        <f>IF(Table1[[#This Row],[hourly_rate (USD)]]="",MEDIAN(Table1[hourly_rate (USD)]),Table1[[#This Row],[hourly_rate (USD)]])</f>
        <v>$30</v>
      </c>
      <c r="O163" t="str">
        <f>TRIM(CLEAN(Table1[[#This Row],[Updated hourly_rate (USD)]]))</f>
        <v>$30</v>
      </c>
      <c r="P163" t="str">
        <f>SUBSTITUTE(SUBSTITUTE(Table1[[#This Row],[Formatted hourly rate]],"USD ",""),"$","")</f>
        <v>30</v>
      </c>
      <c r="Q163">
        <v>4.0999999999999996</v>
      </c>
      <c r="R163">
        <f>IF(Table1[[#This Row],[rating]]="",2.6,Table1[[#This Row],[rating]])</f>
        <v>4.0999999999999996</v>
      </c>
      <c r="S163" t="s">
        <v>159</v>
      </c>
      <c r="T163" t="str">
        <f>TRIM(CLEAN(Table1[[#This Row],[is_active]]))</f>
        <v>no</v>
      </c>
      <c r="U1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63" s="11" t="str">
        <f>TRIM(IF(Table1[[#This Row],[is_active3]]="Unknown","TRUE",Table1[[#This Row],[is_active3]]))</f>
        <v>FALSE</v>
      </c>
      <c r="W163">
        <v>0.68</v>
      </c>
      <c r="X163">
        <f>IF(Table1[[#This Row],[client_satisfaction]]&gt;1,Table1[[#This Row],[client_satisfaction]]/100,Table1[[#This Row],[client_satisfaction]])</f>
        <v>0.68</v>
      </c>
      <c r="Y163">
        <f>IF(Table1[[#This Row],[client_satisfaction2]]=0,0.75,Table1[[#This Row],[client_satisfaction2]])</f>
        <v>0.68</v>
      </c>
    </row>
    <row r="164" spans="1:25" x14ac:dyDescent="0.25">
      <c r="A164" t="s">
        <v>409</v>
      </c>
      <c r="B164" t="s">
        <v>410</v>
      </c>
      <c r="C164" t="str">
        <f>PROPER(TRIM(SUBSTITUTE(SUBSTITUTE(SUBSTITUTE(Table1[[#This Row],[name]],"Ms. ",""),"Mr. ",""),"Mrs. ","")))</f>
        <v>Sean Gordon</v>
      </c>
      <c r="D164" t="s">
        <v>92</v>
      </c>
      <c r="E1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64">
        <v>56</v>
      </c>
      <c r="G164" t="str">
        <f>TRIM(IF(Table1[[#This Row],[age]]="","Unknown",Table1[[#This Row],[age]]))</f>
        <v>56</v>
      </c>
      <c r="H164" t="s">
        <v>49</v>
      </c>
      <c r="I164" t="s">
        <v>50</v>
      </c>
      <c r="J164" t="s">
        <v>89</v>
      </c>
      <c r="K164">
        <v>15</v>
      </c>
      <c r="L164" s="10" t="str">
        <f>TRIM(IF(Table1[[#This Row],[years_of_experience]]="","Unknown",Table1[[#This Row],[years_of_experience]]))</f>
        <v>15</v>
      </c>
      <c r="M164" t="s">
        <v>52</v>
      </c>
      <c r="N164" t="str">
        <f>IF(Table1[[#This Row],[hourly_rate (USD)]]="",MEDIAN(Table1[hourly_rate (USD)]),Table1[[#This Row],[hourly_rate (USD)]])</f>
        <v>USD 75</v>
      </c>
      <c r="O164" t="str">
        <f>TRIM(CLEAN(Table1[[#This Row],[Updated hourly_rate (USD)]]))</f>
        <v>USD 75</v>
      </c>
      <c r="P164" t="str">
        <f>SUBSTITUTE(SUBSTITUTE(Table1[[#This Row],[Formatted hourly rate]],"USD ",""),"$","")</f>
        <v>75</v>
      </c>
      <c r="Q164">
        <v>0</v>
      </c>
      <c r="R164">
        <f>IF(Table1[[#This Row],[rating]]="",2.6,Table1[[#This Row],[rating]])</f>
        <v>0</v>
      </c>
      <c r="S164" t="s">
        <v>159</v>
      </c>
      <c r="T164" t="str">
        <f>TRIM(CLEAN(Table1[[#This Row],[is_active]]))</f>
        <v>no</v>
      </c>
      <c r="U1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64" s="11" t="str">
        <f>TRIM(IF(Table1[[#This Row],[is_active3]]="Unknown","TRUE",Table1[[#This Row],[is_active3]]))</f>
        <v>FALSE</v>
      </c>
      <c r="X164">
        <f>IF(Table1[[#This Row],[client_satisfaction]]&gt;1,Table1[[#This Row],[client_satisfaction]]/100,Table1[[#This Row],[client_satisfaction]])</f>
        <v>0</v>
      </c>
      <c r="Y164">
        <f>IF(Table1[[#This Row],[client_satisfaction2]]=0,0.75,Table1[[#This Row],[client_satisfaction2]])</f>
        <v>0.75</v>
      </c>
    </row>
    <row r="165" spans="1:25" x14ac:dyDescent="0.25">
      <c r="A165" t="s">
        <v>411</v>
      </c>
      <c r="B165" t="s">
        <v>412</v>
      </c>
      <c r="C165" t="str">
        <f>PROPER(TRIM(SUBSTITUTE(SUBSTITUTE(SUBSTITUTE(Table1[[#This Row],[name]],"Ms. ",""),"Mr. ",""),"Mrs. ","")))</f>
        <v>Gregory Clarke</v>
      </c>
      <c r="D165" t="s">
        <v>97</v>
      </c>
      <c r="E1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65">
        <v>59</v>
      </c>
      <c r="G165" t="str">
        <f>TRIM(IF(Table1[[#This Row],[age]]="","Unknown",Table1[[#This Row],[age]]))</f>
        <v>59</v>
      </c>
      <c r="H165" t="s">
        <v>67</v>
      </c>
      <c r="I165" t="s">
        <v>22</v>
      </c>
      <c r="J165" t="s">
        <v>89</v>
      </c>
      <c r="K165">
        <v>29</v>
      </c>
      <c r="L165" s="10" t="str">
        <f>TRIM(IF(Table1[[#This Row],[years_of_experience]]="","Unknown",Table1[[#This Row],[years_of_experience]]))</f>
        <v>29</v>
      </c>
      <c r="M165" t="s">
        <v>52</v>
      </c>
      <c r="N165" t="str">
        <f>IF(Table1[[#This Row],[hourly_rate (USD)]]="",MEDIAN(Table1[hourly_rate (USD)]),Table1[[#This Row],[hourly_rate (USD)]])</f>
        <v>USD 75</v>
      </c>
      <c r="O165" t="str">
        <f>TRIM(CLEAN(Table1[[#This Row],[Updated hourly_rate (USD)]]))</f>
        <v>USD 75</v>
      </c>
      <c r="P165" t="str">
        <f>SUBSTITUTE(SUBSTITUTE(Table1[[#This Row],[Formatted hourly rate]],"USD ",""),"$","")</f>
        <v>75</v>
      </c>
      <c r="R165">
        <f>IF(Table1[[#This Row],[rating]]="",2.6,Table1[[#This Row],[rating]])</f>
        <v>2.6</v>
      </c>
      <c r="S165">
        <v>0</v>
      </c>
      <c r="T165" t="str">
        <f>TRIM(CLEAN(Table1[[#This Row],[is_active]]))</f>
        <v>0</v>
      </c>
      <c r="U1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65" s="11" t="str">
        <f>TRIM(IF(Table1[[#This Row],[is_active3]]="Unknown","TRUE",Table1[[#This Row],[is_active3]]))</f>
        <v>FALSE</v>
      </c>
      <c r="W165">
        <v>0.8</v>
      </c>
      <c r="X165">
        <f>IF(Table1[[#This Row],[client_satisfaction]]&gt;1,Table1[[#This Row],[client_satisfaction]]/100,Table1[[#This Row],[client_satisfaction]])</f>
        <v>0.8</v>
      </c>
      <c r="Y165">
        <f>IF(Table1[[#This Row],[client_satisfaction2]]=0,0.75,Table1[[#This Row],[client_satisfaction2]])</f>
        <v>0.8</v>
      </c>
    </row>
    <row r="166" spans="1:25" x14ac:dyDescent="0.25">
      <c r="A166" t="s">
        <v>413</v>
      </c>
      <c r="B166" t="s">
        <v>414</v>
      </c>
      <c r="C166" t="str">
        <f>PROPER(TRIM(SUBSTITUTE(SUBSTITUTE(SUBSTITUTE(Table1[[#This Row],[name]],"Ms. ",""),"Mr. ",""),"Mrs. ","")))</f>
        <v>Steven Whitney</v>
      </c>
      <c r="D166" t="s">
        <v>61</v>
      </c>
      <c r="E1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66">
        <v>56</v>
      </c>
      <c r="G166" t="str">
        <f>TRIM(IF(Table1[[#This Row],[age]]="","Unknown",Table1[[#This Row],[age]]))</f>
        <v>56</v>
      </c>
      <c r="H166" t="s">
        <v>85</v>
      </c>
      <c r="I166" t="s">
        <v>86</v>
      </c>
      <c r="J166" t="s">
        <v>78</v>
      </c>
      <c r="K166">
        <v>15</v>
      </c>
      <c r="L166" s="10" t="str">
        <f>TRIM(IF(Table1[[#This Row],[years_of_experience]]="","Unknown",Table1[[#This Row],[years_of_experience]]))</f>
        <v>15</v>
      </c>
      <c r="M166">
        <v>40</v>
      </c>
      <c r="N166">
        <f>IF(Table1[[#This Row],[hourly_rate (USD)]]="",MEDIAN(Table1[hourly_rate (USD)]),Table1[[#This Row],[hourly_rate (USD)]])</f>
        <v>40</v>
      </c>
      <c r="O166" t="str">
        <f>TRIM(CLEAN(Table1[[#This Row],[Updated hourly_rate (USD)]]))</f>
        <v>40</v>
      </c>
      <c r="P166" t="str">
        <f>SUBSTITUTE(SUBSTITUTE(Table1[[#This Row],[Formatted hourly rate]],"USD ",""),"$","")</f>
        <v>40</v>
      </c>
      <c r="Q166">
        <v>3.7</v>
      </c>
      <c r="R166">
        <f>IF(Table1[[#This Row],[rating]]="",2.6,Table1[[#This Row],[rating]])</f>
        <v>3.7</v>
      </c>
      <c r="T166" t="str">
        <f>TRIM(CLEAN(Table1[[#This Row],[is_active]]))</f>
        <v/>
      </c>
      <c r="U16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66" s="11" t="str">
        <f>TRIM(IF(Table1[[#This Row],[is_active3]]="Unknown","TRUE",Table1[[#This Row],[is_active3]]))</f>
        <v>TRUE</v>
      </c>
      <c r="W166">
        <v>0.92</v>
      </c>
      <c r="X166">
        <f>IF(Table1[[#This Row],[client_satisfaction]]&gt;1,Table1[[#This Row],[client_satisfaction]]/100,Table1[[#This Row],[client_satisfaction]])</f>
        <v>0.92</v>
      </c>
      <c r="Y166">
        <f>IF(Table1[[#This Row],[client_satisfaction2]]=0,0.75,Table1[[#This Row],[client_satisfaction2]])</f>
        <v>0.92</v>
      </c>
    </row>
    <row r="167" spans="1:25" x14ac:dyDescent="0.25">
      <c r="A167" t="s">
        <v>415</v>
      </c>
      <c r="B167" t="s">
        <v>416</v>
      </c>
      <c r="C167" t="str">
        <f>PROPER(TRIM(SUBSTITUTE(SUBSTITUTE(SUBSTITUTE(Table1[[#This Row],[name]],"Ms. ",""),"Mr. ",""),"Mrs. ","")))</f>
        <v>Robin Acosta</v>
      </c>
      <c r="D167" t="s">
        <v>39</v>
      </c>
      <c r="E1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67">
        <v>31</v>
      </c>
      <c r="G167" t="str">
        <f>TRIM(IF(Table1[[#This Row],[age]]="","Unknown",Table1[[#This Row],[age]]))</f>
        <v>31</v>
      </c>
      <c r="H167" t="s">
        <v>153</v>
      </c>
      <c r="I167" t="s">
        <v>154</v>
      </c>
      <c r="J167" t="s">
        <v>35</v>
      </c>
      <c r="L167" s="10" t="str">
        <f>TRIM(IF(Table1[[#This Row],[years_of_experience]]="","Unknown",Table1[[#This Row],[years_of_experience]]))</f>
        <v>Unknown</v>
      </c>
      <c r="M167" t="s">
        <v>52</v>
      </c>
      <c r="N167" t="str">
        <f>IF(Table1[[#This Row],[hourly_rate (USD)]]="",MEDIAN(Table1[hourly_rate (USD)]),Table1[[#This Row],[hourly_rate (USD)]])</f>
        <v>USD 75</v>
      </c>
      <c r="O167" t="str">
        <f>TRIM(CLEAN(Table1[[#This Row],[Updated hourly_rate (USD)]]))</f>
        <v>USD 75</v>
      </c>
      <c r="P167" t="str">
        <f>SUBSTITUTE(SUBSTITUTE(Table1[[#This Row],[Formatted hourly rate]],"USD ",""),"$","")</f>
        <v>75</v>
      </c>
      <c r="Q167">
        <v>1.3</v>
      </c>
      <c r="R167">
        <f>IF(Table1[[#This Row],[rating]]="",2.6,Table1[[#This Row],[rating]])</f>
        <v>1.3</v>
      </c>
      <c r="S167">
        <v>1</v>
      </c>
      <c r="T167" t="str">
        <f>TRIM(CLEAN(Table1[[#This Row],[is_active]]))</f>
        <v>1</v>
      </c>
      <c r="U16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67" s="11" t="str">
        <f>TRIM(IF(Table1[[#This Row],[is_active3]]="Unknown","TRUE",Table1[[#This Row],[is_active3]]))</f>
        <v>TRUE</v>
      </c>
      <c r="W167">
        <v>0.65</v>
      </c>
      <c r="X167">
        <f>IF(Table1[[#This Row],[client_satisfaction]]&gt;1,Table1[[#This Row],[client_satisfaction]]/100,Table1[[#This Row],[client_satisfaction]])</f>
        <v>0.65</v>
      </c>
      <c r="Y167">
        <f>IF(Table1[[#This Row],[client_satisfaction2]]=0,0.75,Table1[[#This Row],[client_satisfaction2]])</f>
        <v>0.65</v>
      </c>
    </row>
    <row r="168" spans="1:25" x14ac:dyDescent="0.25">
      <c r="A168" t="s">
        <v>417</v>
      </c>
      <c r="B168" t="s">
        <v>418</v>
      </c>
      <c r="C168" t="str">
        <f>PROPER(TRIM(SUBSTITUTE(SUBSTITUTE(SUBSTITUTE(Table1[[#This Row],[name]],"Ms. ",""),"Mr. ",""),"Mrs. ","")))</f>
        <v>John Smith</v>
      </c>
      <c r="D168" t="s">
        <v>48</v>
      </c>
      <c r="E1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68">
        <v>60</v>
      </c>
      <c r="G168" t="str">
        <f>TRIM(IF(Table1[[#This Row],[age]]="","Unknown",Table1[[#This Row],[age]]))</f>
        <v>60</v>
      </c>
      <c r="H168" t="s">
        <v>112</v>
      </c>
      <c r="I168" t="s">
        <v>113</v>
      </c>
      <c r="J168" t="s">
        <v>23</v>
      </c>
      <c r="K168">
        <v>33</v>
      </c>
      <c r="L168" s="10" t="str">
        <f>TRIM(IF(Table1[[#This Row],[years_of_experience]]="","Unknown",Table1[[#This Row],[years_of_experience]]))</f>
        <v>33</v>
      </c>
      <c r="M168">
        <v>40</v>
      </c>
      <c r="N168">
        <f>IF(Table1[[#This Row],[hourly_rate (USD)]]="",MEDIAN(Table1[hourly_rate (USD)]),Table1[[#This Row],[hourly_rate (USD)]])</f>
        <v>40</v>
      </c>
      <c r="O168" t="str">
        <f>TRIM(CLEAN(Table1[[#This Row],[Updated hourly_rate (USD)]]))</f>
        <v>40</v>
      </c>
      <c r="P168" t="str">
        <f>SUBSTITUTE(SUBSTITUTE(Table1[[#This Row],[Formatted hourly rate]],"USD ",""),"$","")</f>
        <v>40</v>
      </c>
      <c r="Q168">
        <v>3.6</v>
      </c>
      <c r="R168">
        <f>IF(Table1[[#This Row],[rating]]="",2.6,Table1[[#This Row],[rating]])</f>
        <v>3.6</v>
      </c>
      <c r="S168">
        <v>1</v>
      </c>
      <c r="T168" t="str">
        <f>TRIM(CLEAN(Table1[[#This Row],[is_active]]))</f>
        <v>1</v>
      </c>
      <c r="U16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68" s="11" t="str">
        <f>TRIM(IF(Table1[[#This Row],[is_active3]]="Unknown","TRUE",Table1[[#This Row],[is_active3]]))</f>
        <v>TRUE</v>
      </c>
      <c r="W168">
        <v>0.87</v>
      </c>
      <c r="X168">
        <f>IF(Table1[[#This Row],[client_satisfaction]]&gt;1,Table1[[#This Row],[client_satisfaction]]/100,Table1[[#This Row],[client_satisfaction]])</f>
        <v>0.87</v>
      </c>
      <c r="Y168">
        <f>IF(Table1[[#This Row],[client_satisfaction2]]=0,0.75,Table1[[#This Row],[client_satisfaction2]])</f>
        <v>0.87</v>
      </c>
    </row>
    <row r="169" spans="1:25" x14ac:dyDescent="0.25">
      <c r="A169" t="s">
        <v>419</v>
      </c>
      <c r="B169" t="s">
        <v>420</v>
      </c>
      <c r="C169" t="str">
        <f>PROPER(TRIM(SUBSTITUTE(SUBSTITUTE(SUBSTITUTE(Table1[[#This Row],[name]],"Ms. ",""),"Mr. ",""),"Mrs. ","")))</f>
        <v>Susan Baker</v>
      </c>
      <c r="D169" t="s">
        <v>20</v>
      </c>
      <c r="E1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69">
        <v>31</v>
      </c>
      <c r="G169" t="str">
        <f>TRIM(IF(Table1[[#This Row],[age]]="","Unknown",Table1[[#This Row],[age]]))</f>
        <v>31</v>
      </c>
      <c r="H169" t="s">
        <v>128</v>
      </c>
      <c r="I169" t="s">
        <v>22</v>
      </c>
      <c r="J169" t="s">
        <v>35</v>
      </c>
      <c r="K169">
        <v>10</v>
      </c>
      <c r="L169" s="10" t="str">
        <f>TRIM(IF(Table1[[#This Row],[years_of_experience]]="","Unknown",Table1[[#This Row],[years_of_experience]]))</f>
        <v>10</v>
      </c>
      <c r="M169">
        <v>75</v>
      </c>
      <c r="N169">
        <f>IF(Table1[[#This Row],[hourly_rate (USD)]]="",MEDIAN(Table1[hourly_rate (USD)]),Table1[[#This Row],[hourly_rate (USD)]])</f>
        <v>75</v>
      </c>
      <c r="O169" t="str">
        <f>TRIM(CLEAN(Table1[[#This Row],[Updated hourly_rate (USD)]]))</f>
        <v>75</v>
      </c>
      <c r="P169" t="str">
        <f>SUBSTITUTE(SUBSTITUTE(Table1[[#This Row],[Formatted hourly rate]],"USD ",""),"$","")</f>
        <v>75</v>
      </c>
      <c r="Q169">
        <v>0</v>
      </c>
      <c r="R169">
        <f>IF(Table1[[#This Row],[rating]]="",2.6,Table1[[#This Row],[rating]])</f>
        <v>0</v>
      </c>
      <c r="S169" t="s">
        <v>159</v>
      </c>
      <c r="T169" t="str">
        <f>TRIM(CLEAN(Table1[[#This Row],[is_active]]))</f>
        <v>no</v>
      </c>
      <c r="U16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69" s="11" t="str">
        <f>TRIM(IF(Table1[[#This Row],[is_active3]]="Unknown","TRUE",Table1[[#This Row],[is_active3]]))</f>
        <v>FALSE</v>
      </c>
      <c r="W169">
        <v>0.7</v>
      </c>
      <c r="X169">
        <f>IF(Table1[[#This Row],[client_satisfaction]]&gt;1,Table1[[#This Row],[client_satisfaction]]/100,Table1[[#This Row],[client_satisfaction]])</f>
        <v>0.7</v>
      </c>
      <c r="Y169">
        <f>IF(Table1[[#This Row],[client_satisfaction2]]=0,0.75,Table1[[#This Row],[client_satisfaction2]])</f>
        <v>0.7</v>
      </c>
    </row>
    <row r="170" spans="1:25" x14ac:dyDescent="0.25">
      <c r="A170" t="s">
        <v>421</v>
      </c>
      <c r="B170" t="s">
        <v>422</v>
      </c>
      <c r="C170" t="str">
        <f>PROPER(TRIM(SUBSTITUTE(SUBSTITUTE(SUBSTITUTE(Table1[[#This Row],[name]],"Ms. ",""),"Mr. ",""),"Mrs. ","")))</f>
        <v>Anthony Larsen</v>
      </c>
      <c r="D170" t="s">
        <v>61</v>
      </c>
      <c r="E1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70">
        <v>60</v>
      </c>
      <c r="G170" t="str">
        <f>TRIM(IF(Table1[[#This Row],[age]]="","Unknown",Table1[[#This Row],[age]]))</f>
        <v>60</v>
      </c>
      <c r="H170" t="s">
        <v>71</v>
      </c>
      <c r="I170" t="s">
        <v>72</v>
      </c>
      <c r="J170" t="s">
        <v>78</v>
      </c>
      <c r="K170">
        <v>20</v>
      </c>
      <c r="L170" s="10" t="str">
        <f>TRIM(IF(Table1[[#This Row],[years_of_experience]]="","Unknown",Table1[[#This Row],[years_of_experience]]))</f>
        <v>20</v>
      </c>
      <c r="M170">
        <v>40</v>
      </c>
      <c r="N170">
        <f>IF(Table1[[#This Row],[hourly_rate (USD)]]="",MEDIAN(Table1[hourly_rate (USD)]),Table1[[#This Row],[hourly_rate (USD)]])</f>
        <v>40</v>
      </c>
      <c r="O170" t="str">
        <f>TRIM(CLEAN(Table1[[#This Row],[Updated hourly_rate (USD)]]))</f>
        <v>40</v>
      </c>
      <c r="P170" t="str">
        <f>SUBSTITUTE(SUBSTITUTE(Table1[[#This Row],[Formatted hourly rate]],"USD ",""),"$","")</f>
        <v>40</v>
      </c>
      <c r="Q170">
        <v>1.4</v>
      </c>
      <c r="R170">
        <f>IF(Table1[[#This Row],[rating]]="",2.6,Table1[[#This Row],[rating]])</f>
        <v>1.4</v>
      </c>
      <c r="S170" t="s">
        <v>159</v>
      </c>
      <c r="T170" t="str">
        <f>TRIM(CLEAN(Table1[[#This Row],[is_active]]))</f>
        <v>no</v>
      </c>
      <c r="U17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70" s="11" t="str">
        <f>TRIM(IF(Table1[[#This Row],[is_active3]]="Unknown","TRUE",Table1[[#This Row],[is_active3]]))</f>
        <v>FALSE</v>
      </c>
      <c r="W170">
        <v>87</v>
      </c>
      <c r="X170">
        <f>IF(Table1[[#This Row],[client_satisfaction]]&gt;1,Table1[[#This Row],[client_satisfaction]]/100,Table1[[#This Row],[client_satisfaction]])</f>
        <v>0.87</v>
      </c>
      <c r="Y170">
        <f>IF(Table1[[#This Row],[client_satisfaction2]]=0,0.75,Table1[[#This Row],[client_satisfaction2]])</f>
        <v>0.87</v>
      </c>
    </row>
    <row r="171" spans="1:25" x14ac:dyDescent="0.25">
      <c r="A171" t="s">
        <v>423</v>
      </c>
      <c r="B171" t="s">
        <v>424</v>
      </c>
      <c r="C171" t="str">
        <f>PROPER(TRIM(SUBSTITUTE(SUBSTITUTE(SUBSTITUTE(Table1[[#This Row],[name]],"Ms. ",""),"Mr. ",""),"Mrs. ","")))</f>
        <v>Nicholas Carpenter</v>
      </c>
      <c r="D171" t="s">
        <v>61</v>
      </c>
      <c r="E1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71">
        <v>46</v>
      </c>
      <c r="G171" t="str">
        <f>TRIM(IF(Table1[[#This Row],[age]]="","Unknown",Table1[[#This Row],[age]]))</f>
        <v>46</v>
      </c>
      <c r="H171" t="s">
        <v>135</v>
      </c>
      <c r="I171" t="s">
        <v>136</v>
      </c>
      <c r="J171" t="s">
        <v>89</v>
      </c>
      <c r="K171">
        <v>23</v>
      </c>
      <c r="L171" s="10" t="str">
        <f>TRIM(IF(Table1[[#This Row],[years_of_experience]]="","Unknown",Table1[[#This Row],[years_of_experience]]))</f>
        <v>23</v>
      </c>
      <c r="M171">
        <v>20</v>
      </c>
      <c r="N171">
        <f>IF(Table1[[#This Row],[hourly_rate (USD)]]="",MEDIAN(Table1[hourly_rate (USD)]),Table1[[#This Row],[hourly_rate (USD)]])</f>
        <v>20</v>
      </c>
      <c r="O171" t="str">
        <f>TRIM(CLEAN(Table1[[#This Row],[Updated hourly_rate (USD)]]))</f>
        <v>20</v>
      </c>
      <c r="P171" t="str">
        <f>SUBSTITUTE(SUBSTITUTE(Table1[[#This Row],[Formatted hourly rate]],"USD ",""),"$","")</f>
        <v>20</v>
      </c>
      <c r="Q171">
        <v>2.9</v>
      </c>
      <c r="R171">
        <f>IF(Table1[[#This Row],[rating]]="",2.6,Table1[[#This Row],[rating]])</f>
        <v>2.9</v>
      </c>
      <c r="S171" t="s">
        <v>31</v>
      </c>
      <c r="T171" t="str">
        <f>TRIM(CLEAN(Table1[[#This Row],[is_active]]))</f>
        <v>N</v>
      </c>
      <c r="U1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71" s="11" t="str">
        <f>TRIM(IF(Table1[[#This Row],[is_active3]]="Unknown","TRUE",Table1[[#This Row],[is_active3]]))</f>
        <v>FALSE</v>
      </c>
      <c r="W171">
        <v>0.72</v>
      </c>
      <c r="X171">
        <f>IF(Table1[[#This Row],[client_satisfaction]]&gt;1,Table1[[#This Row],[client_satisfaction]]/100,Table1[[#This Row],[client_satisfaction]])</f>
        <v>0.72</v>
      </c>
      <c r="Y171">
        <f>IF(Table1[[#This Row],[client_satisfaction2]]=0,0.75,Table1[[#This Row],[client_satisfaction2]])</f>
        <v>0.72</v>
      </c>
    </row>
    <row r="172" spans="1:25" x14ac:dyDescent="0.25">
      <c r="A172" t="s">
        <v>425</v>
      </c>
      <c r="B172" t="s">
        <v>426</v>
      </c>
      <c r="C172" t="str">
        <f>PROPER(TRIM(SUBSTITUTE(SUBSTITUTE(SUBSTITUTE(Table1[[#This Row],[name]],"Ms. ",""),"Mr. ",""),"Mrs. ","")))</f>
        <v>Debra Salazar</v>
      </c>
      <c r="D172" t="s">
        <v>34</v>
      </c>
      <c r="E1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172" t="str">
        <f>TRIM(IF(Table1[[#This Row],[age]]="","Unknown",Table1[[#This Row],[age]]))</f>
        <v>Unknown</v>
      </c>
      <c r="H172" t="s">
        <v>42</v>
      </c>
      <c r="I172" t="s">
        <v>43</v>
      </c>
      <c r="J172" t="s">
        <v>17</v>
      </c>
      <c r="L172" s="10" t="str">
        <f>TRIM(IF(Table1[[#This Row],[years_of_experience]]="","Unknown",Table1[[#This Row],[years_of_experience]]))</f>
        <v>Unknown</v>
      </c>
      <c r="M172">
        <v>40</v>
      </c>
      <c r="N172">
        <f>IF(Table1[[#This Row],[hourly_rate (USD)]]="",MEDIAN(Table1[hourly_rate (USD)]),Table1[[#This Row],[hourly_rate (USD)]])</f>
        <v>40</v>
      </c>
      <c r="O172" t="str">
        <f>TRIM(CLEAN(Table1[[#This Row],[Updated hourly_rate (USD)]]))</f>
        <v>40</v>
      </c>
      <c r="P172" t="str">
        <f>SUBSTITUTE(SUBSTITUTE(Table1[[#This Row],[Formatted hourly rate]],"USD ",""),"$","")</f>
        <v>40</v>
      </c>
      <c r="Q172">
        <v>2.8</v>
      </c>
      <c r="R172">
        <f>IF(Table1[[#This Row],[rating]]="",2.6,Table1[[#This Row],[rating]])</f>
        <v>2.8</v>
      </c>
      <c r="S172" t="s">
        <v>31</v>
      </c>
      <c r="T172" t="str">
        <f>TRIM(CLEAN(Table1[[#This Row],[is_active]]))</f>
        <v>N</v>
      </c>
      <c r="U17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72" s="11" t="str">
        <f>TRIM(IF(Table1[[#This Row],[is_active3]]="Unknown","TRUE",Table1[[#This Row],[is_active3]]))</f>
        <v>FALSE</v>
      </c>
      <c r="W172">
        <v>0.8</v>
      </c>
      <c r="X172">
        <f>IF(Table1[[#This Row],[client_satisfaction]]&gt;1,Table1[[#This Row],[client_satisfaction]]/100,Table1[[#This Row],[client_satisfaction]])</f>
        <v>0.8</v>
      </c>
      <c r="Y172">
        <f>IF(Table1[[#This Row],[client_satisfaction2]]=0,0.75,Table1[[#This Row],[client_satisfaction2]])</f>
        <v>0.8</v>
      </c>
    </row>
    <row r="173" spans="1:25" x14ac:dyDescent="0.25">
      <c r="A173" t="s">
        <v>427</v>
      </c>
      <c r="B173" t="s">
        <v>428</v>
      </c>
      <c r="C173" t="str">
        <f>PROPER(TRIM(SUBSTITUTE(SUBSTITUTE(SUBSTITUTE(Table1[[#This Row],[name]],"Ms. ",""),"Mr. ",""),"Mrs. ","")))</f>
        <v>William Smith</v>
      </c>
      <c r="D173" t="s">
        <v>97</v>
      </c>
      <c r="E1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73">
        <v>34</v>
      </c>
      <c r="G173" t="str">
        <f>TRIM(IF(Table1[[#This Row],[age]]="","Unknown",Table1[[#This Row],[age]]))</f>
        <v>34</v>
      </c>
      <c r="H173" t="s">
        <v>85</v>
      </c>
      <c r="I173" t="s">
        <v>86</v>
      </c>
      <c r="J173" t="s">
        <v>73</v>
      </c>
      <c r="K173">
        <v>0</v>
      </c>
      <c r="L173" s="10" t="str">
        <f>TRIM(IF(Table1[[#This Row],[years_of_experience]]="","Unknown",Table1[[#This Row],[years_of_experience]]))</f>
        <v>0</v>
      </c>
      <c r="M173">
        <v>20</v>
      </c>
      <c r="N173">
        <f>IF(Table1[[#This Row],[hourly_rate (USD)]]="",MEDIAN(Table1[hourly_rate (USD)]),Table1[[#This Row],[hourly_rate (USD)]])</f>
        <v>20</v>
      </c>
      <c r="O173" t="str">
        <f>TRIM(CLEAN(Table1[[#This Row],[Updated hourly_rate (USD)]]))</f>
        <v>20</v>
      </c>
      <c r="P173" t="str">
        <f>SUBSTITUTE(SUBSTITUTE(Table1[[#This Row],[Formatted hourly rate]],"USD ",""),"$","")</f>
        <v>20</v>
      </c>
      <c r="Q173">
        <v>1.7</v>
      </c>
      <c r="R173">
        <f>IF(Table1[[#This Row],[rating]]="",2.6,Table1[[#This Row],[rating]])</f>
        <v>1.7</v>
      </c>
      <c r="S173">
        <v>0</v>
      </c>
      <c r="T173" t="str">
        <f>TRIM(CLEAN(Table1[[#This Row],[is_active]]))</f>
        <v>0</v>
      </c>
      <c r="U17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73" s="11" t="str">
        <f>TRIM(IF(Table1[[#This Row],[is_active3]]="Unknown","TRUE",Table1[[#This Row],[is_active3]]))</f>
        <v>FALSE</v>
      </c>
      <c r="W173">
        <v>0.66</v>
      </c>
      <c r="X173">
        <f>IF(Table1[[#This Row],[client_satisfaction]]&gt;1,Table1[[#This Row],[client_satisfaction]]/100,Table1[[#This Row],[client_satisfaction]])</f>
        <v>0.66</v>
      </c>
      <c r="Y173">
        <f>IF(Table1[[#This Row],[client_satisfaction2]]=0,0.75,Table1[[#This Row],[client_satisfaction2]])</f>
        <v>0.66</v>
      </c>
    </row>
    <row r="174" spans="1:25" x14ac:dyDescent="0.25">
      <c r="A174" t="s">
        <v>429</v>
      </c>
      <c r="B174" t="s">
        <v>430</v>
      </c>
      <c r="C174" t="str">
        <f>PROPER(TRIM(SUBSTITUTE(SUBSTITUTE(SUBSTITUTE(Table1[[#This Row],[name]],"Ms. ",""),"Mr. ",""),"Mrs. ","")))</f>
        <v>Caroline Gross</v>
      </c>
      <c r="D174" t="s">
        <v>14</v>
      </c>
      <c r="E1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74">
        <v>42</v>
      </c>
      <c r="G174" t="str">
        <f>TRIM(IF(Table1[[#This Row],[age]]="","Unknown",Table1[[#This Row],[age]]))</f>
        <v>42</v>
      </c>
      <c r="H174" t="s">
        <v>42</v>
      </c>
      <c r="I174" t="s">
        <v>43</v>
      </c>
      <c r="J174" t="s">
        <v>30</v>
      </c>
      <c r="K174">
        <v>7</v>
      </c>
      <c r="L174" s="10" t="str">
        <f>TRIM(IF(Table1[[#This Row],[years_of_experience]]="","Unknown",Table1[[#This Row],[years_of_experience]]))</f>
        <v>7</v>
      </c>
      <c r="M174" t="s">
        <v>55</v>
      </c>
      <c r="N174" t="str">
        <f>IF(Table1[[#This Row],[hourly_rate (USD)]]="",MEDIAN(Table1[hourly_rate (USD)]),Table1[[#This Row],[hourly_rate (USD)]])</f>
        <v>USD 40</v>
      </c>
      <c r="O174" t="str">
        <f>TRIM(CLEAN(Table1[[#This Row],[Updated hourly_rate (USD)]]))</f>
        <v>USD 40</v>
      </c>
      <c r="P174" t="str">
        <f>SUBSTITUTE(SUBSTITUTE(Table1[[#This Row],[Formatted hourly rate]],"USD ",""),"$","")</f>
        <v>40</v>
      </c>
      <c r="Q174">
        <v>0</v>
      </c>
      <c r="R174">
        <f>IF(Table1[[#This Row],[rating]]="",2.6,Table1[[#This Row],[rating]])</f>
        <v>0</v>
      </c>
      <c r="S174">
        <v>1</v>
      </c>
      <c r="T174" t="str">
        <f>TRIM(CLEAN(Table1[[#This Row],[is_active]]))</f>
        <v>1</v>
      </c>
      <c r="U17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74" s="11" t="str">
        <f>TRIM(IF(Table1[[#This Row],[is_active3]]="Unknown","TRUE",Table1[[#This Row],[is_active3]]))</f>
        <v>TRUE</v>
      </c>
      <c r="X174">
        <f>IF(Table1[[#This Row],[client_satisfaction]]&gt;1,Table1[[#This Row],[client_satisfaction]]/100,Table1[[#This Row],[client_satisfaction]])</f>
        <v>0</v>
      </c>
      <c r="Y174">
        <f>IF(Table1[[#This Row],[client_satisfaction2]]=0,0.75,Table1[[#This Row],[client_satisfaction2]])</f>
        <v>0.75</v>
      </c>
    </row>
    <row r="175" spans="1:25" x14ac:dyDescent="0.25">
      <c r="A175" t="s">
        <v>431</v>
      </c>
      <c r="B175" t="s">
        <v>432</v>
      </c>
      <c r="C175" t="str">
        <f>PROPER(TRIM(SUBSTITUTE(SUBSTITUTE(SUBSTITUTE(Table1[[#This Row],[name]],"Ms. ",""),"Mr. ",""),"Mrs. ","")))</f>
        <v>Jeremy Sawyer</v>
      </c>
      <c r="D175" t="s">
        <v>92</v>
      </c>
      <c r="E1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75">
        <v>31</v>
      </c>
      <c r="G175" t="str">
        <f>TRIM(IF(Table1[[#This Row],[age]]="","Unknown",Table1[[#This Row],[age]]))</f>
        <v>31</v>
      </c>
      <c r="H175" t="s">
        <v>67</v>
      </c>
      <c r="I175" t="s">
        <v>22</v>
      </c>
      <c r="J175" t="s">
        <v>51</v>
      </c>
      <c r="K175">
        <v>4</v>
      </c>
      <c r="L175" s="10" t="str">
        <f>TRIM(IF(Table1[[#This Row],[years_of_experience]]="","Unknown",Table1[[#This Row],[years_of_experience]]))</f>
        <v>4</v>
      </c>
      <c r="M175" t="s">
        <v>52</v>
      </c>
      <c r="N175" t="str">
        <f>IF(Table1[[#This Row],[hourly_rate (USD)]]="",MEDIAN(Table1[hourly_rate (USD)]),Table1[[#This Row],[hourly_rate (USD)]])</f>
        <v>USD 75</v>
      </c>
      <c r="O175" t="str">
        <f>TRIM(CLEAN(Table1[[#This Row],[Updated hourly_rate (USD)]]))</f>
        <v>USD 75</v>
      </c>
      <c r="P175" t="str">
        <f>SUBSTITUTE(SUBSTITUTE(Table1[[#This Row],[Formatted hourly rate]],"USD ",""),"$","")</f>
        <v>75</v>
      </c>
      <c r="Q175">
        <v>1.1000000000000001</v>
      </c>
      <c r="R175">
        <f>IF(Table1[[#This Row],[rating]]="",2.6,Table1[[#This Row],[rating]])</f>
        <v>1.1000000000000001</v>
      </c>
      <c r="S175" t="b">
        <v>1</v>
      </c>
      <c r="T175" t="str">
        <f>TRIM(CLEAN(Table1[[#This Row],[is_active]]))</f>
        <v>TRUE</v>
      </c>
      <c r="U17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75" s="11" t="str">
        <f>TRIM(IF(Table1[[#This Row],[is_active3]]="Unknown","TRUE",Table1[[#This Row],[is_active3]]))</f>
        <v>TRUE</v>
      </c>
      <c r="W175">
        <v>0.64</v>
      </c>
      <c r="X175">
        <f>IF(Table1[[#This Row],[client_satisfaction]]&gt;1,Table1[[#This Row],[client_satisfaction]]/100,Table1[[#This Row],[client_satisfaction]])</f>
        <v>0.64</v>
      </c>
      <c r="Y175">
        <f>IF(Table1[[#This Row],[client_satisfaction2]]=0,0.75,Table1[[#This Row],[client_satisfaction2]])</f>
        <v>0.64</v>
      </c>
    </row>
    <row r="176" spans="1:25" x14ac:dyDescent="0.25">
      <c r="A176" t="s">
        <v>433</v>
      </c>
      <c r="B176" t="s">
        <v>434</v>
      </c>
      <c r="C176" t="str">
        <f>PROPER(TRIM(SUBSTITUTE(SUBSTITUTE(SUBSTITUTE(Table1[[#This Row],[name]],"Ms. ",""),"Mr. ",""),"Mrs. ","")))</f>
        <v>Eduardo Burns</v>
      </c>
      <c r="D176" t="s">
        <v>27</v>
      </c>
      <c r="E1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76">
        <v>29</v>
      </c>
      <c r="G176" t="str">
        <f>TRIM(IF(Table1[[#This Row],[age]]="","Unknown",Table1[[#This Row],[age]]))</f>
        <v>29</v>
      </c>
      <c r="H176" t="s">
        <v>107</v>
      </c>
      <c r="I176" t="s">
        <v>108</v>
      </c>
      <c r="J176" t="s">
        <v>73</v>
      </c>
      <c r="K176">
        <v>9</v>
      </c>
      <c r="L176" s="10" t="str">
        <f>TRIM(IF(Table1[[#This Row],[years_of_experience]]="","Unknown",Table1[[#This Row],[years_of_experience]]))</f>
        <v>9</v>
      </c>
      <c r="M176">
        <v>20</v>
      </c>
      <c r="N176">
        <f>IF(Table1[[#This Row],[hourly_rate (USD)]]="",MEDIAN(Table1[hourly_rate (USD)]),Table1[[#This Row],[hourly_rate (USD)]])</f>
        <v>20</v>
      </c>
      <c r="O176" t="str">
        <f>TRIM(CLEAN(Table1[[#This Row],[Updated hourly_rate (USD)]]))</f>
        <v>20</v>
      </c>
      <c r="P176" t="str">
        <f>SUBSTITUTE(SUBSTITUTE(Table1[[#This Row],[Formatted hourly rate]],"USD ",""),"$","")</f>
        <v>20</v>
      </c>
      <c r="R176">
        <f>IF(Table1[[#This Row],[rating]]="",2.6,Table1[[#This Row],[rating]])</f>
        <v>2.6</v>
      </c>
      <c r="T176" t="str">
        <f>TRIM(CLEAN(Table1[[#This Row],[is_active]]))</f>
        <v/>
      </c>
      <c r="U17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76" s="11" t="str">
        <f>TRIM(IF(Table1[[#This Row],[is_active3]]="Unknown","TRUE",Table1[[#This Row],[is_active3]]))</f>
        <v>TRUE</v>
      </c>
      <c r="W176">
        <v>0.68</v>
      </c>
      <c r="X176">
        <f>IF(Table1[[#This Row],[client_satisfaction]]&gt;1,Table1[[#This Row],[client_satisfaction]]/100,Table1[[#This Row],[client_satisfaction]])</f>
        <v>0.68</v>
      </c>
      <c r="Y176">
        <f>IF(Table1[[#This Row],[client_satisfaction2]]=0,0.75,Table1[[#This Row],[client_satisfaction2]])</f>
        <v>0.68</v>
      </c>
    </row>
    <row r="177" spans="1:25" x14ac:dyDescent="0.25">
      <c r="A177" t="s">
        <v>435</v>
      </c>
      <c r="B177" t="s">
        <v>436</v>
      </c>
      <c r="C177" t="str">
        <f>PROPER(TRIM(SUBSTITUTE(SUBSTITUTE(SUBSTITUTE(Table1[[#This Row],[name]],"Ms. ",""),"Mr. ",""),"Mrs. ","")))</f>
        <v>Amanda Jones</v>
      </c>
      <c r="D177" t="s">
        <v>39</v>
      </c>
      <c r="E1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77">
        <v>57</v>
      </c>
      <c r="G177" t="str">
        <f>TRIM(IF(Table1[[#This Row],[age]]="","Unknown",Table1[[#This Row],[age]]))</f>
        <v>57</v>
      </c>
      <c r="H177" t="s">
        <v>21</v>
      </c>
      <c r="I177" t="s">
        <v>22</v>
      </c>
      <c r="J177" t="s">
        <v>30</v>
      </c>
      <c r="K177">
        <v>17</v>
      </c>
      <c r="L177" s="10" t="str">
        <f>TRIM(IF(Table1[[#This Row],[years_of_experience]]="","Unknown",Table1[[#This Row],[years_of_experience]]))</f>
        <v>17</v>
      </c>
      <c r="M177">
        <v>20</v>
      </c>
      <c r="N177">
        <f>IF(Table1[[#This Row],[hourly_rate (USD)]]="",MEDIAN(Table1[hourly_rate (USD)]),Table1[[#This Row],[hourly_rate (USD)]])</f>
        <v>20</v>
      </c>
      <c r="O177" t="str">
        <f>TRIM(CLEAN(Table1[[#This Row],[Updated hourly_rate (USD)]]))</f>
        <v>20</v>
      </c>
      <c r="P177" t="str">
        <f>SUBSTITUTE(SUBSTITUTE(Table1[[#This Row],[Formatted hourly rate]],"USD ",""),"$","")</f>
        <v>20</v>
      </c>
      <c r="Q177">
        <v>3.6</v>
      </c>
      <c r="R177">
        <f>IF(Table1[[#This Row],[rating]]="",2.6,Table1[[#This Row],[rating]])</f>
        <v>3.6</v>
      </c>
      <c r="S177">
        <v>0</v>
      </c>
      <c r="T177" t="str">
        <f>TRIM(CLEAN(Table1[[#This Row],[is_active]]))</f>
        <v>0</v>
      </c>
      <c r="U17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77" s="11" t="str">
        <f>TRIM(IF(Table1[[#This Row],[is_active3]]="Unknown","TRUE",Table1[[#This Row],[is_active3]]))</f>
        <v>FALSE</v>
      </c>
      <c r="W177">
        <v>0.63</v>
      </c>
      <c r="X177">
        <f>IF(Table1[[#This Row],[client_satisfaction]]&gt;1,Table1[[#This Row],[client_satisfaction]]/100,Table1[[#This Row],[client_satisfaction]])</f>
        <v>0.63</v>
      </c>
      <c r="Y177">
        <f>IF(Table1[[#This Row],[client_satisfaction2]]=0,0.75,Table1[[#This Row],[client_satisfaction2]])</f>
        <v>0.63</v>
      </c>
    </row>
    <row r="178" spans="1:25" x14ac:dyDescent="0.25">
      <c r="A178" t="s">
        <v>437</v>
      </c>
      <c r="B178" t="s">
        <v>438</v>
      </c>
      <c r="C178" t="str">
        <f>PROPER(TRIM(SUBSTITUTE(SUBSTITUTE(SUBSTITUTE(Table1[[#This Row],[name]],"Ms. ",""),"Mr. ",""),"Mrs. ","")))</f>
        <v>Frederick Ware</v>
      </c>
      <c r="D178" t="s">
        <v>61</v>
      </c>
      <c r="E1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78">
        <v>47</v>
      </c>
      <c r="G178" t="str">
        <f>TRIM(IF(Table1[[#This Row],[age]]="","Unknown",Table1[[#This Row],[age]]))</f>
        <v>47</v>
      </c>
      <c r="H178" t="s">
        <v>93</v>
      </c>
      <c r="I178" t="s">
        <v>94</v>
      </c>
      <c r="J178" t="s">
        <v>89</v>
      </c>
      <c r="K178">
        <v>8</v>
      </c>
      <c r="L178" s="10" t="str">
        <f>TRIM(IF(Table1[[#This Row],[years_of_experience]]="","Unknown",Table1[[#This Row],[years_of_experience]]))</f>
        <v>8</v>
      </c>
      <c r="M178">
        <v>20</v>
      </c>
      <c r="N178">
        <f>IF(Table1[[#This Row],[hourly_rate (USD)]]="",MEDIAN(Table1[hourly_rate (USD)]),Table1[[#This Row],[hourly_rate (USD)]])</f>
        <v>20</v>
      </c>
      <c r="O178" t="str">
        <f>TRIM(CLEAN(Table1[[#This Row],[Updated hourly_rate (USD)]]))</f>
        <v>20</v>
      </c>
      <c r="P178" t="str">
        <f>SUBSTITUTE(SUBSTITUTE(Table1[[#This Row],[Formatted hourly rate]],"USD ",""),"$","")</f>
        <v>20</v>
      </c>
      <c r="Q178">
        <v>4.5</v>
      </c>
      <c r="R178">
        <f>IF(Table1[[#This Row],[rating]]="",2.6,Table1[[#This Row],[rating]])</f>
        <v>4.5</v>
      </c>
      <c r="S178">
        <v>1</v>
      </c>
      <c r="T178" t="str">
        <f>TRIM(CLEAN(Table1[[#This Row],[is_active]]))</f>
        <v>1</v>
      </c>
      <c r="U17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78" s="11" t="str">
        <f>TRIM(IF(Table1[[#This Row],[is_active3]]="Unknown","TRUE",Table1[[#This Row],[is_active3]]))</f>
        <v>TRUE</v>
      </c>
      <c r="W178">
        <v>0.72</v>
      </c>
      <c r="X178">
        <f>IF(Table1[[#This Row],[client_satisfaction]]&gt;1,Table1[[#This Row],[client_satisfaction]]/100,Table1[[#This Row],[client_satisfaction]])</f>
        <v>0.72</v>
      </c>
      <c r="Y178">
        <f>IF(Table1[[#This Row],[client_satisfaction2]]=0,0.75,Table1[[#This Row],[client_satisfaction2]])</f>
        <v>0.72</v>
      </c>
    </row>
    <row r="179" spans="1:25" x14ac:dyDescent="0.25">
      <c r="A179" t="s">
        <v>439</v>
      </c>
      <c r="B179" t="s">
        <v>440</v>
      </c>
      <c r="C179" t="str">
        <f>PROPER(TRIM(SUBSTITUTE(SUBSTITUTE(SUBSTITUTE(Table1[[#This Row],[name]],"Ms. ",""),"Mr. ",""),"Mrs. ","")))</f>
        <v>Michael Black</v>
      </c>
      <c r="D179" t="s">
        <v>61</v>
      </c>
      <c r="E1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79">
        <v>47</v>
      </c>
      <c r="G179" t="str">
        <f>TRIM(IF(Table1[[#This Row],[age]]="","Unknown",Table1[[#This Row],[age]]))</f>
        <v>47</v>
      </c>
      <c r="H179" t="s">
        <v>153</v>
      </c>
      <c r="I179" t="s">
        <v>154</v>
      </c>
      <c r="J179" t="s">
        <v>44</v>
      </c>
      <c r="K179">
        <v>14</v>
      </c>
      <c r="L179" s="10" t="str">
        <f>TRIM(IF(Table1[[#This Row],[years_of_experience]]="","Unknown",Table1[[#This Row],[years_of_experience]]))</f>
        <v>14</v>
      </c>
      <c r="M179" t="s">
        <v>45</v>
      </c>
      <c r="N179" t="str">
        <f>IF(Table1[[#This Row],[hourly_rate (USD)]]="",MEDIAN(Table1[hourly_rate (USD)]),Table1[[#This Row],[hourly_rate (USD)]])</f>
        <v>$30</v>
      </c>
      <c r="O179" t="str">
        <f>TRIM(CLEAN(Table1[[#This Row],[Updated hourly_rate (USD)]]))</f>
        <v>$30</v>
      </c>
      <c r="P179" t="str">
        <f>SUBSTITUTE(SUBSTITUTE(Table1[[#This Row],[Formatted hourly rate]],"USD ",""),"$","")</f>
        <v>30</v>
      </c>
      <c r="Q179">
        <v>0</v>
      </c>
      <c r="R179">
        <f>IF(Table1[[#This Row],[rating]]="",2.6,Table1[[#This Row],[rating]])</f>
        <v>0</v>
      </c>
      <c r="S179" t="b">
        <v>1</v>
      </c>
      <c r="T179" t="str">
        <f>TRIM(CLEAN(Table1[[#This Row],[is_active]]))</f>
        <v>TRUE</v>
      </c>
      <c r="U17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79" s="11" t="str">
        <f>TRIM(IF(Table1[[#This Row],[is_active3]]="Unknown","TRUE",Table1[[#This Row],[is_active3]]))</f>
        <v>TRUE</v>
      </c>
      <c r="W179">
        <v>0.86</v>
      </c>
      <c r="X179">
        <f>IF(Table1[[#This Row],[client_satisfaction]]&gt;1,Table1[[#This Row],[client_satisfaction]]/100,Table1[[#This Row],[client_satisfaction]])</f>
        <v>0.86</v>
      </c>
      <c r="Y179">
        <f>IF(Table1[[#This Row],[client_satisfaction2]]=0,0.75,Table1[[#This Row],[client_satisfaction2]])</f>
        <v>0.86</v>
      </c>
    </row>
    <row r="180" spans="1:25" x14ac:dyDescent="0.25">
      <c r="A180" t="s">
        <v>441</v>
      </c>
      <c r="B180" t="s">
        <v>442</v>
      </c>
      <c r="C180" t="str">
        <f>PROPER(TRIM(SUBSTITUTE(SUBSTITUTE(SUBSTITUTE(Table1[[#This Row],[name]],"Ms. ",""),"Mr. ",""),"Mrs. ","")))</f>
        <v>Patricia Sanders</v>
      </c>
      <c r="D180" t="s">
        <v>20</v>
      </c>
      <c r="E1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80">
        <v>45</v>
      </c>
      <c r="G180" t="str">
        <f>TRIM(IF(Table1[[#This Row],[age]]="","Unknown",Table1[[#This Row],[age]]))</f>
        <v>45</v>
      </c>
      <c r="H180" t="s">
        <v>135</v>
      </c>
      <c r="I180" t="s">
        <v>136</v>
      </c>
      <c r="J180" t="s">
        <v>30</v>
      </c>
      <c r="K180">
        <v>21</v>
      </c>
      <c r="L180" s="10" t="str">
        <f>TRIM(IF(Table1[[#This Row],[years_of_experience]]="","Unknown",Table1[[#This Row],[years_of_experience]]))</f>
        <v>21</v>
      </c>
      <c r="M180" t="s">
        <v>109</v>
      </c>
      <c r="N180" t="str">
        <f>IF(Table1[[#This Row],[hourly_rate (USD)]]="",MEDIAN(Table1[hourly_rate (USD)]),Table1[[#This Row],[hourly_rate (USD)]])</f>
        <v>USD 30</v>
      </c>
      <c r="O180" t="str">
        <f>TRIM(CLEAN(Table1[[#This Row],[Updated hourly_rate (USD)]]))</f>
        <v>USD 30</v>
      </c>
      <c r="P180" t="str">
        <f>SUBSTITUTE(SUBSTITUTE(Table1[[#This Row],[Formatted hourly rate]],"USD ",""),"$","")</f>
        <v>30</v>
      </c>
      <c r="Q180">
        <v>1.5</v>
      </c>
      <c r="R180">
        <f>IF(Table1[[#This Row],[rating]]="",2.6,Table1[[#This Row],[rating]])</f>
        <v>1.5</v>
      </c>
      <c r="S180">
        <v>1</v>
      </c>
      <c r="T180" t="str">
        <f>TRIM(CLEAN(Table1[[#This Row],[is_active]]))</f>
        <v>1</v>
      </c>
      <c r="U18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80" s="11" t="str">
        <f>TRIM(IF(Table1[[#This Row],[is_active3]]="Unknown","TRUE",Table1[[#This Row],[is_active3]]))</f>
        <v>TRUE</v>
      </c>
      <c r="W180">
        <v>0.73</v>
      </c>
      <c r="X180">
        <f>IF(Table1[[#This Row],[client_satisfaction]]&gt;1,Table1[[#This Row],[client_satisfaction]]/100,Table1[[#This Row],[client_satisfaction]])</f>
        <v>0.73</v>
      </c>
      <c r="Y180">
        <f>IF(Table1[[#This Row],[client_satisfaction2]]=0,0.75,Table1[[#This Row],[client_satisfaction2]])</f>
        <v>0.73</v>
      </c>
    </row>
    <row r="181" spans="1:25" x14ac:dyDescent="0.25">
      <c r="A181" t="s">
        <v>443</v>
      </c>
      <c r="B181" t="s">
        <v>444</v>
      </c>
      <c r="C181" t="str">
        <f>PROPER(TRIM(SUBSTITUTE(SUBSTITUTE(SUBSTITUTE(Table1[[#This Row],[name]],"Ms. ",""),"Mr. ",""),"Mrs. ","")))</f>
        <v>Marc Joseph</v>
      </c>
      <c r="D181" t="s">
        <v>48</v>
      </c>
      <c r="E1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81">
        <v>24</v>
      </c>
      <c r="G181" t="str">
        <f>TRIM(IF(Table1[[#This Row],[age]]="","Unknown",Table1[[#This Row],[age]]))</f>
        <v>24</v>
      </c>
      <c r="H181" t="s">
        <v>62</v>
      </c>
      <c r="I181" t="s">
        <v>63</v>
      </c>
      <c r="J181" t="s">
        <v>114</v>
      </c>
      <c r="K181">
        <v>1</v>
      </c>
      <c r="L181" s="10" t="str">
        <f>TRIM(IF(Table1[[#This Row],[years_of_experience]]="","Unknown",Table1[[#This Row],[years_of_experience]]))</f>
        <v>1</v>
      </c>
      <c r="M181" t="s">
        <v>45</v>
      </c>
      <c r="N181" t="str">
        <f>IF(Table1[[#This Row],[hourly_rate (USD)]]="",MEDIAN(Table1[hourly_rate (USD)]),Table1[[#This Row],[hourly_rate (USD)]])</f>
        <v>$30</v>
      </c>
      <c r="O181" t="str">
        <f>TRIM(CLEAN(Table1[[#This Row],[Updated hourly_rate (USD)]]))</f>
        <v>$30</v>
      </c>
      <c r="P181" t="str">
        <f>SUBSTITUTE(SUBSTITUTE(Table1[[#This Row],[Formatted hourly rate]],"USD ",""),"$","")</f>
        <v>30</v>
      </c>
      <c r="Q181">
        <v>3.7</v>
      </c>
      <c r="R181">
        <f>IF(Table1[[#This Row],[rating]]="",2.6,Table1[[#This Row],[rating]])</f>
        <v>3.7</v>
      </c>
      <c r="S181" t="s">
        <v>159</v>
      </c>
      <c r="T181" t="str">
        <f>TRIM(CLEAN(Table1[[#This Row],[is_active]]))</f>
        <v>no</v>
      </c>
      <c r="U18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81" s="11" t="str">
        <f>TRIM(IF(Table1[[#This Row],[is_active3]]="Unknown","TRUE",Table1[[#This Row],[is_active3]]))</f>
        <v>FALSE</v>
      </c>
      <c r="W181">
        <v>0.95</v>
      </c>
      <c r="X181">
        <f>IF(Table1[[#This Row],[client_satisfaction]]&gt;1,Table1[[#This Row],[client_satisfaction]]/100,Table1[[#This Row],[client_satisfaction]])</f>
        <v>0.95</v>
      </c>
      <c r="Y181">
        <f>IF(Table1[[#This Row],[client_satisfaction2]]=0,0.75,Table1[[#This Row],[client_satisfaction2]])</f>
        <v>0.95</v>
      </c>
    </row>
    <row r="182" spans="1:25" x14ac:dyDescent="0.25">
      <c r="A182" t="s">
        <v>445</v>
      </c>
      <c r="B182" t="s">
        <v>446</v>
      </c>
      <c r="C182" t="str">
        <f>PROPER(TRIM(SUBSTITUTE(SUBSTITUTE(SUBSTITUTE(Table1[[#This Row],[name]],"Ms. ",""),"Mr. ",""),"Mrs. ","")))</f>
        <v>Vanessa White</v>
      </c>
      <c r="D182" t="s">
        <v>20</v>
      </c>
      <c r="E1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82">
        <v>31</v>
      </c>
      <c r="G182" t="str">
        <f>TRIM(IF(Table1[[#This Row],[age]]="","Unknown",Table1[[#This Row],[age]]))</f>
        <v>31</v>
      </c>
      <c r="H182" t="s">
        <v>71</v>
      </c>
      <c r="I182" t="s">
        <v>72</v>
      </c>
      <c r="J182" t="s">
        <v>23</v>
      </c>
      <c r="K182">
        <v>12</v>
      </c>
      <c r="L182" s="10" t="str">
        <f>TRIM(IF(Table1[[#This Row],[years_of_experience]]="","Unknown",Table1[[#This Row],[years_of_experience]]))</f>
        <v>12</v>
      </c>
      <c r="M182">
        <v>20</v>
      </c>
      <c r="N182">
        <f>IF(Table1[[#This Row],[hourly_rate (USD)]]="",MEDIAN(Table1[hourly_rate (USD)]),Table1[[#This Row],[hourly_rate (USD)]])</f>
        <v>20</v>
      </c>
      <c r="O182" t="str">
        <f>TRIM(CLEAN(Table1[[#This Row],[Updated hourly_rate (USD)]]))</f>
        <v>20</v>
      </c>
      <c r="P182" t="str">
        <f>SUBSTITUTE(SUBSTITUTE(Table1[[#This Row],[Formatted hourly rate]],"USD ",""),"$","")</f>
        <v>20</v>
      </c>
      <c r="Q182">
        <v>2.2999999999999998</v>
      </c>
      <c r="R182">
        <f>IF(Table1[[#This Row],[rating]]="",2.6,Table1[[#This Row],[rating]])</f>
        <v>2.2999999999999998</v>
      </c>
      <c r="S182" t="b">
        <v>0</v>
      </c>
      <c r="T182" t="str">
        <f>TRIM(CLEAN(Table1[[#This Row],[is_active]]))</f>
        <v>FALSE</v>
      </c>
      <c r="U18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82" s="11" t="str">
        <f>TRIM(IF(Table1[[#This Row],[is_active3]]="Unknown","TRUE",Table1[[#This Row],[is_active3]]))</f>
        <v>TRUE</v>
      </c>
      <c r="W182">
        <v>0.9</v>
      </c>
      <c r="X182">
        <f>IF(Table1[[#This Row],[client_satisfaction]]&gt;1,Table1[[#This Row],[client_satisfaction]]/100,Table1[[#This Row],[client_satisfaction]])</f>
        <v>0.9</v>
      </c>
      <c r="Y182">
        <f>IF(Table1[[#This Row],[client_satisfaction2]]=0,0.75,Table1[[#This Row],[client_satisfaction2]])</f>
        <v>0.9</v>
      </c>
    </row>
    <row r="183" spans="1:25" x14ac:dyDescent="0.25">
      <c r="A183" t="s">
        <v>447</v>
      </c>
      <c r="B183" t="s">
        <v>448</v>
      </c>
      <c r="C183" t="str">
        <f>PROPER(TRIM(SUBSTITUTE(SUBSTITUTE(SUBSTITUTE(Table1[[#This Row],[name]],"Ms. ",""),"Mr. ",""),"Mrs. ","")))</f>
        <v>Jennifer Garcia</v>
      </c>
      <c r="D183" t="s">
        <v>34</v>
      </c>
      <c r="E1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83">
        <v>20</v>
      </c>
      <c r="G183" t="str">
        <f>TRIM(IF(Table1[[#This Row],[age]]="","Unknown",Table1[[#This Row],[age]]))</f>
        <v>20</v>
      </c>
      <c r="H183" t="s">
        <v>179</v>
      </c>
      <c r="I183" t="s">
        <v>72</v>
      </c>
      <c r="J183" t="s">
        <v>30</v>
      </c>
      <c r="K183">
        <v>2</v>
      </c>
      <c r="L183" s="10" t="str">
        <f>TRIM(IF(Table1[[#This Row],[years_of_experience]]="","Unknown",Table1[[#This Row],[years_of_experience]]))</f>
        <v>2</v>
      </c>
      <c r="M183" t="s">
        <v>121</v>
      </c>
      <c r="N183" t="str">
        <f>IF(Table1[[#This Row],[hourly_rate (USD)]]="",MEDIAN(Table1[hourly_rate (USD)]),Table1[[#This Row],[hourly_rate (USD)]])</f>
        <v>$20</v>
      </c>
      <c r="O183" t="str">
        <f>TRIM(CLEAN(Table1[[#This Row],[Updated hourly_rate (USD)]]))</f>
        <v>$20</v>
      </c>
      <c r="P183" t="str">
        <f>SUBSTITUTE(SUBSTITUTE(Table1[[#This Row],[Formatted hourly rate]],"USD ",""),"$","")</f>
        <v>20</v>
      </c>
      <c r="Q183">
        <v>2.8</v>
      </c>
      <c r="R183">
        <f>IF(Table1[[#This Row],[rating]]="",2.6,Table1[[#This Row],[rating]])</f>
        <v>2.8</v>
      </c>
      <c r="S183">
        <v>0</v>
      </c>
      <c r="T183" t="str">
        <f>TRIM(CLEAN(Table1[[#This Row],[is_active]]))</f>
        <v>0</v>
      </c>
      <c r="U1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83" s="11" t="str">
        <f>TRIM(IF(Table1[[#This Row],[is_active3]]="Unknown","TRUE",Table1[[#This Row],[is_active3]]))</f>
        <v>FALSE</v>
      </c>
      <c r="W183">
        <v>0.78</v>
      </c>
      <c r="X183">
        <f>IF(Table1[[#This Row],[client_satisfaction]]&gt;1,Table1[[#This Row],[client_satisfaction]]/100,Table1[[#This Row],[client_satisfaction]])</f>
        <v>0.78</v>
      </c>
      <c r="Y183">
        <f>IF(Table1[[#This Row],[client_satisfaction2]]=0,0.75,Table1[[#This Row],[client_satisfaction2]])</f>
        <v>0.78</v>
      </c>
    </row>
    <row r="184" spans="1:25" x14ac:dyDescent="0.25">
      <c r="A184" t="s">
        <v>449</v>
      </c>
      <c r="B184" t="s">
        <v>450</v>
      </c>
      <c r="C184" t="str">
        <f>PROPER(TRIM(SUBSTITUTE(SUBSTITUTE(SUBSTITUTE(Table1[[#This Row],[name]],"Ms. ",""),"Mr. ",""),"Mrs. ","")))</f>
        <v>Michael Zavala</v>
      </c>
      <c r="D184" t="s">
        <v>61</v>
      </c>
      <c r="E1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84">
        <v>38</v>
      </c>
      <c r="G184" t="str">
        <f>TRIM(IF(Table1[[#This Row],[age]]="","Unknown",Table1[[#This Row],[age]]))</f>
        <v>38</v>
      </c>
      <c r="H184" t="s">
        <v>85</v>
      </c>
      <c r="I184" t="s">
        <v>86</v>
      </c>
      <c r="J184" t="s">
        <v>35</v>
      </c>
      <c r="K184">
        <v>3</v>
      </c>
      <c r="L184" s="10" t="str">
        <f>TRIM(IF(Table1[[#This Row],[years_of_experience]]="","Unknown",Table1[[#This Row],[years_of_experience]]))</f>
        <v>3</v>
      </c>
      <c r="M184">
        <v>30</v>
      </c>
      <c r="N184">
        <f>IF(Table1[[#This Row],[hourly_rate (USD)]]="",MEDIAN(Table1[hourly_rate (USD)]),Table1[[#This Row],[hourly_rate (USD)]])</f>
        <v>30</v>
      </c>
      <c r="O184" t="str">
        <f>TRIM(CLEAN(Table1[[#This Row],[Updated hourly_rate (USD)]]))</f>
        <v>30</v>
      </c>
      <c r="P184" t="str">
        <f>SUBSTITUTE(SUBSTITUTE(Table1[[#This Row],[Formatted hourly rate]],"USD ",""),"$","")</f>
        <v>30</v>
      </c>
      <c r="Q184">
        <v>3.5</v>
      </c>
      <c r="R184">
        <f>IF(Table1[[#This Row],[rating]]="",2.6,Table1[[#This Row],[rating]])</f>
        <v>3.5</v>
      </c>
      <c r="S184" t="s">
        <v>159</v>
      </c>
      <c r="T184" t="str">
        <f>TRIM(CLEAN(Table1[[#This Row],[is_active]]))</f>
        <v>no</v>
      </c>
      <c r="U18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84" s="11" t="str">
        <f>TRIM(IF(Table1[[#This Row],[is_active3]]="Unknown","TRUE",Table1[[#This Row],[is_active3]]))</f>
        <v>FALSE</v>
      </c>
      <c r="W184">
        <v>0.97</v>
      </c>
      <c r="X184">
        <f>IF(Table1[[#This Row],[client_satisfaction]]&gt;1,Table1[[#This Row],[client_satisfaction]]/100,Table1[[#This Row],[client_satisfaction]])</f>
        <v>0.97</v>
      </c>
      <c r="Y184">
        <f>IF(Table1[[#This Row],[client_satisfaction2]]=0,0.75,Table1[[#This Row],[client_satisfaction2]])</f>
        <v>0.97</v>
      </c>
    </row>
    <row r="185" spans="1:25" x14ac:dyDescent="0.25">
      <c r="A185" t="s">
        <v>451</v>
      </c>
      <c r="B185" t="s">
        <v>452</v>
      </c>
      <c r="C185" t="str">
        <f>PROPER(TRIM(SUBSTITUTE(SUBSTITUTE(SUBSTITUTE(Table1[[#This Row],[name]],"Ms. ",""),"Mr. ",""),"Mrs. ","")))</f>
        <v>Kimberly Williams</v>
      </c>
      <c r="D185" t="s">
        <v>39</v>
      </c>
      <c r="E1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85">
        <v>33</v>
      </c>
      <c r="G185" t="str">
        <f>TRIM(IF(Table1[[#This Row],[age]]="","Unknown",Table1[[#This Row],[age]]))</f>
        <v>33</v>
      </c>
      <c r="H185" t="s">
        <v>28</v>
      </c>
      <c r="I185" t="s">
        <v>29</v>
      </c>
      <c r="J185" t="s">
        <v>73</v>
      </c>
      <c r="K185">
        <v>11</v>
      </c>
      <c r="L185" s="10" t="str">
        <f>TRIM(IF(Table1[[#This Row],[years_of_experience]]="","Unknown",Table1[[#This Row],[years_of_experience]]))</f>
        <v>11</v>
      </c>
      <c r="N185">
        <f>IF(Table1[[#This Row],[hourly_rate (USD)]]="",MEDIAN(Table1[hourly_rate (USD)]),Table1[[#This Row],[hourly_rate (USD)]])</f>
        <v>50</v>
      </c>
      <c r="O185" t="str">
        <f>TRIM(CLEAN(Table1[[#This Row],[Updated hourly_rate (USD)]]))</f>
        <v>50</v>
      </c>
      <c r="P185" t="str">
        <f>SUBSTITUTE(SUBSTITUTE(Table1[[#This Row],[Formatted hourly rate]],"USD ",""),"$","")</f>
        <v>50</v>
      </c>
      <c r="Q185">
        <v>0</v>
      </c>
      <c r="R185">
        <f>IF(Table1[[#This Row],[rating]]="",2.6,Table1[[#This Row],[rating]])</f>
        <v>0</v>
      </c>
      <c r="S185" t="s">
        <v>68</v>
      </c>
      <c r="T185" t="str">
        <f>TRIM(CLEAN(Table1[[#This Row],[is_active]]))</f>
        <v>yes</v>
      </c>
      <c r="U18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85" s="11" t="str">
        <f>TRIM(IF(Table1[[#This Row],[is_active3]]="Unknown","TRUE",Table1[[#This Row],[is_active3]]))</f>
        <v>TRUE</v>
      </c>
      <c r="W185">
        <v>0.65</v>
      </c>
      <c r="X185">
        <f>IF(Table1[[#This Row],[client_satisfaction]]&gt;1,Table1[[#This Row],[client_satisfaction]]/100,Table1[[#This Row],[client_satisfaction]])</f>
        <v>0.65</v>
      </c>
      <c r="Y185">
        <f>IF(Table1[[#This Row],[client_satisfaction2]]=0,0.75,Table1[[#This Row],[client_satisfaction2]])</f>
        <v>0.65</v>
      </c>
    </row>
    <row r="186" spans="1:25" x14ac:dyDescent="0.25">
      <c r="A186" t="s">
        <v>453</v>
      </c>
      <c r="B186" t="s">
        <v>454</v>
      </c>
      <c r="C186" t="str">
        <f>PROPER(TRIM(SUBSTITUTE(SUBSTITUTE(SUBSTITUTE(Table1[[#This Row],[name]],"Ms. ",""),"Mr. ",""),"Mrs. ","")))</f>
        <v>Elizabeth Jenkins</v>
      </c>
      <c r="D186" t="s">
        <v>34</v>
      </c>
      <c r="E1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86">
        <v>31</v>
      </c>
      <c r="G186" t="str">
        <f>TRIM(IF(Table1[[#This Row],[age]]="","Unknown",Table1[[#This Row],[age]]))</f>
        <v>31</v>
      </c>
      <c r="H186" t="s">
        <v>21</v>
      </c>
      <c r="I186" t="s">
        <v>22</v>
      </c>
      <c r="J186" t="s">
        <v>35</v>
      </c>
      <c r="K186">
        <v>4</v>
      </c>
      <c r="L186" s="10" t="str">
        <f>TRIM(IF(Table1[[#This Row],[years_of_experience]]="","Unknown",Table1[[#This Row],[years_of_experience]]))</f>
        <v>4</v>
      </c>
      <c r="M186">
        <v>40</v>
      </c>
      <c r="N186">
        <f>IF(Table1[[#This Row],[hourly_rate (USD)]]="",MEDIAN(Table1[hourly_rate (USD)]),Table1[[#This Row],[hourly_rate (USD)]])</f>
        <v>40</v>
      </c>
      <c r="O186" t="str">
        <f>TRIM(CLEAN(Table1[[#This Row],[Updated hourly_rate (USD)]]))</f>
        <v>40</v>
      </c>
      <c r="P186" t="str">
        <f>SUBSTITUTE(SUBSTITUTE(Table1[[#This Row],[Formatted hourly rate]],"USD ",""),"$","")</f>
        <v>40</v>
      </c>
      <c r="Q186">
        <v>3.2</v>
      </c>
      <c r="R186">
        <f>IF(Table1[[#This Row],[rating]]="",2.6,Table1[[#This Row],[rating]])</f>
        <v>3.2</v>
      </c>
      <c r="S186">
        <v>1</v>
      </c>
      <c r="T186" t="str">
        <f>TRIM(CLEAN(Table1[[#This Row],[is_active]]))</f>
        <v>1</v>
      </c>
      <c r="U18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86" s="11" t="str">
        <f>TRIM(IF(Table1[[#This Row],[is_active3]]="Unknown","TRUE",Table1[[#This Row],[is_active3]]))</f>
        <v>TRUE</v>
      </c>
      <c r="W186">
        <v>0.78</v>
      </c>
      <c r="X186">
        <f>IF(Table1[[#This Row],[client_satisfaction]]&gt;1,Table1[[#This Row],[client_satisfaction]]/100,Table1[[#This Row],[client_satisfaction]])</f>
        <v>0.78</v>
      </c>
      <c r="Y186">
        <f>IF(Table1[[#This Row],[client_satisfaction2]]=0,0.75,Table1[[#This Row],[client_satisfaction2]])</f>
        <v>0.78</v>
      </c>
    </row>
    <row r="187" spans="1:25" x14ac:dyDescent="0.25">
      <c r="A187" t="s">
        <v>455</v>
      </c>
      <c r="B187" t="s">
        <v>456</v>
      </c>
      <c r="C187" t="str">
        <f>PROPER(TRIM(SUBSTITUTE(SUBSTITUTE(SUBSTITUTE(Table1[[#This Row],[name]],"Ms. ",""),"Mr. ",""),"Mrs. ","")))</f>
        <v>Brandon Ford</v>
      </c>
      <c r="D187" t="s">
        <v>48</v>
      </c>
      <c r="E1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87">
        <v>41</v>
      </c>
      <c r="G187" t="str">
        <f>TRIM(IF(Table1[[#This Row],[age]]="","Unknown",Table1[[#This Row],[age]]))</f>
        <v>41</v>
      </c>
      <c r="H187" t="s">
        <v>190</v>
      </c>
      <c r="I187" t="s">
        <v>72</v>
      </c>
      <c r="J187" t="s">
        <v>114</v>
      </c>
      <c r="K187">
        <v>21</v>
      </c>
      <c r="L187" s="10" t="str">
        <f>TRIM(IF(Table1[[#This Row],[years_of_experience]]="","Unknown",Table1[[#This Row],[years_of_experience]]))</f>
        <v>21</v>
      </c>
      <c r="M187">
        <v>50</v>
      </c>
      <c r="N187">
        <f>IF(Table1[[#This Row],[hourly_rate (USD)]]="",MEDIAN(Table1[hourly_rate (USD)]),Table1[[#This Row],[hourly_rate (USD)]])</f>
        <v>50</v>
      </c>
      <c r="O187" t="str">
        <f>TRIM(CLEAN(Table1[[#This Row],[Updated hourly_rate (USD)]]))</f>
        <v>50</v>
      </c>
      <c r="P187" t="str">
        <f>SUBSTITUTE(SUBSTITUTE(Table1[[#This Row],[Formatted hourly rate]],"USD ",""),"$","")</f>
        <v>50</v>
      </c>
      <c r="Q187">
        <v>3.3</v>
      </c>
      <c r="R187">
        <f>IF(Table1[[#This Row],[rating]]="",2.6,Table1[[#This Row],[rating]])</f>
        <v>3.3</v>
      </c>
      <c r="S187" t="s">
        <v>74</v>
      </c>
      <c r="T187" t="str">
        <f>TRIM(CLEAN(Table1[[#This Row],[is_active]]))</f>
        <v>Y</v>
      </c>
      <c r="U18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87" s="11" t="str">
        <f>TRIM(IF(Table1[[#This Row],[is_active3]]="Unknown","TRUE",Table1[[#This Row],[is_active3]]))</f>
        <v>TRUE</v>
      </c>
      <c r="W187">
        <v>0.65</v>
      </c>
      <c r="X187">
        <f>IF(Table1[[#This Row],[client_satisfaction]]&gt;1,Table1[[#This Row],[client_satisfaction]]/100,Table1[[#This Row],[client_satisfaction]])</f>
        <v>0.65</v>
      </c>
      <c r="Y187">
        <f>IF(Table1[[#This Row],[client_satisfaction2]]=0,0.75,Table1[[#This Row],[client_satisfaction2]])</f>
        <v>0.65</v>
      </c>
    </row>
    <row r="188" spans="1:25" x14ac:dyDescent="0.25">
      <c r="A188" t="s">
        <v>457</v>
      </c>
      <c r="B188" t="s">
        <v>458</v>
      </c>
      <c r="C188" t="str">
        <f>PROPER(TRIM(SUBSTITUTE(SUBSTITUTE(SUBSTITUTE(Table1[[#This Row],[name]],"Ms. ",""),"Mr. ",""),"Mrs. ","")))</f>
        <v>Justin House</v>
      </c>
      <c r="D188" t="s">
        <v>61</v>
      </c>
      <c r="E1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88">
        <v>54</v>
      </c>
      <c r="G188" t="str">
        <f>TRIM(IF(Table1[[#This Row],[age]]="","Unknown",Table1[[#This Row],[age]]))</f>
        <v>54</v>
      </c>
      <c r="H188" t="s">
        <v>62</v>
      </c>
      <c r="I188" t="s">
        <v>63</v>
      </c>
      <c r="J188" t="s">
        <v>35</v>
      </c>
      <c r="K188">
        <v>0</v>
      </c>
      <c r="L188" s="10" t="str">
        <f>TRIM(IF(Table1[[#This Row],[years_of_experience]]="","Unknown",Table1[[#This Row],[years_of_experience]]))</f>
        <v>0</v>
      </c>
      <c r="M188" t="s">
        <v>121</v>
      </c>
      <c r="N188" t="str">
        <f>IF(Table1[[#This Row],[hourly_rate (USD)]]="",MEDIAN(Table1[hourly_rate (USD)]),Table1[[#This Row],[hourly_rate (USD)]])</f>
        <v>$20</v>
      </c>
      <c r="O188" t="str">
        <f>TRIM(CLEAN(Table1[[#This Row],[Updated hourly_rate (USD)]]))</f>
        <v>$20</v>
      </c>
      <c r="P188" t="str">
        <f>SUBSTITUTE(SUBSTITUTE(Table1[[#This Row],[Formatted hourly rate]],"USD ",""),"$","")</f>
        <v>20</v>
      </c>
      <c r="Q188">
        <v>4.9000000000000004</v>
      </c>
      <c r="R188">
        <f>IF(Table1[[#This Row],[rating]]="",2.6,Table1[[#This Row],[rating]])</f>
        <v>4.9000000000000004</v>
      </c>
      <c r="T188" t="str">
        <f>TRIM(CLEAN(Table1[[#This Row],[is_active]]))</f>
        <v/>
      </c>
      <c r="U18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88" s="11" t="str">
        <f>TRIM(IF(Table1[[#This Row],[is_active3]]="Unknown","TRUE",Table1[[#This Row],[is_active3]]))</f>
        <v>TRUE</v>
      </c>
      <c r="X188">
        <f>IF(Table1[[#This Row],[client_satisfaction]]&gt;1,Table1[[#This Row],[client_satisfaction]]/100,Table1[[#This Row],[client_satisfaction]])</f>
        <v>0</v>
      </c>
      <c r="Y188">
        <f>IF(Table1[[#This Row],[client_satisfaction2]]=0,0.75,Table1[[#This Row],[client_satisfaction2]])</f>
        <v>0.75</v>
      </c>
    </row>
    <row r="189" spans="1:25" x14ac:dyDescent="0.25">
      <c r="A189" t="s">
        <v>459</v>
      </c>
      <c r="B189" t="s">
        <v>460</v>
      </c>
      <c r="C189" t="str">
        <f>PROPER(TRIM(SUBSTITUTE(SUBSTITUTE(SUBSTITUTE(Table1[[#This Row],[name]],"Ms. ",""),"Mr. ",""),"Mrs. ","")))</f>
        <v>Henry Mullen</v>
      </c>
      <c r="D189" t="s">
        <v>27</v>
      </c>
      <c r="E1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89">
        <v>50</v>
      </c>
      <c r="G189" t="str">
        <f>TRIM(IF(Table1[[#This Row],[age]]="","Unknown",Table1[[#This Row],[age]]))</f>
        <v>50</v>
      </c>
      <c r="H189" t="s">
        <v>179</v>
      </c>
      <c r="I189" t="s">
        <v>72</v>
      </c>
      <c r="J189" t="s">
        <v>51</v>
      </c>
      <c r="K189">
        <v>6</v>
      </c>
      <c r="L189" s="10" t="str">
        <f>TRIM(IF(Table1[[#This Row],[years_of_experience]]="","Unknown",Table1[[#This Row],[years_of_experience]]))</f>
        <v>6</v>
      </c>
      <c r="M189">
        <v>30</v>
      </c>
      <c r="N189">
        <f>IF(Table1[[#This Row],[hourly_rate (USD)]]="",MEDIAN(Table1[hourly_rate (USD)]),Table1[[#This Row],[hourly_rate (USD)]])</f>
        <v>30</v>
      </c>
      <c r="O189" t="str">
        <f>TRIM(CLEAN(Table1[[#This Row],[Updated hourly_rate (USD)]]))</f>
        <v>30</v>
      </c>
      <c r="P189" t="str">
        <f>SUBSTITUTE(SUBSTITUTE(Table1[[#This Row],[Formatted hourly rate]],"USD ",""),"$","")</f>
        <v>30</v>
      </c>
      <c r="Q189">
        <v>2.2000000000000002</v>
      </c>
      <c r="R189">
        <f>IF(Table1[[#This Row],[rating]]="",2.6,Table1[[#This Row],[rating]])</f>
        <v>2.2000000000000002</v>
      </c>
      <c r="S189">
        <v>1</v>
      </c>
      <c r="T189" t="str">
        <f>TRIM(CLEAN(Table1[[#This Row],[is_active]]))</f>
        <v>1</v>
      </c>
      <c r="U18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89" s="11" t="str">
        <f>TRIM(IF(Table1[[#This Row],[is_active3]]="Unknown","TRUE",Table1[[#This Row],[is_active3]]))</f>
        <v>TRUE</v>
      </c>
      <c r="W189">
        <v>0.95</v>
      </c>
      <c r="X189">
        <f>IF(Table1[[#This Row],[client_satisfaction]]&gt;1,Table1[[#This Row],[client_satisfaction]]/100,Table1[[#This Row],[client_satisfaction]])</f>
        <v>0.95</v>
      </c>
      <c r="Y189">
        <f>IF(Table1[[#This Row],[client_satisfaction2]]=0,0.75,Table1[[#This Row],[client_satisfaction2]])</f>
        <v>0.95</v>
      </c>
    </row>
    <row r="190" spans="1:25" x14ac:dyDescent="0.25">
      <c r="A190" t="s">
        <v>461</v>
      </c>
      <c r="B190" t="s">
        <v>462</v>
      </c>
      <c r="C190" t="str">
        <f>PROPER(TRIM(SUBSTITUTE(SUBSTITUTE(SUBSTITUTE(Table1[[#This Row],[name]],"Ms. ",""),"Mr. ",""),"Mrs. ","")))</f>
        <v>Jesse Cochran</v>
      </c>
      <c r="D190" t="s">
        <v>61</v>
      </c>
      <c r="E1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90">
        <v>48</v>
      </c>
      <c r="G190" t="str">
        <f>TRIM(IF(Table1[[#This Row],[age]]="","Unknown",Table1[[#This Row],[age]]))</f>
        <v>48</v>
      </c>
      <c r="H190" t="s">
        <v>107</v>
      </c>
      <c r="I190" t="s">
        <v>108</v>
      </c>
      <c r="J190" t="s">
        <v>114</v>
      </c>
      <c r="K190">
        <v>18</v>
      </c>
      <c r="L190" s="10" t="str">
        <f>TRIM(IF(Table1[[#This Row],[years_of_experience]]="","Unknown",Table1[[#This Row],[years_of_experience]]))</f>
        <v>18</v>
      </c>
      <c r="M190" t="s">
        <v>55</v>
      </c>
      <c r="N190" t="str">
        <f>IF(Table1[[#This Row],[hourly_rate (USD)]]="",MEDIAN(Table1[hourly_rate (USD)]),Table1[[#This Row],[hourly_rate (USD)]])</f>
        <v>USD 40</v>
      </c>
      <c r="O190" t="str">
        <f>TRIM(CLEAN(Table1[[#This Row],[Updated hourly_rate (USD)]]))</f>
        <v>USD 40</v>
      </c>
      <c r="P190" t="str">
        <f>SUBSTITUTE(SUBSTITUTE(Table1[[#This Row],[Formatted hourly rate]],"USD ",""),"$","")</f>
        <v>40</v>
      </c>
      <c r="R190">
        <f>IF(Table1[[#This Row],[rating]]="",2.6,Table1[[#This Row],[rating]])</f>
        <v>2.6</v>
      </c>
      <c r="S190">
        <v>1</v>
      </c>
      <c r="T190" t="str">
        <f>TRIM(CLEAN(Table1[[#This Row],[is_active]]))</f>
        <v>1</v>
      </c>
      <c r="U19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90" s="11" t="str">
        <f>TRIM(IF(Table1[[#This Row],[is_active3]]="Unknown","TRUE",Table1[[#This Row],[is_active3]]))</f>
        <v>TRUE</v>
      </c>
      <c r="W190">
        <v>0.88</v>
      </c>
      <c r="X190">
        <f>IF(Table1[[#This Row],[client_satisfaction]]&gt;1,Table1[[#This Row],[client_satisfaction]]/100,Table1[[#This Row],[client_satisfaction]])</f>
        <v>0.88</v>
      </c>
      <c r="Y190">
        <f>IF(Table1[[#This Row],[client_satisfaction2]]=0,0.75,Table1[[#This Row],[client_satisfaction2]])</f>
        <v>0.88</v>
      </c>
    </row>
    <row r="191" spans="1:25" x14ac:dyDescent="0.25">
      <c r="A191" t="s">
        <v>463</v>
      </c>
      <c r="B191" t="s">
        <v>464</v>
      </c>
      <c r="C191" t="str">
        <f>PROPER(TRIM(SUBSTITUTE(SUBSTITUTE(SUBSTITUTE(Table1[[#This Row],[name]],"Ms. ",""),"Mr. ",""),"Mrs. ","")))</f>
        <v>Melissa Rich</v>
      </c>
      <c r="D191" t="s">
        <v>14</v>
      </c>
      <c r="E1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91">
        <v>49</v>
      </c>
      <c r="G191" t="str">
        <f>TRIM(IF(Table1[[#This Row],[age]]="","Unknown",Table1[[#This Row],[age]]))</f>
        <v>49</v>
      </c>
      <c r="H191" t="s">
        <v>179</v>
      </c>
      <c r="I191" t="s">
        <v>72</v>
      </c>
      <c r="J191" t="s">
        <v>30</v>
      </c>
      <c r="L191" s="10" t="str">
        <f>TRIM(IF(Table1[[#This Row],[years_of_experience]]="","Unknown",Table1[[#This Row],[years_of_experience]]))</f>
        <v>Unknown</v>
      </c>
      <c r="N191">
        <f>IF(Table1[[#This Row],[hourly_rate (USD)]]="",MEDIAN(Table1[hourly_rate (USD)]),Table1[[#This Row],[hourly_rate (USD)]])</f>
        <v>50</v>
      </c>
      <c r="O191" t="str">
        <f>TRIM(CLEAN(Table1[[#This Row],[Updated hourly_rate (USD)]]))</f>
        <v>50</v>
      </c>
      <c r="P191" t="str">
        <f>SUBSTITUTE(SUBSTITUTE(Table1[[#This Row],[Formatted hourly rate]],"USD ",""),"$","")</f>
        <v>50</v>
      </c>
      <c r="Q191">
        <v>1.8</v>
      </c>
      <c r="R191">
        <f>IF(Table1[[#This Row],[rating]]="",2.6,Table1[[#This Row],[rating]])</f>
        <v>1.8</v>
      </c>
      <c r="S191">
        <v>0</v>
      </c>
      <c r="T191" t="str">
        <f>TRIM(CLEAN(Table1[[#This Row],[is_active]]))</f>
        <v>0</v>
      </c>
      <c r="U19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91" s="11" t="str">
        <f>TRIM(IF(Table1[[#This Row],[is_active3]]="Unknown","TRUE",Table1[[#This Row],[is_active3]]))</f>
        <v>FALSE</v>
      </c>
      <c r="X191">
        <f>IF(Table1[[#This Row],[client_satisfaction]]&gt;1,Table1[[#This Row],[client_satisfaction]]/100,Table1[[#This Row],[client_satisfaction]])</f>
        <v>0</v>
      </c>
      <c r="Y191">
        <f>IF(Table1[[#This Row],[client_satisfaction2]]=0,0.75,Table1[[#This Row],[client_satisfaction2]])</f>
        <v>0.75</v>
      </c>
    </row>
    <row r="192" spans="1:25" x14ac:dyDescent="0.25">
      <c r="A192" t="s">
        <v>465</v>
      </c>
      <c r="B192" t="s">
        <v>466</v>
      </c>
      <c r="C192" t="str">
        <f>PROPER(TRIM(SUBSTITUTE(SUBSTITUTE(SUBSTITUTE(Table1[[#This Row],[name]],"Ms. ",""),"Mr. ",""),"Mrs. ","")))</f>
        <v>Patrick Dunlap</v>
      </c>
      <c r="D192" t="s">
        <v>97</v>
      </c>
      <c r="E1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92">
        <v>21</v>
      </c>
      <c r="G192" t="str">
        <f>TRIM(IF(Table1[[#This Row],[age]]="","Unknown",Table1[[#This Row],[age]]))</f>
        <v>21</v>
      </c>
      <c r="H192" t="s">
        <v>112</v>
      </c>
      <c r="I192" t="s">
        <v>113</v>
      </c>
      <c r="J192" t="s">
        <v>30</v>
      </c>
      <c r="K192">
        <v>1</v>
      </c>
      <c r="L192" s="10" t="str">
        <f>TRIM(IF(Table1[[#This Row],[years_of_experience]]="","Unknown",Table1[[#This Row],[years_of_experience]]))</f>
        <v>1</v>
      </c>
      <c r="M192">
        <v>75</v>
      </c>
      <c r="N192">
        <f>IF(Table1[[#This Row],[hourly_rate (USD)]]="",MEDIAN(Table1[hourly_rate (USD)]),Table1[[#This Row],[hourly_rate (USD)]])</f>
        <v>75</v>
      </c>
      <c r="O192" t="str">
        <f>TRIM(CLEAN(Table1[[#This Row],[Updated hourly_rate (USD)]]))</f>
        <v>75</v>
      </c>
      <c r="P192" t="str">
        <f>SUBSTITUTE(SUBSTITUTE(Table1[[#This Row],[Formatted hourly rate]],"USD ",""),"$","")</f>
        <v>75</v>
      </c>
      <c r="Q192">
        <v>4.5999999999999996</v>
      </c>
      <c r="R192">
        <f>IF(Table1[[#This Row],[rating]]="",2.6,Table1[[#This Row],[rating]])</f>
        <v>4.5999999999999996</v>
      </c>
      <c r="S192">
        <v>0</v>
      </c>
      <c r="T192" t="str">
        <f>TRIM(CLEAN(Table1[[#This Row],[is_active]]))</f>
        <v>0</v>
      </c>
      <c r="U19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92" s="11" t="str">
        <f>TRIM(IF(Table1[[#This Row],[is_active3]]="Unknown","TRUE",Table1[[#This Row],[is_active3]]))</f>
        <v>FALSE</v>
      </c>
      <c r="W192">
        <v>0.92</v>
      </c>
      <c r="X192">
        <f>IF(Table1[[#This Row],[client_satisfaction]]&gt;1,Table1[[#This Row],[client_satisfaction]]/100,Table1[[#This Row],[client_satisfaction]])</f>
        <v>0.92</v>
      </c>
      <c r="Y192">
        <f>IF(Table1[[#This Row],[client_satisfaction2]]=0,0.75,Table1[[#This Row],[client_satisfaction2]])</f>
        <v>0.92</v>
      </c>
    </row>
    <row r="193" spans="1:25" x14ac:dyDescent="0.25">
      <c r="A193" t="s">
        <v>467</v>
      </c>
      <c r="B193" t="s">
        <v>468</v>
      </c>
      <c r="C193" t="str">
        <f>PROPER(TRIM(SUBSTITUTE(SUBSTITUTE(SUBSTITUTE(Table1[[#This Row],[name]],"Ms. ",""),"Mr. ",""),"Mrs. ","")))</f>
        <v>Troy Carson</v>
      </c>
      <c r="D193" t="s">
        <v>92</v>
      </c>
      <c r="E1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93">
        <v>58</v>
      </c>
      <c r="G193" t="str">
        <f>TRIM(IF(Table1[[#This Row],[age]]="","Unknown",Table1[[#This Row],[age]]))</f>
        <v>58</v>
      </c>
      <c r="H193" t="s">
        <v>21</v>
      </c>
      <c r="I193" t="s">
        <v>22</v>
      </c>
      <c r="J193" t="s">
        <v>30</v>
      </c>
      <c r="K193">
        <v>20</v>
      </c>
      <c r="L193" s="10" t="str">
        <f>TRIM(IF(Table1[[#This Row],[years_of_experience]]="","Unknown",Table1[[#This Row],[years_of_experience]]))</f>
        <v>20</v>
      </c>
      <c r="M193">
        <v>75</v>
      </c>
      <c r="N193">
        <f>IF(Table1[[#This Row],[hourly_rate (USD)]]="",MEDIAN(Table1[hourly_rate (USD)]),Table1[[#This Row],[hourly_rate (USD)]])</f>
        <v>75</v>
      </c>
      <c r="O193" t="str">
        <f>TRIM(CLEAN(Table1[[#This Row],[Updated hourly_rate (USD)]]))</f>
        <v>75</v>
      </c>
      <c r="P193" t="str">
        <f>SUBSTITUTE(SUBSTITUTE(Table1[[#This Row],[Formatted hourly rate]],"USD ",""),"$","")</f>
        <v>75</v>
      </c>
      <c r="Q193">
        <v>2.8</v>
      </c>
      <c r="R193">
        <f>IF(Table1[[#This Row],[rating]]="",2.6,Table1[[#This Row],[rating]])</f>
        <v>2.8</v>
      </c>
      <c r="S193" t="s">
        <v>159</v>
      </c>
      <c r="T193" t="str">
        <f>TRIM(CLEAN(Table1[[#This Row],[is_active]]))</f>
        <v>no</v>
      </c>
      <c r="U1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93" s="11" t="str">
        <f>TRIM(IF(Table1[[#This Row],[is_active3]]="Unknown","TRUE",Table1[[#This Row],[is_active3]]))</f>
        <v>FALSE</v>
      </c>
      <c r="W193">
        <v>0.75</v>
      </c>
      <c r="X193">
        <f>IF(Table1[[#This Row],[client_satisfaction]]&gt;1,Table1[[#This Row],[client_satisfaction]]/100,Table1[[#This Row],[client_satisfaction]])</f>
        <v>0.75</v>
      </c>
      <c r="Y193">
        <f>IF(Table1[[#This Row],[client_satisfaction2]]=0,0.75,Table1[[#This Row],[client_satisfaction2]])</f>
        <v>0.75</v>
      </c>
    </row>
    <row r="194" spans="1:25" x14ac:dyDescent="0.25">
      <c r="A194" t="s">
        <v>469</v>
      </c>
      <c r="B194" t="s">
        <v>263</v>
      </c>
      <c r="C194" t="str">
        <f>PROPER(TRIM(SUBSTITUTE(SUBSTITUTE(SUBSTITUTE(Table1[[#This Row],[name]],"Ms. ",""),"Mr. ",""),"Mrs. ","")))</f>
        <v>Matthew Smith</v>
      </c>
      <c r="D194" t="s">
        <v>61</v>
      </c>
      <c r="E1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94">
        <v>41</v>
      </c>
      <c r="G194" t="str">
        <f>TRIM(IF(Table1[[#This Row],[age]]="","Unknown",Table1[[#This Row],[age]]))</f>
        <v>41</v>
      </c>
      <c r="H194" t="s">
        <v>15</v>
      </c>
      <c r="I194" t="s">
        <v>16</v>
      </c>
      <c r="J194" t="s">
        <v>89</v>
      </c>
      <c r="L194" s="10" t="str">
        <f>TRIM(IF(Table1[[#This Row],[years_of_experience]]="","Unknown",Table1[[#This Row],[years_of_experience]]))</f>
        <v>Unknown</v>
      </c>
      <c r="M194" t="s">
        <v>45</v>
      </c>
      <c r="N194" t="str">
        <f>IF(Table1[[#This Row],[hourly_rate (USD)]]="",MEDIAN(Table1[hourly_rate (USD)]),Table1[[#This Row],[hourly_rate (USD)]])</f>
        <v>$30</v>
      </c>
      <c r="O194" t="str">
        <f>TRIM(CLEAN(Table1[[#This Row],[Updated hourly_rate (USD)]]))</f>
        <v>$30</v>
      </c>
      <c r="P194" t="str">
        <f>SUBSTITUTE(SUBSTITUTE(Table1[[#This Row],[Formatted hourly rate]],"USD ",""),"$","")</f>
        <v>30</v>
      </c>
      <c r="Q194">
        <v>1.4</v>
      </c>
      <c r="R194">
        <f>IF(Table1[[#This Row],[rating]]="",2.6,Table1[[#This Row],[rating]])</f>
        <v>1.4</v>
      </c>
      <c r="S194" t="b">
        <v>0</v>
      </c>
      <c r="T194" t="str">
        <f>TRIM(CLEAN(Table1[[#This Row],[is_active]]))</f>
        <v>FALSE</v>
      </c>
      <c r="U19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94" s="11" t="str">
        <f>TRIM(IF(Table1[[#This Row],[is_active3]]="Unknown","TRUE",Table1[[#This Row],[is_active3]]))</f>
        <v>TRUE</v>
      </c>
      <c r="W194">
        <v>0.74</v>
      </c>
      <c r="X194">
        <f>IF(Table1[[#This Row],[client_satisfaction]]&gt;1,Table1[[#This Row],[client_satisfaction]]/100,Table1[[#This Row],[client_satisfaction]])</f>
        <v>0.74</v>
      </c>
      <c r="Y194">
        <f>IF(Table1[[#This Row],[client_satisfaction2]]=0,0.75,Table1[[#This Row],[client_satisfaction2]])</f>
        <v>0.74</v>
      </c>
    </row>
    <row r="195" spans="1:25" x14ac:dyDescent="0.25">
      <c r="A195" t="s">
        <v>470</v>
      </c>
      <c r="B195" t="s">
        <v>471</v>
      </c>
      <c r="C195" t="str">
        <f>PROPER(TRIM(SUBSTITUTE(SUBSTITUTE(SUBSTITUTE(Table1[[#This Row],[name]],"Ms. ",""),"Mr. ",""),"Mrs. ","")))</f>
        <v>Jennifer Cherry</v>
      </c>
      <c r="D195" t="s">
        <v>34</v>
      </c>
      <c r="E1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95">
        <v>58</v>
      </c>
      <c r="G195" t="str">
        <f>TRIM(IF(Table1[[#This Row],[age]]="","Unknown",Table1[[#This Row],[age]]))</f>
        <v>58</v>
      </c>
      <c r="H195" t="s">
        <v>124</v>
      </c>
      <c r="I195" t="s">
        <v>125</v>
      </c>
      <c r="J195" t="s">
        <v>17</v>
      </c>
      <c r="K195">
        <v>25</v>
      </c>
      <c r="L195" s="10" t="str">
        <f>TRIM(IF(Table1[[#This Row],[years_of_experience]]="","Unknown",Table1[[#This Row],[years_of_experience]]))</f>
        <v>25</v>
      </c>
      <c r="M195" t="s">
        <v>45</v>
      </c>
      <c r="N195" t="str">
        <f>IF(Table1[[#This Row],[hourly_rate (USD)]]="",MEDIAN(Table1[hourly_rate (USD)]),Table1[[#This Row],[hourly_rate (USD)]])</f>
        <v>$30</v>
      </c>
      <c r="O195" t="str">
        <f>TRIM(CLEAN(Table1[[#This Row],[Updated hourly_rate (USD)]]))</f>
        <v>$30</v>
      </c>
      <c r="P195" t="str">
        <f>SUBSTITUTE(SUBSTITUTE(Table1[[#This Row],[Formatted hourly rate]],"USD ",""),"$","")</f>
        <v>30</v>
      </c>
      <c r="Q195">
        <v>4.2</v>
      </c>
      <c r="R195">
        <f>IF(Table1[[#This Row],[rating]]="",2.6,Table1[[#This Row],[rating]])</f>
        <v>4.2</v>
      </c>
      <c r="S195" t="s">
        <v>74</v>
      </c>
      <c r="T195" t="str">
        <f>TRIM(CLEAN(Table1[[#This Row],[is_active]]))</f>
        <v>Y</v>
      </c>
      <c r="U19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95" s="11" t="str">
        <f>TRIM(IF(Table1[[#This Row],[is_active3]]="Unknown","TRUE",Table1[[#This Row],[is_active3]]))</f>
        <v>TRUE</v>
      </c>
      <c r="W195">
        <v>0.71</v>
      </c>
      <c r="X195">
        <f>IF(Table1[[#This Row],[client_satisfaction]]&gt;1,Table1[[#This Row],[client_satisfaction]]/100,Table1[[#This Row],[client_satisfaction]])</f>
        <v>0.71</v>
      </c>
      <c r="Y195">
        <f>IF(Table1[[#This Row],[client_satisfaction2]]=0,0.75,Table1[[#This Row],[client_satisfaction2]])</f>
        <v>0.71</v>
      </c>
    </row>
    <row r="196" spans="1:25" x14ac:dyDescent="0.25">
      <c r="A196" t="s">
        <v>472</v>
      </c>
      <c r="B196" t="s">
        <v>473</v>
      </c>
      <c r="C196" t="str">
        <f>PROPER(TRIM(SUBSTITUTE(SUBSTITUTE(SUBSTITUTE(Table1[[#This Row],[name]],"Ms. ",""),"Mr. ",""),"Mrs. ","")))</f>
        <v>Brandi Tucker</v>
      </c>
      <c r="D196" t="s">
        <v>39</v>
      </c>
      <c r="E1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96">
        <v>50</v>
      </c>
      <c r="G196" t="str">
        <f>TRIM(IF(Table1[[#This Row],[age]]="","Unknown",Table1[[#This Row],[age]]))</f>
        <v>50</v>
      </c>
      <c r="H196" t="s">
        <v>153</v>
      </c>
      <c r="I196" t="s">
        <v>154</v>
      </c>
      <c r="J196" t="s">
        <v>30</v>
      </c>
      <c r="K196">
        <v>20</v>
      </c>
      <c r="L196" s="10" t="str">
        <f>TRIM(IF(Table1[[#This Row],[years_of_experience]]="","Unknown",Table1[[#This Row],[years_of_experience]]))</f>
        <v>20</v>
      </c>
      <c r="M196" t="s">
        <v>55</v>
      </c>
      <c r="N196" t="str">
        <f>IF(Table1[[#This Row],[hourly_rate (USD)]]="",MEDIAN(Table1[hourly_rate (USD)]),Table1[[#This Row],[hourly_rate (USD)]])</f>
        <v>USD 40</v>
      </c>
      <c r="O196" t="str">
        <f>TRIM(CLEAN(Table1[[#This Row],[Updated hourly_rate (USD)]]))</f>
        <v>USD 40</v>
      </c>
      <c r="P196" t="str">
        <f>SUBSTITUTE(SUBSTITUTE(Table1[[#This Row],[Formatted hourly rate]],"USD ",""),"$","")</f>
        <v>40</v>
      </c>
      <c r="Q196">
        <v>3.6</v>
      </c>
      <c r="R196">
        <f>IF(Table1[[#This Row],[rating]]="",2.6,Table1[[#This Row],[rating]])</f>
        <v>3.6</v>
      </c>
      <c r="S196">
        <v>1</v>
      </c>
      <c r="T196" t="str">
        <f>TRIM(CLEAN(Table1[[#This Row],[is_active]]))</f>
        <v>1</v>
      </c>
      <c r="U1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96" s="11" t="str">
        <f>TRIM(IF(Table1[[#This Row],[is_active3]]="Unknown","TRUE",Table1[[#This Row],[is_active3]]))</f>
        <v>TRUE</v>
      </c>
      <c r="W196">
        <v>0.89</v>
      </c>
      <c r="X196">
        <f>IF(Table1[[#This Row],[client_satisfaction]]&gt;1,Table1[[#This Row],[client_satisfaction]]/100,Table1[[#This Row],[client_satisfaction]])</f>
        <v>0.89</v>
      </c>
      <c r="Y196">
        <f>IF(Table1[[#This Row],[client_satisfaction2]]=0,0.75,Table1[[#This Row],[client_satisfaction2]])</f>
        <v>0.89</v>
      </c>
    </row>
    <row r="197" spans="1:25" x14ac:dyDescent="0.25">
      <c r="A197" t="s">
        <v>474</v>
      </c>
      <c r="B197" t="s">
        <v>475</v>
      </c>
      <c r="C197" t="str">
        <f>PROPER(TRIM(SUBSTITUTE(SUBSTITUTE(SUBSTITUTE(Table1[[#This Row],[name]],"Ms. ",""),"Mr. ",""),"Mrs. ","")))</f>
        <v>Zachary Burke</v>
      </c>
      <c r="D197" t="s">
        <v>48</v>
      </c>
      <c r="E1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97">
        <v>52</v>
      </c>
      <c r="G197" t="str">
        <f>TRIM(IF(Table1[[#This Row],[age]]="","Unknown",Table1[[#This Row],[age]]))</f>
        <v>52</v>
      </c>
      <c r="H197" t="s">
        <v>49</v>
      </c>
      <c r="I197" t="s">
        <v>50</v>
      </c>
      <c r="J197" t="s">
        <v>35</v>
      </c>
      <c r="K197">
        <v>33</v>
      </c>
      <c r="L197" s="10" t="str">
        <f>TRIM(IF(Table1[[#This Row],[years_of_experience]]="","Unknown",Table1[[#This Row],[years_of_experience]]))</f>
        <v>33</v>
      </c>
      <c r="M197" t="s">
        <v>229</v>
      </c>
      <c r="N197" t="str">
        <f>IF(Table1[[#This Row],[hourly_rate (USD)]]="",MEDIAN(Table1[hourly_rate (USD)]),Table1[[#This Row],[hourly_rate (USD)]])</f>
        <v>$100</v>
      </c>
      <c r="O197" t="str">
        <f>TRIM(CLEAN(Table1[[#This Row],[Updated hourly_rate (USD)]]))</f>
        <v>$100</v>
      </c>
      <c r="P197" t="str">
        <f>SUBSTITUTE(SUBSTITUTE(Table1[[#This Row],[Formatted hourly rate]],"USD ",""),"$","")</f>
        <v>100</v>
      </c>
      <c r="Q197">
        <v>1.6</v>
      </c>
      <c r="R197">
        <f>IF(Table1[[#This Row],[rating]]="",2.6,Table1[[#This Row],[rating]])</f>
        <v>1.6</v>
      </c>
      <c r="T197" t="str">
        <f>TRIM(CLEAN(Table1[[#This Row],[is_active]]))</f>
        <v/>
      </c>
      <c r="U19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97" s="11" t="str">
        <f>TRIM(IF(Table1[[#This Row],[is_active3]]="Unknown","TRUE",Table1[[#This Row],[is_active3]]))</f>
        <v>TRUE</v>
      </c>
      <c r="W197">
        <v>0.66</v>
      </c>
      <c r="X197">
        <f>IF(Table1[[#This Row],[client_satisfaction]]&gt;1,Table1[[#This Row],[client_satisfaction]]/100,Table1[[#This Row],[client_satisfaction]])</f>
        <v>0.66</v>
      </c>
      <c r="Y197">
        <f>IF(Table1[[#This Row],[client_satisfaction2]]=0,0.75,Table1[[#This Row],[client_satisfaction2]])</f>
        <v>0.66</v>
      </c>
    </row>
    <row r="198" spans="1:25" x14ac:dyDescent="0.25">
      <c r="A198" t="s">
        <v>476</v>
      </c>
      <c r="B198" t="s">
        <v>477</v>
      </c>
      <c r="C198" t="str">
        <f>PROPER(TRIM(SUBSTITUTE(SUBSTITUTE(SUBSTITUTE(Table1[[#This Row],[name]],"Ms. ",""),"Mr. ",""),"Mrs. ","")))</f>
        <v>Thomas Jones</v>
      </c>
      <c r="D198" t="s">
        <v>48</v>
      </c>
      <c r="E1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98">
        <v>34</v>
      </c>
      <c r="G198" t="str">
        <f>TRIM(IF(Table1[[#This Row],[age]]="","Unknown",Table1[[#This Row],[age]]))</f>
        <v>34</v>
      </c>
      <c r="H198" t="s">
        <v>42</v>
      </c>
      <c r="I198" t="s">
        <v>43</v>
      </c>
      <c r="J198" t="s">
        <v>51</v>
      </c>
      <c r="K198">
        <v>6</v>
      </c>
      <c r="L198" s="10" t="str">
        <f>TRIM(IF(Table1[[#This Row],[years_of_experience]]="","Unknown",Table1[[#This Row],[years_of_experience]]))</f>
        <v>6</v>
      </c>
      <c r="M198" t="s">
        <v>229</v>
      </c>
      <c r="N198" t="str">
        <f>IF(Table1[[#This Row],[hourly_rate (USD)]]="",MEDIAN(Table1[hourly_rate (USD)]),Table1[[#This Row],[hourly_rate (USD)]])</f>
        <v>$100</v>
      </c>
      <c r="O198" t="str">
        <f>TRIM(CLEAN(Table1[[#This Row],[Updated hourly_rate (USD)]]))</f>
        <v>$100</v>
      </c>
      <c r="P198" t="str">
        <f>SUBSTITUTE(SUBSTITUTE(Table1[[#This Row],[Formatted hourly rate]],"USD ",""),"$","")</f>
        <v>100</v>
      </c>
      <c r="Q198">
        <v>2</v>
      </c>
      <c r="R198">
        <f>IF(Table1[[#This Row],[rating]]="",2.6,Table1[[#This Row],[rating]])</f>
        <v>2</v>
      </c>
      <c r="S198" t="s">
        <v>159</v>
      </c>
      <c r="T198" t="str">
        <f>TRIM(CLEAN(Table1[[#This Row],[is_active]]))</f>
        <v>no</v>
      </c>
      <c r="U19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198" s="11" t="str">
        <f>TRIM(IF(Table1[[#This Row],[is_active3]]="Unknown","TRUE",Table1[[#This Row],[is_active3]]))</f>
        <v>FALSE</v>
      </c>
      <c r="X198">
        <f>IF(Table1[[#This Row],[client_satisfaction]]&gt;1,Table1[[#This Row],[client_satisfaction]]/100,Table1[[#This Row],[client_satisfaction]])</f>
        <v>0</v>
      </c>
      <c r="Y198">
        <f>IF(Table1[[#This Row],[client_satisfaction2]]=0,0.75,Table1[[#This Row],[client_satisfaction2]])</f>
        <v>0.75</v>
      </c>
    </row>
    <row r="199" spans="1:25" x14ac:dyDescent="0.25">
      <c r="A199" t="s">
        <v>478</v>
      </c>
      <c r="B199" t="s">
        <v>479</v>
      </c>
      <c r="C199" t="str">
        <f>PROPER(TRIM(SUBSTITUTE(SUBSTITUTE(SUBSTITUTE(Table1[[#This Row],[name]],"Ms. ",""),"Mr. ",""),"Mrs. ","")))</f>
        <v>Brian Dunn</v>
      </c>
      <c r="D199" t="s">
        <v>97</v>
      </c>
      <c r="E1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99">
        <v>32</v>
      </c>
      <c r="G199" t="str">
        <f>TRIM(IF(Table1[[#This Row],[age]]="","Unknown",Table1[[#This Row],[age]]))</f>
        <v>32</v>
      </c>
      <c r="H199" t="s">
        <v>135</v>
      </c>
      <c r="I199" t="s">
        <v>136</v>
      </c>
      <c r="J199" t="s">
        <v>114</v>
      </c>
      <c r="K199">
        <v>11</v>
      </c>
      <c r="L199" s="10" t="str">
        <f>TRIM(IF(Table1[[#This Row],[years_of_experience]]="","Unknown",Table1[[#This Row],[years_of_experience]]))</f>
        <v>11</v>
      </c>
      <c r="M199">
        <v>40</v>
      </c>
      <c r="N199">
        <f>IF(Table1[[#This Row],[hourly_rate (USD)]]="",MEDIAN(Table1[hourly_rate (USD)]),Table1[[#This Row],[hourly_rate (USD)]])</f>
        <v>40</v>
      </c>
      <c r="O199" t="str">
        <f>TRIM(CLEAN(Table1[[#This Row],[Updated hourly_rate (USD)]]))</f>
        <v>40</v>
      </c>
      <c r="P199" t="str">
        <f>SUBSTITUTE(SUBSTITUTE(Table1[[#This Row],[Formatted hourly rate]],"USD ",""),"$","")</f>
        <v>40</v>
      </c>
      <c r="Q199">
        <v>4.3</v>
      </c>
      <c r="R199">
        <f>IF(Table1[[#This Row],[rating]]="",2.6,Table1[[#This Row],[rating]])</f>
        <v>4.3</v>
      </c>
      <c r="S199" t="b">
        <v>1</v>
      </c>
      <c r="T199" t="str">
        <f>TRIM(CLEAN(Table1[[#This Row],[is_active]]))</f>
        <v>TRUE</v>
      </c>
      <c r="U19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199" s="11" t="str">
        <f>TRIM(IF(Table1[[#This Row],[is_active3]]="Unknown","TRUE",Table1[[#This Row],[is_active3]]))</f>
        <v>TRUE</v>
      </c>
      <c r="W199">
        <v>0.86</v>
      </c>
      <c r="X199">
        <f>IF(Table1[[#This Row],[client_satisfaction]]&gt;1,Table1[[#This Row],[client_satisfaction]]/100,Table1[[#This Row],[client_satisfaction]])</f>
        <v>0.86</v>
      </c>
      <c r="Y199">
        <f>IF(Table1[[#This Row],[client_satisfaction2]]=0,0.75,Table1[[#This Row],[client_satisfaction2]])</f>
        <v>0.86</v>
      </c>
    </row>
    <row r="200" spans="1:25" x14ac:dyDescent="0.25">
      <c r="A200" t="s">
        <v>480</v>
      </c>
      <c r="B200" t="s">
        <v>481</v>
      </c>
      <c r="C200" t="str">
        <f>PROPER(TRIM(SUBSTITUTE(SUBSTITUTE(SUBSTITUTE(Table1[[#This Row],[name]],"Ms. ",""),"Mr. ",""),"Mrs. ","")))</f>
        <v>Shirley Strickland</v>
      </c>
      <c r="D200" t="s">
        <v>34</v>
      </c>
      <c r="E2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00">
        <v>50</v>
      </c>
      <c r="G200" t="str">
        <f>TRIM(IF(Table1[[#This Row],[age]]="","Unknown",Table1[[#This Row],[age]]))</f>
        <v>50</v>
      </c>
      <c r="H200" t="s">
        <v>93</v>
      </c>
      <c r="I200" t="s">
        <v>94</v>
      </c>
      <c r="J200" t="s">
        <v>30</v>
      </c>
      <c r="K200">
        <v>28</v>
      </c>
      <c r="L200" s="10" t="str">
        <f>TRIM(IF(Table1[[#This Row],[years_of_experience]]="","Unknown",Table1[[#This Row],[years_of_experience]]))</f>
        <v>28</v>
      </c>
      <c r="M200" t="s">
        <v>229</v>
      </c>
      <c r="N200" t="str">
        <f>IF(Table1[[#This Row],[hourly_rate (USD)]]="",MEDIAN(Table1[hourly_rate (USD)]),Table1[[#This Row],[hourly_rate (USD)]])</f>
        <v>$100</v>
      </c>
      <c r="O200" t="str">
        <f>TRIM(CLEAN(Table1[[#This Row],[Updated hourly_rate (USD)]]))</f>
        <v>$100</v>
      </c>
      <c r="P200" t="str">
        <f>SUBSTITUTE(SUBSTITUTE(Table1[[#This Row],[Formatted hourly rate]],"USD ",""),"$","")</f>
        <v>100</v>
      </c>
      <c r="Q200">
        <v>4.9000000000000004</v>
      </c>
      <c r="R200">
        <f>IF(Table1[[#This Row],[rating]]="",2.6,Table1[[#This Row],[rating]])</f>
        <v>4.9000000000000004</v>
      </c>
      <c r="S200" t="s">
        <v>74</v>
      </c>
      <c r="T200" t="str">
        <f>TRIM(CLEAN(Table1[[#This Row],[is_active]]))</f>
        <v>Y</v>
      </c>
      <c r="U2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00" s="11" t="str">
        <f>TRIM(IF(Table1[[#This Row],[is_active3]]="Unknown","TRUE",Table1[[#This Row],[is_active3]]))</f>
        <v>TRUE</v>
      </c>
      <c r="W200">
        <v>0.86</v>
      </c>
      <c r="X200">
        <f>IF(Table1[[#This Row],[client_satisfaction]]&gt;1,Table1[[#This Row],[client_satisfaction]]/100,Table1[[#This Row],[client_satisfaction]])</f>
        <v>0.86</v>
      </c>
      <c r="Y200">
        <f>IF(Table1[[#This Row],[client_satisfaction2]]=0,0.75,Table1[[#This Row],[client_satisfaction2]])</f>
        <v>0.86</v>
      </c>
    </row>
    <row r="201" spans="1:25" x14ac:dyDescent="0.25">
      <c r="A201" t="s">
        <v>482</v>
      </c>
      <c r="B201" t="s">
        <v>483</v>
      </c>
      <c r="C201" t="str">
        <f>PROPER(TRIM(SUBSTITUTE(SUBSTITUTE(SUBSTITUTE(Table1[[#This Row],[name]],"Ms. ",""),"Mr. ",""),"Mrs. ","")))</f>
        <v>Nicole Meyers</v>
      </c>
      <c r="D201" t="s">
        <v>39</v>
      </c>
      <c r="E2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01">
        <v>39</v>
      </c>
      <c r="G201" t="str">
        <f>TRIM(IF(Table1[[#This Row],[age]]="","Unknown",Table1[[#This Row],[age]]))</f>
        <v>39</v>
      </c>
      <c r="H201" t="s">
        <v>71</v>
      </c>
      <c r="I201" t="s">
        <v>72</v>
      </c>
      <c r="J201" t="s">
        <v>51</v>
      </c>
      <c r="K201">
        <v>11</v>
      </c>
      <c r="L201" s="10" t="str">
        <f>TRIM(IF(Table1[[#This Row],[years_of_experience]]="","Unknown",Table1[[#This Row],[years_of_experience]]))</f>
        <v>11</v>
      </c>
      <c r="M201">
        <v>100</v>
      </c>
      <c r="N201">
        <f>IF(Table1[[#This Row],[hourly_rate (USD)]]="",MEDIAN(Table1[hourly_rate (USD)]),Table1[[#This Row],[hourly_rate (USD)]])</f>
        <v>100</v>
      </c>
      <c r="O201" t="str">
        <f>TRIM(CLEAN(Table1[[#This Row],[Updated hourly_rate (USD)]]))</f>
        <v>100</v>
      </c>
      <c r="P201" t="str">
        <f>SUBSTITUTE(SUBSTITUTE(Table1[[#This Row],[Formatted hourly rate]],"USD ",""),"$","")</f>
        <v>100</v>
      </c>
      <c r="Q201">
        <v>3.5</v>
      </c>
      <c r="R201">
        <f>IF(Table1[[#This Row],[rating]]="",2.6,Table1[[#This Row],[rating]])</f>
        <v>3.5</v>
      </c>
      <c r="S201" t="s">
        <v>74</v>
      </c>
      <c r="T201" t="str">
        <f>TRIM(CLEAN(Table1[[#This Row],[is_active]]))</f>
        <v>Y</v>
      </c>
      <c r="U20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01" s="11" t="str">
        <f>TRIM(IF(Table1[[#This Row],[is_active3]]="Unknown","TRUE",Table1[[#This Row],[is_active3]]))</f>
        <v>TRUE</v>
      </c>
      <c r="W201">
        <v>0.82</v>
      </c>
      <c r="X201">
        <f>IF(Table1[[#This Row],[client_satisfaction]]&gt;1,Table1[[#This Row],[client_satisfaction]]/100,Table1[[#This Row],[client_satisfaction]])</f>
        <v>0.82</v>
      </c>
      <c r="Y201">
        <f>IF(Table1[[#This Row],[client_satisfaction2]]=0,0.75,Table1[[#This Row],[client_satisfaction2]])</f>
        <v>0.82</v>
      </c>
    </row>
    <row r="202" spans="1:25" x14ac:dyDescent="0.25">
      <c r="A202" t="s">
        <v>484</v>
      </c>
      <c r="B202" t="s">
        <v>485</v>
      </c>
      <c r="C202" t="str">
        <f>PROPER(TRIM(SUBSTITUTE(SUBSTITUTE(SUBSTITUTE(Table1[[#This Row],[name]],"Ms. ",""),"Mr. ",""),"Mrs. ","")))</f>
        <v>Jill Stephens</v>
      </c>
      <c r="D202" t="s">
        <v>14</v>
      </c>
      <c r="E2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02">
        <v>25</v>
      </c>
      <c r="G202" t="str">
        <f>TRIM(IF(Table1[[#This Row],[age]]="","Unknown",Table1[[#This Row],[age]]))</f>
        <v>25</v>
      </c>
      <c r="H202" t="s">
        <v>190</v>
      </c>
      <c r="I202" t="s">
        <v>72</v>
      </c>
      <c r="J202" t="s">
        <v>44</v>
      </c>
      <c r="K202">
        <v>2</v>
      </c>
      <c r="L202" s="10" t="str">
        <f>TRIM(IF(Table1[[#This Row],[years_of_experience]]="","Unknown",Table1[[#This Row],[years_of_experience]]))</f>
        <v>2</v>
      </c>
      <c r="M202">
        <v>100</v>
      </c>
      <c r="N202">
        <f>IF(Table1[[#This Row],[hourly_rate (USD)]]="",MEDIAN(Table1[hourly_rate (USD)]),Table1[[#This Row],[hourly_rate (USD)]])</f>
        <v>100</v>
      </c>
      <c r="O202" t="str">
        <f>TRIM(CLEAN(Table1[[#This Row],[Updated hourly_rate (USD)]]))</f>
        <v>100</v>
      </c>
      <c r="P202" t="str">
        <f>SUBSTITUTE(SUBSTITUTE(Table1[[#This Row],[Formatted hourly rate]],"USD ",""),"$","")</f>
        <v>100</v>
      </c>
      <c r="Q202">
        <v>2.5</v>
      </c>
      <c r="R202">
        <f>IF(Table1[[#This Row],[rating]]="",2.6,Table1[[#This Row],[rating]])</f>
        <v>2.5</v>
      </c>
      <c r="S202" t="s">
        <v>159</v>
      </c>
      <c r="T202" t="str">
        <f>TRIM(CLEAN(Table1[[#This Row],[is_active]]))</f>
        <v>no</v>
      </c>
      <c r="U20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02" s="11" t="str">
        <f>TRIM(IF(Table1[[#This Row],[is_active3]]="Unknown","TRUE",Table1[[#This Row],[is_active3]]))</f>
        <v>FALSE</v>
      </c>
      <c r="W202">
        <v>87</v>
      </c>
      <c r="X202">
        <f>IF(Table1[[#This Row],[client_satisfaction]]&gt;1,Table1[[#This Row],[client_satisfaction]]/100,Table1[[#This Row],[client_satisfaction]])</f>
        <v>0.87</v>
      </c>
      <c r="Y202">
        <f>IF(Table1[[#This Row],[client_satisfaction2]]=0,0.75,Table1[[#This Row],[client_satisfaction2]])</f>
        <v>0.87</v>
      </c>
    </row>
    <row r="203" spans="1:25" x14ac:dyDescent="0.25">
      <c r="A203" t="s">
        <v>486</v>
      </c>
      <c r="B203" t="s">
        <v>487</v>
      </c>
      <c r="C203" t="str">
        <f>PROPER(TRIM(SUBSTITUTE(SUBSTITUTE(SUBSTITUTE(Table1[[#This Row],[name]],"Ms. ",""),"Mr. ",""),"Mrs. ","")))</f>
        <v>Heidi Miranda</v>
      </c>
      <c r="D203" t="s">
        <v>20</v>
      </c>
      <c r="E2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03">
        <v>55</v>
      </c>
      <c r="G203" t="str">
        <f>TRIM(IF(Table1[[#This Row],[age]]="","Unknown",Table1[[#This Row],[age]]))</f>
        <v>55</v>
      </c>
      <c r="H203" t="s">
        <v>175</v>
      </c>
      <c r="I203" t="s">
        <v>176</v>
      </c>
      <c r="J203" t="s">
        <v>114</v>
      </c>
      <c r="K203">
        <v>7</v>
      </c>
      <c r="L203" s="10" t="str">
        <f>TRIM(IF(Table1[[#This Row],[years_of_experience]]="","Unknown",Table1[[#This Row],[years_of_experience]]))</f>
        <v>7</v>
      </c>
      <c r="M203">
        <v>100</v>
      </c>
      <c r="N203">
        <f>IF(Table1[[#This Row],[hourly_rate (USD)]]="",MEDIAN(Table1[hourly_rate (USD)]),Table1[[#This Row],[hourly_rate (USD)]])</f>
        <v>100</v>
      </c>
      <c r="O203" t="str">
        <f>TRIM(CLEAN(Table1[[#This Row],[Updated hourly_rate (USD)]]))</f>
        <v>100</v>
      </c>
      <c r="P203" t="str">
        <f>SUBSTITUTE(SUBSTITUTE(Table1[[#This Row],[Formatted hourly rate]],"USD ",""),"$","")</f>
        <v>100</v>
      </c>
      <c r="Q203">
        <v>1.7</v>
      </c>
      <c r="R203">
        <f>IF(Table1[[#This Row],[rating]]="",2.6,Table1[[#This Row],[rating]])</f>
        <v>1.7</v>
      </c>
      <c r="S203">
        <v>1</v>
      </c>
      <c r="T203" t="str">
        <f>TRIM(CLEAN(Table1[[#This Row],[is_active]]))</f>
        <v>1</v>
      </c>
      <c r="U20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03" s="11" t="str">
        <f>TRIM(IF(Table1[[#This Row],[is_active3]]="Unknown","TRUE",Table1[[#This Row],[is_active3]]))</f>
        <v>TRUE</v>
      </c>
      <c r="W203">
        <v>0.8</v>
      </c>
      <c r="X203">
        <f>IF(Table1[[#This Row],[client_satisfaction]]&gt;1,Table1[[#This Row],[client_satisfaction]]/100,Table1[[#This Row],[client_satisfaction]])</f>
        <v>0.8</v>
      </c>
      <c r="Y203">
        <f>IF(Table1[[#This Row],[client_satisfaction2]]=0,0.75,Table1[[#This Row],[client_satisfaction2]])</f>
        <v>0.8</v>
      </c>
    </row>
    <row r="204" spans="1:25" x14ac:dyDescent="0.25">
      <c r="A204" t="s">
        <v>488</v>
      </c>
      <c r="B204" t="s">
        <v>489</v>
      </c>
      <c r="C204" t="str">
        <f>PROPER(TRIM(SUBSTITUTE(SUBSTITUTE(SUBSTITUTE(Table1[[#This Row],[name]],"Ms. ",""),"Mr. ",""),"Mrs. ","")))</f>
        <v>Jesus Martinez</v>
      </c>
      <c r="D204" t="s">
        <v>48</v>
      </c>
      <c r="E2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04">
        <v>42</v>
      </c>
      <c r="G204" t="str">
        <f>TRIM(IF(Table1[[#This Row],[age]]="","Unknown",Table1[[#This Row],[age]]))</f>
        <v>42</v>
      </c>
      <c r="H204" t="s">
        <v>15</v>
      </c>
      <c r="I204" t="s">
        <v>16</v>
      </c>
      <c r="J204" t="s">
        <v>89</v>
      </c>
      <c r="K204">
        <v>10</v>
      </c>
      <c r="L204" s="10" t="str">
        <f>TRIM(IF(Table1[[#This Row],[years_of_experience]]="","Unknown",Table1[[#This Row],[years_of_experience]]))</f>
        <v>10</v>
      </c>
      <c r="M204" t="s">
        <v>24</v>
      </c>
      <c r="N204" t="str">
        <f>IF(Table1[[#This Row],[hourly_rate (USD)]]="",MEDIAN(Table1[hourly_rate (USD)]),Table1[[#This Row],[hourly_rate (USD)]])</f>
        <v>USD 100</v>
      </c>
      <c r="O204" t="str">
        <f>TRIM(CLEAN(Table1[[#This Row],[Updated hourly_rate (USD)]]))</f>
        <v>USD 100</v>
      </c>
      <c r="P204" t="str">
        <f>SUBSTITUTE(SUBSTITUTE(Table1[[#This Row],[Formatted hourly rate]],"USD ",""),"$","")</f>
        <v>100</v>
      </c>
      <c r="Q204">
        <v>4.5999999999999996</v>
      </c>
      <c r="R204">
        <f>IF(Table1[[#This Row],[rating]]="",2.6,Table1[[#This Row],[rating]])</f>
        <v>4.5999999999999996</v>
      </c>
      <c r="S204" t="s">
        <v>74</v>
      </c>
      <c r="T204" t="str">
        <f>TRIM(CLEAN(Table1[[#This Row],[is_active]]))</f>
        <v>Y</v>
      </c>
      <c r="U20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04" s="11" t="str">
        <f>TRIM(IF(Table1[[#This Row],[is_active3]]="Unknown","TRUE",Table1[[#This Row],[is_active3]]))</f>
        <v>TRUE</v>
      </c>
      <c r="W204">
        <v>0.71</v>
      </c>
      <c r="X204">
        <f>IF(Table1[[#This Row],[client_satisfaction]]&gt;1,Table1[[#This Row],[client_satisfaction]]/100,Table1[[#This Row],[client_satisfaction]])</f>
        <v>0.71</v>
      </c>
      <c r="Y204">
        <f>IF(Table1[[#This Row],[client_satisfaction2]]=0,0.75,Table1[[#This Row],[client_satisfaction2]])</f>
        <v>0.71</v>
      </c>
    </row>
    <row r="205" spans="1:25" x14ac:dyDescent="0.25">
      <c r="A205" t="s">
        <v>490</v>
      </c>
      <c r="B205" t="s">
        <v>491</v>
      </c>
      <c r="C205" t="str">
        <f>PROPER(TRIM(SUBSTITUTE(SUBSTITUTE(SUBSTITUTE(Table1[[#This Row],[name]],"Ms. ",""),"Mr. ",""),"Mrs. ","")))</f>
        <v>Adam Payne</v>
      </c>
      <c r="D205" t="s">
        <v>27</v>
      </c>
      <c r="E2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05">
        <v>43</v>
      </c>
      <c r="G205" t="str">
        <f>TRIM(IF(Table1[[#This Row],[age]]="","Unknown",Table1[[#This Row],[age]]))</f>
        <v>43</v>
      </c>
      <c r="H205" t="s">
        <v>124</v>
      </c>
      <c r="I205" t="s">
        <v>125</v>
      </c>
      <c r="J205" t="s">
        <v>23</v>
      </c>
      <c r="K205">
        <v>6</v>
      </c>
      <c r="L205" s="10" t="str">
        <f>TRIM(IF(Table1[[#This Row],[years_of_experience]]="","Unknown",Table1[[#This Row],[years_of_experience]]))</f>
        <v>6</v>
      </c>
      <c r="M205">
        <v>50</v>
      </c>
      <c r="N205">
        <f>IF(Table1[[#This Row],[hourly_rate (USD)]]="",MEDIAN(Table1[hourly_rate (USD)]),Table1[[#This Row],[hourly_rate (USD)]])</f>
        <v>50</v>
      </c>
      <c r="O205" t="str">
        <f>TRIM(CLEAN(Table1[[#This Row],[Updated hourly_rate (USD)]]))</f>
        <v>50</v>
      </c>
      <c r="P205" t="str">
        <f>SUBSTITUTE(SUBSTITUTE(Table1[[#This Row],[Formatted hourly rate]],"USD ",""),"$","")</f>
        <v>50</v>
      </c>
      <c r="R205">
        <f>IF(Table1[[#This Row],[rating]]="",2.6,Table1[[#This Row],[rating]])</f>
        <v>2.6</v>
      </c>
      <c r="S205" t="s">
        <v>31</v>
      </c>
      <c r="T205" t="str">
        <f>TRIM(CLEAN(Table1[[#This Row],[is_active]]))</f>
        <v>N</v>
      </c>
      <c r="U20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05" s="11" t="str">
        <f>TRIM(IF(Table1[[#This Row],[is_active3]]="Unknown","TRUE",Table1[[#This Row],[is_active3]]))</f>
        <v>FALSE</v>
      </c>
      <c r="W205">
        <v>0.77</v>
      </c>
      <c r="X205">
        <f>IF(Table1[[#This Row],[client_satisfaction]]&gt;1,Table1[[#This Row],[client_satisfaction]]/100,Table1[[#This Row],[client_satisfaction]])</f>
        <v>0.77</v>
      </c>
      <c r="Y205">
        <f>IF(Table1[[#This Row],[client_satisfaction2]]=0,0.75,Table1[[#This Row],[client_satisfaction2]])</f>
        <v>0.77</v>
      </c>
    </row>
    <row r="206" spans="1:25" x14ac:dyDescent="0.25">
      <c r="A206" t="s">
        <v>492</v>
      </c>
      <c r="B206" t="s">
        <v>493</v>
      </c>
      <c r="C206" t="str">
        <f>PROPER(TRIM(SUBSTITUTE(SUBSTITUTE(SUBSTITUTE(Table1[[#This Row],[name]],"Ms. ",""),"Mr. ",""),"Mrs. ","")))</f>
        <v>Walter Williams</v>
      </c>
      <c r="D206" t="s">
        <v>48</v>
      </c>
      <c r="E2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06">
        <v>54</v>
      </c>
      <c r="G206" t="str">
        <f>TRIM(IF(Table1[[#This Row],[age]]="","Unknown",Table1[[#This Row],[age]]))</f>
        <v>54</v>
      </c>
      <c r="H206" t="s">
        <v>15</v>
      </c>
      <c r="I206" t="s">
        <v>16</v>
      </c>
      <c r="J206" t="s">
        <v>89</v>
      </c>
      <c r="K206">
        <v>29</v>
      </c>
      <c r="L206" s="10" t="str">
        <f>TRIM(IF(Table1[[#This Row],[years_of_experience]]="","Unknown",Table1[[#This Row],[years_of_experience]]))</f>
        <v>29</v>
      </c>
      <c r="M206" t="s">
        <v>45</v>
      </c>
      <c r="N206" t="str">
        <f>IF(Table1[[#This Row],[hourly_rate (USD)]]="",MEDIAN(Table1[hourly_rate (USD)]),Table1[[#This Row],[hourly_rate (USD)]])</f>
        <v>$30</v>
      </c>
      <c r="O206" t="str">
        <f>TRIM(CLEAN(Table1[[#This Row],[Updated hourly_rate (USD)]]))</f>
        <v>$30</v>
      </c>
      <c r="P206" t="str">
        <f>SUBSTITUTE(SUBSTITUTE(Table1[[#This Row],[Formatted hourly rate]],"USD ",""),"$","")</f>
        <v>30</v>
      </c>
      <c r="Q206">
        <v>1.7</v>
      </c>
      <c r="R206">
        <f>IF(Table1[[#This Row],[rating]]="",2.6,Table1[[#This Row],[rating]])</f>
        <v>1.7</v>
      </c>
      <c r="S206">
        <v>0</v>
      </c>
      <c r="T206" t="str">
        <f>TRIM(CLEAN(Table1[[#This Row],[is_active]]))</f>
        <v>0</v>
      </c>
      <c r="U20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06" s="11" t="str">
        <f>TRIM(IF(Table1[[#This Row],[is_active3]]="Unknown","TRUE",Table1[[#This Row],[is_active3]]))</f>
        <v>FALSE</v>
      </c>
      <c r="W206">
        <v>68</v>
      </c>
      <c r="X206">
        <f>IF(Table1[[#This Row],[client_satisfaction]]&gt;1,Table1[[#This Row],[client_satisfaction]]/100,Table1[[#This Row],[client_satisfaction]])</f>
        <v>0.68</v>
      </c>
      <c r="Y206">
        <f>IF(Table1[[#This Row],[client_satisfaction2]]=0,0.75,Table1[[#This Row],[client_satisfaction2]])</f>
        <v>0.68</v>
      </c>
    </row>
    <row r="207" spans="1:25" x14ac:dyDescent="0.25">
      <c r="A207" t="s">
        <v>494</v>
      </c>
      <c r="B207" t="s">
        <v>495</v>
      </c>
      <c r="C207" t="str">
        <f>PROPER(TRIM(SUBSTITUTE(SUBSTITUTE(SUBSTITUTE(Table1[[#This Row],[name]],"Ms. ",""),"Mr. ",""),"Mrs. ","")))</f>
        <v>Shannon Farmer</v>
      </c>
      <c r="D207" t="s">
        <v>20</v>
      </c>
      <c r="E2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07">
        <v>21</v>
      </c>
      <c r="G207" t="str">
        <f>TRIM(IF(Table1[[#This Row],[age]]="","Unknown",Table1[[#This Row],[age]]))</f>
        <v>21</v>
      </c>
      <c r="H207" t="s">
        <v>139</v>
      </c>
      <c r="I207" t="s">
        <v>140</v>
      </c>
      <c r="J207" t="s">
        <v>30</v>
      </c>
      <c r="K207">
        <v>0</v>
      </c>
      <c r="L207" s="10" t="str">
        <f>TRIM(IF(Table1[[#This Row],[years_of_experience]]="","Unknown",Table1[[#This Row],[years_of_experience]]))</f>
        <v>0</v>
      </c>
      <c r="M207">
        <v>20</v>
      </c>
      <c r="N207">
        <f>IF(Table1[[#This Row],[hourly_rate (USD)]]="",MEDIAN(Table1[hourly_rate (USD)]),Table1[[#This Row],[hourly_rate (USD)]])</f>
        <v>20</v>
      </c>
      <c r="O207" t="str">
        <f>TRIM(CLEAN(Table1[[#This Row],[Updated hourly_rate (USD)]]))</f>
        <v>20</v>
      </c>
      <c r="P207" t="str">
        <f>SUBSTITUTE(SUBSTITUTE(Table1[[#This Row],[Formatted hourly rate]],"USD ",""),"$","")</f>
        <v>20</v>
      </c>
      <c r="Q207">
        <v>1.8</v>
      </c>
      <c r="R207">
        <f>IF(Table1[[#This Row],[rating]]="",2.6,Table1[[#This Row],[rating]])</f>
        <v>1.8</v>
      </c>
      <c r="S207" t="s">
        <v>31</v>
      </c>
      <c r="T207" t="str">
        <f>TRIM(CLEAN(Table1[[#This Row],[is_active]]))</f>
        <v>N</v>
      </c>
      <c r="U20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07" s="11" t="str">
        <f>TRIM(IF(Table1[[#This Row],[is_active3]]="Unknown","TRUE",Table1[[#This Row],[is_active3]]))</f>
        <v>FALSE</v>
      </c>
      <c r="W207">
        <v>0.91</v>
      </c>
      <c r="X207">
        <f>IF(Table1[[#This Row],[client_satisfaction]]&gt;1,Table1[[#This Row],[client_satisfaction]]/100,Table1[[#This Row],[client_satisfaction]])</f>
        <v>0.91</v>
      </c>
      <c r="Y207">
        <f>IF(Table1[[#This Row],[client_satisfaction2]]=0,0.75,Table1[[#This Row],[client_satisfaction2]])</f>
        <v>0.91</v>
      </c>
    </row>
    <row r="208" spans="1:25" x14ac:dyDescent="0.25">
      <c r="A208" t="s">
        <v>496</v>
      </c>
      <c r="B208" t="s">
        <v>497</v>
      </c>
      <c r="C208" t="str">
        <f>PROPER(TRIM(SUBSTITUTE(SUBSTITUTE(SUBSTITUTE(Table1[[#This Row],[name]],"Ms. ",""),"Mr. ",""),"Mrs. ","")))</f>
        <v>Peter Reyes</v>
      </c>
      <c r="D208" t="s">
        <v>48</v>
      </c>
      <c r="E2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08">
        <v>46</v>
      </c>
      <c r="G208" t="str">
        <f>TRIM(IF(Table1[[#This Row],[age]]="","Unknown",Table1[[#This Row],[age]]))</f>
        <v>46</v>
      </c>
      <c r="H208" t="s">
        <v>128</v>
      </c>
      <c r="I208" t="s">
        <v>22</v>
      </c>
      <c r="J208" t="s">
        <v>73</v>
      </c>
      <c r="K208">
        <v>5</v>
      </c>
      <c r="L208" s="10" t="str">
        <f>TRIM(IF(Table1[[#This Row],[years_of_experience]]="","Unknown",Table1[[#This Row],[years_of_experience]]))</f>
        <v>5</v>
      </c>
      <c r="M208">
        <v>20</v>
      </c>
      <c r="N208">
        <f>IF(Table1[[#This Row],[hourly_rate (USD)]]="",MEDIAN(Table1[hourly_rate (USD)]),Table1[[#This Row],[hourly_rate (USD)]])</f>
        <v>20</v>
      </c>
      <c r="O208" t="str">
        <f>TRIM(CLEAN(Table1[[#This Row],[Updated hourly_rate (USD)]]))</f>
        <v>20</v>
      </c>
      <c r="P208" t="str">
        <f>SUBSTITUTE(SUBSTITUTE(Table1[[#This Row],[Formatted hourly rate]],"USD ",""),"$","")</f>
        <v>20</v>
      </c>
      <c r="Q208">
        <v>2.2000000000000002</v>
      </c>
      <c r="R208">
        <f>IF(Table1[[#This Row],[rating]]="",2.6,Table1[[#This Row],[rating]])</f>
        <v>2.2000000000000002</v>
      </c>
      <c r="S208" t="b">
        <v>0</v>
      </c>
      <c r="T208" t="str">
        <f>TRIM(CLEAN(Table1[[#This Row],[is_active]]))</f>
        <v>FALSE</v>
      </c>
      <c r="U20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08" s="11" t="str">
        <f>TRIM(IF(Table1[[#This Row],[is_active3]]="Unknown","TRUE",Table1[[#This Row],[is_active3]]))</f>
        <v>TRUE</v>
      </c>
      <c r="W208">
        <v>0.75</v>
      </c>
      <c r="X208">
        <f>IF(Table1[[#This Row],[client_satisfaction]]&gt;1,Table1[[#This Row],[client_satisfaction]]/100,Table1[[#This Row],[client_satisfaction]])</f>
        <v>0.75</v>
      </c>
      <c r="Y208">
        <f>IF(Table1[[#This Row],[client_satisfaction2]]=0,0.75,Table1[[#This Row],[client_satisfaction2]])</f>
        <v>0.75</v>
      </c>
    </row>
    <row r="209" spans="1:25" x14ac:dyDescent="0.25">
      <c r="A209" t="s">
        <v>498</v>
      </c>
      <c r="B209" t="s">
        <v>499</v>
      </c>
      <c r="C209" t="str">
        <f>PROPER(TRIM(SUBSTITUTE(SUBSTITUTE(SUBSTITUTE(Table1[[#This Row],[name]],"Ms. ",""),"Mr. ",""),"Mrs. ","")))</f>
        <v>Kristen Knight</v>
      </c>
      <c r="D209" t="s">
        <v>14</v>
      </c>
      <c r="E2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09">
        <v>30</v>
      </c>
      <c r="G209" t="str">
        <f>TRIM(IF(Table1[[#This Row],[age]]="","Unknown",Table1[[#This Row],[age]]))</f>
        <v>30</v>
      </c>
      <c r="H209" t="s">
        <v>190</v>
      </c>
      <c r="I209" t="s">
        <v>72</v>
      </c>
      <c r="J209" t="s">
        <v>17</v>
      </c>
      <c r="K209">
        <v>11</v>
      </c>
      <c r="L209" s="10" t="str">
        <f>TRIM(IF(Table1[[#This Row],[years_of_experience]]="","Unknown",Table1[[#This Row],[years_of_experience]]))</f>
        <v>11</v>
      </c>
      <c r="M209">
        <v>40</v>
      </c>
      <c r="N209">
        <f>IF(Table1[[#This Row],[hourly_rate (USD)]]="",MEDIAN(Table1[hourly_rate (USD)]),Table1[[#This Row],[hourly_rate (USD)]])</f>
        <v>40</v>
      </c>
      <c r="O209" t="str">
        <f>TRIM(CLEAN(Table1[[#This Row],[Updated hourly_rate (USD)]]))</f>
        <v>40</v>
      </c>
      <c r="P209" t="str">
        <f>SUBSTITUTE(SUBSTITUTE(Table1[[#This Row],[Formatted hourly rate]],"USD ",""),"$","")</f>
        <v>40</v>
      </c>
      <c r="Q209">
        <v>1</v>
      </c>
      <c r="R209">
        <f>IF(Table1[[#This Row],[rating]]="",2.6,Table1[[#This Row],[rating]])</f>
        <v>1</v>
      </c>
      <c r="S209" t="s">
        <v>31</v>
      </c>
      <c r="T209" t="str">
        <f>TRIM(CLEAN(Table1[[#This Row],[is_active]]))</f>
        <v>N</v>
      </c>
      <c r="U20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09" s="11" t="str">
        <f>TRIM(IF(Table1[[#This Row],[is_active3]]="Unknown","TRUE",Table1[[#This Row],[is_active3]]))</f>
        <v>FALSE</v>
      </c>
      <c r="W209">
        <v>0.9</v>
      </c>
      <c r="X209">
        <f>IF(Table1[[#This Row],[client_satisfaction]]&gt;1,Table1[[#This Row],[client_satisfaction]]/100,Table1[[#This Row],[client_satisfaction]])</f>
        <v>0.9</v>
      </c>
      <c r="Y209">
        <f>IF(Table1[[#This Row],[client_satisfaction2]]=0,0.75,Table1[[#This Row],[client_satisfaction2]])</f>
        <v>0.9</v>
      </c>
    </row>
    <row r="210" spans="1:25" x14ac:dyDescent="0.25">
      <c r="A210" t="s">
        <v>500</v>
      </c>
      <c r="B210" t="s">
        <v>501</v>
      </c>
      <c r="C210" t="str">
        <f>PROPER(TRIM(SUBSTITUTE(SUBSTITUTE(SUBSTITUTE(Table1[[#This Row],[name]],"Ms. ",""),"Mr. ",""),"Mrs. ","")))</f>
        <v>William Moore Jr.</v>
      </c>
      <c r="D210" t="s">
        <v>27</v>
      </c>
      <c r="E2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10">
        <v>36</v>
      </c>
      <c r="G210" t="str">
        <f>TRIM(IF(Table1[[#This Row],[age]]="","Unknown",Table1[[#This Row],[age]]))</f>
        <v>36</v>
      </c>
      <c r="H210" t="s">
        <v>175</v>
      </c>
      <c r="I210" t="s">
        <v>176</v>
      </c>
      <c r="J210" t="s">
        <v>114</v>
      </c>
      <c r="K210">
        <v>11</v>
      </c>
      <c r="L210" s="10" t="str">
        <f>TRIM(IF(Table1[[#This Row],[years_of_experience]]="","Unknown",Table1[[#This Row],[years_of_experience]]))</f>
        <v>11</v>
      </c>
      <c r="M210" t="s">
        <v>170</v>
      </c>
      <c r="N210" t="str">
        <f>IF(Table1[[#This Row],[hourly_rate (USD)]]="",MEDIAN(Table1[hourly_rate (USD)]),Table1[[#This Row],[hourly_rate (USD)]])</f>
        <v>$75</v>
      </c>
      <c r="O210" t="str">
        <f>TRIM(CLEAN(Table1[[#This Row],[Updated hourly_rate (USD)]]))</f>
        <v>$75</v>
      </c>
      <c r="P210" t="str">
        <f>SUBSTITUTE(SUBSTITUTE(Table1[[#This Row],[Formatted hourly rate]],"USD ",""),"$","")</f>
        <v>75</v>
      </c>
      <c r="Q210">
        <v>3.2</v>
      </c>
      <c r="R210">
        <f>IF(Table1[[#This Row],[rating]]="",2.6,Table1[[#This Row],[rating]])</f>
        <v>3.2</v>
      </c>
      <c r="S210">
        <v>0</v>
      </c>
      <c r="T210" t="str">
        <f>TRIM(CLEAN(Table1[[#This Row],[is_active]]))</f>
        <v>0</v>
      </c>
      <c r="U21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10" s="11" t="str">
        <f>TRIM(IF(Table1[[#This Row],[is_active3]]="Unknown","TRUE",Table1[[#This Row],[is_active3]]))</f>
        <v>FALSE</v>
      </c>
      <c r="W210">
        <v>93</v>
      </c>
      <c r="X210">
        <f>IF(Table1[[#This Row],[client_satisfaction]]&gt;1,Table1[[#This Row],[client_satisfaction]]/100,Table1[[#This Row],[client_satisfaction]])</f>
        <v>0.93</v>
      </c>
      <c r="Y210">
        <f>IF(Table1[[#This Row],[client_satisfaction2]]=0,0.75,Table1[[#This Row],[client_satisfaction2]])</f>
        <v>0.93</v>
      </c>
    </row>
    <row r="211" spans="1:25" x14ac:dyDescent="0.25">
      <c r="A211" t="s">
        <v>502</v>
      </c>
      <c r="B211" t="s">
        <v>503</v>
      </c>
      <c r="C211" t="str">
        <f>PROPER(TRIM(SUBSTITUTE(SUBSTITUTE(SUBSTITUTE(Table1[[#This Row],[name]],"Ms. ",""),"Mr. ",""),"Mrs. ","")))</f>
        <v>Jennifer Rowe</v>
      </c>
      <c r="D211" t="s">
        <v>77</v>
      </c>
      <c r="E2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11">
        <v>47</v>
      </c>
      <c r="G211" t="str">
        <f>TRIM(IF(Table1[[#This Row],[age]]="","Unknown",Table1[[#This Row],[age]]))</f>
        <v>47</v>
      </c>
      <c r="H211" t="s">
        <v>28</v>
      </c>
      <c r="I211" t="s">
        <v>29</v>
      </c>
      <c r="J211" t="s">
        <v>51</v>
      </c>
      <c r="K211">
        <v>15</v>
      </c>
      <c r="L211" s="10" t="str">
        <f>TRIM(IF(Table1[[#This Row],[years_of_experience]]="","Unknown",Table1[[#This Row],[years_of_experience]]))</f>
        <v>15</v>
      </c>
      <c r="M211">
        <v>40</v>
      </c>
      <c r="N211">
        <f>IF(Table1[[#This Row],[hourly_rate (USD)]]="",MEDIAN(Table1[hourly_rate (USD)]),Table1[[#This Row],[hourly_rate (USD)]])</f>
        <v>40</v>
      </c>
      <c r="O211" t="str">
        <f>TRIM(CLEAN(Table1[[#This Row],[Updated hourly_rate (USD)]]))</f>
        <v>40</v>
      </c>
      <c r="P211" t="str">
        <f>SUBSTITUTE(SUBSTITUTE(Table1[[#This Row],[Formatted hourly rate]],"USD ",""),"$","")</f>
        <v>40</v>
      </c>
      <c r="Q211">
        <v>2.1</v>
      </c>
      <c r="R211">
        <f>IF(Table1[[#This Row],[rating]]="",2.6,Table1[[#This Row],[rating]])</f>
        <v>2.1</v>
      </c>
      <c r="S211" t="s">
        <v>68</v>
      </c>
      <c r="T211" t="str">
        <f>TRIM(CLEAN(Table1[[#This Row],[is_active]]))</f>
        <v>yes</v>
      </c>
      <c r="U21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11" s="11" t="str">
        <f>TRIM(IF(Table1[[#This Row],[is_active3]]="Unknown","TRUE",Table1[[#This Row],[is_active3]]))</f>
        <v>TRUE</v>
      </c>
      <c r="W211">
        <v>0.94</v>
      </c>
      <c r="X211">
        <f>IF(Table1[[#This Row],[client_satisfaction]]&gt;1,Table1[[#This Row],[client_satisfaction]]/100,Table1[[#This Row],[client_satisfaction]])</f>
        <v>0.94</v>
      </c>
      <c r="Y211">
        <f>IF(Table1[[#This Row],[client_satisfaction2]]=0,0.75,Table1[[#This Row],[client_satisfaction2]])</f>
        <v>0.94</v>
      </c>
    </row>
    <row r="212" spans="1:25" x14ac:dyDescent="0.25">
      <c r="A212" t="s">
        <v>504</v>
      </c>
      <c r="B212" t="s">
        <v>505</v>
      </c>
      <c r="C212" t="str">
        <f>PROPER(TRIM(SUBSTITUTE(SUBSTITUTE(SUBSTITUTE(Table1[[#This Row],[name]],"Ms. ",""),"Mr. ",""),"Mrs. ","")))</f>
        <v>Mikayla Henry</v>
      </c>
      <c r="D212" t="s">
        <v>34</v>
      </c>
      <c r="E2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12">
        <v>43</v>
      </c>
      <c r="G212" t="str">
        <f>TRIM(IF(Table1[[#This Row],[age]]="","Unknown",Table1[[#This Row],[age]]))</f>
        <v>43</v>
      </c>
      <c r="H212" t="s">
        <v>128</v>
      </c>
      <c r="I212" t="s">
        <v>22</v>
      </c>
      <c r="J212" t="s">
        <v>23</v>
      </c>
      <c r="K212">
        <v>1</v>
      </c>
      <c r="L212" s="10" t="str">
        <f>TRIM(IF(Table1[[#This Row],[years_of_experience]]="","Unknown",Table1[[#This Row],[years_of_experience]]))</f>
        <v>1</v>
      </c>
      <c r="M212" t="s">
        <v>98</v>
      </c>
      <c r="N212" t="str">
        <f>IF(Table1[[#This Row],[hourly_rate (USD)]]="",MEDIAN(Table1[hourly_rate (USD)]),Table1[[#This Row],[hourly_rate (USD)]])</f>
        <v>USD 50</v>
      </c>
      <c r="O212" t="str">
        <f>TRIM(CLEAN(Table1[[#This Row],[Updated hourly_rate (USD)]]))</f>
        <v>USD 50</v>
      </c>
      <c r="P212" t="str">
        <f>SUBSTITUTE(SUBSTITUTE(Table1[[#This Row],[Formatted hourly rate]],"USD ",""),"$","")</f>
        <v>50</v>
      </c>
      <c r="Q212">
        <v>4.5999999999999996</v>
      </c>
      <c r="R212">
        <f>IF(Table1[[#This Row],[rating]]="",2.6,Table1[[#This Row],[rating]])</f>
        <v>4.5999999999999996</v>
      </c>
      <c r="S212" t="b">
        <v>1</v>
      </c>
      <c r="T212" t="str">
        <f>TRIM(CLEAN(Table1[[#This Row],[is_active]]))</f>
        <v>TRUE</v>
      </c>
      <c r="U21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12" s="11" t="str">
        <f>TRIM(IF(Table1[[#This Row],[is_active3]]="Unknown","TRUE",Table1[[#This Row],[is_active3]]))</f>
        <v>TRUE</v>
      </c>
      <c r="W212">
        <v>64</v>
      </c>
      <c r="X212">
        <f>IF(Table1[[#This Row],[client_satisfaction]]&gt;1,Table1[[#This Row],[client_satisfaction]]/100,Table1[[#This Row],[client_satisfaction]])</f>
        <v>0.64</v>
      </c>
      <c r="Y212">
        <f>IF(Table1[[#This Row],[client_satisfaction2]]=0,0.75,Table1[[#This Row],[client_satisfaction2]])</f>
        <v>0.64</v>
      </c>
    </row>
    <row r="213" spans="1:25" x14ac:dyDescent="0.25">
      <c r="A213" t="s">
        <v>506</v>
      </c>
      <c r="B213" t="s">
        <v>507</v>
      </c>
      <c r="C213" t="str">
        <f>PROPER(TRIM(SUBSTITUTE(SUBSTITUTE(SUBSTITUTE(Table1[[#This Row],[name]],"Ms. ",""),"Mr. ",""),"Mrs. ","")))</f>
        <v>Jacob Kerr</v>
      </c>
      <c r="D213" t="s">
        <v>48</v>
      </c>
      <c r="E2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13">
        <v>57</v>
      </c>
      <c r="G213" t="str">
        <f>TRIM(IF(Table1[[#This Row],[age]]="","Unknown",Table1[[#This Row],[age]]))</f>
        <v>57</v>
      </c>
      <c r="H213" t="s">
        <v>112</v>
      </c>
      <c r="I213" t="s">
        <v>113</v>
      </c>
      <c r="J213" t="s">
        <v>78</v>
      </c>
      <c r="K213">
        <v>8</v>
      </c>
      <c r="L213" s="10" t="str">
        <f>TRIM(IF(Table1[[#This Row],[years_of_experience]]="","Unknown",Table1[[#This Row],[years_of_experience]]))</f>
        <v>8</v>
      </c>
      <c r="M213" t="s">
        <v>121</v>
      </c>
      <c r="N213" t="str">
        <f>IF(Table1[[#This Row],[hourly_rate (USD)]]="",MEDIAN(Table1[hourly_rate (USD)]),Table1[[#This Row],[hourly_rate (USD)]])</f>
        <v>$20</v>
      </c>
      <c r="O213" t="str">
        <f>TRIM(CLEAN(Table1[[#This Row],[Updated hourly_rate (USD)]]))</f>
        <v>$20</v>
      </c>
      <c r="P213" t="str">
        <f>SUBSTITUTE(SUBSTITUTE(Table1[[#This Row],[Formatted hourly rate]],"USD ",""),"$","")</f>
        <v>20</v>
      </c>
      <c r="Q213">
        <v>0</v>
      </c>
      <c r="R213">
        <f>IF(Table1[[#This Row],[rating]]="",2.6,Table1[[#This Row],[rating]])</f>
        <v>0</v>
      </c>
      <c r="S213" t="s">
        <v>68</v>
      </c>
      <c r="T213" t="str">
        <f>TRIM(CLEAN(Table1[[#This Row],[is_active]]))</f>
        <v>yes</v>
      </c>
      <c r="U2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13" s="11" t="str">
        <f>TRIM(IF(Table1[[#This Row],[is_active3]]="Unknown","TRUE",Table1[[#This Row],[is_active3]]))</f>
        <v>TRUE</v>
      </c>
      <c r="W213">
        <v>0.84</v>
      </c>
      <c r="X213">
        <f>IF(Table1[[#This Row],[client_satisfaction]]&gt;1,Table1[[#This Row],[client_satisfaction]]/100,Table1[[#This Row],[client_satisfaction]])</f>
        <v>0.84</v>
      </c>
      <c r="Y213">
        <f>IF(Table1[[#This Row],[client_satisfaction2]]=0,0.75,Table1[[#This Row],[client_satisfaction2]])</f>
        <v>0.84</v>
      </c>
    </row>
    <row r="214" spans="1:25" x14ac:dyDescent="0.25">
      <c r="A214" t="s">
        <v>508</v>
      </c>
      <c r="B214" t="s">
        <v>509</v>
      </c>
      <c r="C214" t="str">
        <f>PROPER(TRIM(SUBSTITUTE(SUBSTITUTE(SUBSTITUTE(Table1[[#This Row],[name]],"Ms. ",""),"Mr. ",""),"Mrs. ","")))</f>
        <v>Ryan Johnson</v>
      </c>
      <c r="D214" t="s">
        <v>27</v>
      </c>
      <c r="E2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14">
        <v>52</v>
      </c>
      <c r="G214" t="str">
        <f>TRIM(IF(Table1[[#This Row],[age]]="","Unknown",Table1[[#This Row],[age]]))</f>
        <v>52</v>
      </c>
      <c r="H214" t="s">
        <v>15</v>
      </c>
      <c r="I214" t="s">
        <v>16</v>
      </c>
      <c r="J214" t="s">
        <v>114</v>
      </c>
      <c r="K214">
        <v>30</v>
      </c>
      <c r="L214" s="10" t="str">
        <f>TRIM(IF(Table1[[#This Row],[years_of_experience]]="","Unknown",Table1[[#This Row],[years_of_experience]]))</f>
        <v>30</v>
      </c>
      <c r="M214" t="s">
        <v>121</v>
      </c>
      <c r="N214" t="str">
        <f>IF(Table1[[#This Row],[hourly_rate (USD)]]="",MEDIAN(Table1[hourly_rate (USD)]),Table1[[#This Row],[hourly_rate (USD)]])</f>
        <v>$20</v>
      </c>
      <c r="O214" t="str">
        <f>TRIM(CLEAN(Table1[[#This Row],[Updated hourly_rate (USD)]]))</f>
        <v>$20</v>
      </c>
      <c r="P214" t="str">
        <f>SUBSTITUTE(SUBSTITUTE(Table1[[#This Row],[Formatted hourly rate]],"USD ",""),"$","")</f>
        <v>20</v>
      </c>
      <c r="Q214">
        <v>2.8</v>
      </c>
      <c r="R214">
        <f>IF(Table1[[#This Row],[rating]]="",2.6,Table1[[#This Row],[rating]])</f>
        <v>2.8</v>
      </c>
      <c r="S214" t="s">
        <v>159</v>
      </c>
      <c r="T214" t="str">
        <f>TRIM(CLEAN(Table1[[#This Row],[is_active]]))</f>
        <v>no</v>
      </c>
      <c r="U21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14" s="11" t="str">
        <f>TRIM(IF(Table1[[#This Row],[is_active3]]="Unknown","TRUE",Table1[[#This Row],[is_active3]]))</f>
        <v>FALSE</v>
      </c>
      <c r="W214">
        <v>0.87</v>
      </c>
      <c r="X214">
        <f>IF(Table1[[#This Row],[client_satisfaction]]&gt;1,Table1[[#This Row],[client_satisfaction]]/100,Table1[[#This Row],[client_satisfaction]])</f>
        <v>0.87</v>
      </c>
      <c r="Y214">
        <f>IF(Table1[[#This Row],[client_satisfaction2]]=0,0.75,Table1[[#This Row],[client_satisfaction2]])</f>
        <v>0.87</v>
      </c>
    </row>
    <row r="215" spans="1:25" x14ac:dyDescent="0.25">
      <c r="A215" t="s">
        <v>510</v>
      </c>
      <c r="B215" t="s">
        <v>511</v>
      </c>
      <c r="C215" t="str">
        <f>PROPER(TRIM(SUBSTITUTE(SUBSTITUTE(SUBSTITUTE(Table1[[#This Row],[name]],"Ms. ",""),"Mr. ",""),"Mrs. ","")))</f>
        <v>Michael Ruiz</v>
      </c>
      <c r="D215" t="s">
        <v>61</v>
      </c>
      <c r="E2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215" t="str">
        <f>TRIM(IF(Table1[[#This Row],[age]]="","Unknown",Table1[[#This Row],[age]]))</f>
        <v>Unknown</v>
      </c>
      <c r="H215" t="s">
        <v>28</v>
      </c>
      <c r="I215" t="s">
        <v>29</v>
      </c>
      <c r="J215" t="s">
        <v>17</v>
      </c>
      <c r="K215">
        <v>8</v>
      </c>
      <c r="L215" s="10" t="str">
        <f>TRIM(IF(Table1[[#This Row],[years_of_experience]]="","Unknown",Table1[[#This Row],[years_of_experience]]))</f>
        <v>8</v>
      </c>
      <c r="M215" t="s">
        <v>36</v>
      </c>
      <c r="N215" t="str">
        <f>IF(Table1[[#This Row],[hourly_rate (USD)]]="",MEDIAN(Table1[hourly_rate (USD)]),Table1[[#This Row],[hourly_rate (USD)]])</f>
        <v>$40</v>
      </c>
      <c r="O215" t="str">
        <f>TRIM(CLEAN(Table1[[#This Row],[Updated hourly_rate (USD)]]))</f>
        <v>$40</v>
      </c>
      <c r="P215" t="str">
        <f>SUBSTITUTE(SUBSTITUTE(Table1[[#This Row],[Formatted hourly rate]],"USD ",""),"$","")</f>
        <v>40</v>
      </c>
      <c r="Q215">
        <v>0</v>
      </c>
      <c r="R215">
        <f>IF(Table1[[#This Row],[rating]]="",2.6,Table1[[#This Row],[rating]])</f>
        <v>0</v>
      </c>
      <c r="S215" t="s">
        <v>31</v>
      </c>
      <c r="T215" t="str">
        <f>TRIM(CLEAN(Table1[[#This Row],[is_active]]))</f>
        <v>N</v>
      </c>
      <c r="U21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15" s="11" t="str">
        <f>TRIM(IF(Table1[[#This Row],[is_active3]]="Unknown","TRUE",Table1[[#This Row],[is_active3]]))</f>
        <v>FALSE</v>
      </c>
      <c r="W215">
        <v>0.64</v>
      </c>
      <c r="X215">
        <f>IF(Table1[[#This Row],[client_satisfaction]]&gt;1,Table1[[#This Row],[client_satisfaction]]/100,Table1[[#This Row],[client_satisfaction]])</f>
        <v>0.64</v>
      </c>
      <c r="Y215">
        <f>IF(Table1[[#This Row],[client_satisfaction2]]=0,0.75,Table1[[#This Row],[client_satisfaction2]])</f>
        <v>0.64</v>
      </c>
    </row>
    <row r="216" spans="1:25" x14ac:dyDescent="0.25">
      <c r="A216" t="s">
        <v>512</v>
      </c>
      <c r="B216" t="s">
        <v>513</v>
      </c>
      <c r="C216" t="str">
        <f>PROPER(TRIM(SUBSTITUTE(SUBSTITUTE(SUBSTITUTE(Table1[[#This Row],[name]],"Ms. ",""),"Mr. ",""),"Mrs. ","")))</f>
        <v>Monica Roberts</v>
      </c>
      <c r="D216" t="s">
        <v>39</v>
      </c>
      <c r="E2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16">
        <v>22</v>
      </c>
      <c r="G216" t="str">
        <f>TRIM(IF(Table1[[#This Row],[age]]="","Unknown",Table1[[#This Row],[age]]))</f>
        <v>22</v>
      </c>
      <c r="H216" t="s">
        <v>49</v>
      </c>
      <c r="I216" t="s">
        <v>50</v>
      </c>
      <c r="J216" t="s">
        <v>114</v>
      </c>
      <c r="K216">
        <v>0</v>
      </c>
      <c r="L216" s="10" t="str">
        <f>TRIM(IF(Table1[[#This Row],[years_of_experience]]="","Unknown",Table1[[#This Row],[years_of_experience]]))</f>
        <v>0</v>
      </c>
      <c r="M216">
        <v>100</v>
      </c>
      <c r="N216">
        <f>IF(Table1[[#This Row],[hourly_rate (USD)]]="",MEDIAN(Table1[hourly_rate (USD)]),Table1[[#This Row],[hourly_rate (USD)]])</f>
        <v>100</v>
      </c>
      <c r="O216" t="str">
        <f>TRIM(CLEAN(Table1[[#This Row],[Updated hourly_rate (USD)]]))</f>
        <v>100</v>
      </c>
      <c r="P216" t="str">
        <f>SUBSTITUTE(SUBSTITUTE(Table1[[#This Row],[Formatted hourly rate]],"USD ",""),"$","")</f>
        <v>100</v>
      </c>
      <c r="Q216">
        <v>2.7</v>
      </c>
      <c r="R216">
        <f>IF(Table1[[#This Row],[rating]]="",2.6,Table1[[#This Row],[rating]])</f>
        <v>2.7</v>
      </c>
      <c r="S216" t="b">
        <v>1</v>
      </c>
      <c r="T216" t="str">
        <f>TRIM(CLEAN(Table1[[#This Row],[is_active]]))</f>
        <v>TRUE</v>
      </c>
      <c r="U21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16" s="11" t="str">
        <f>TRIM(IF(Table1[[#This Row],[is_active3]]="Unknown","TRUE",Table1[[#This Row],[is_active3]]))</f>
        <v>TRUE</v>
      </c>
      <c r="W216">
        <v>0.64</v>
      </c>
      <c r="X216">
        <f>IF(Table1[[#This Row],[client_satisfaction]]&gt;1,Table1[[#This Row],[client_satisfaction]]/100,Table1[[#This Row],[client_satisfaction]])</f>
        <v>0.64</v>
      </c>
      <c r="Y216">
        <f>IF(Table1[[#This Row],[client_satisfaction2]]=0,0.75,Table1[[#This Row],[client_satisfaction2]])</f>
        <v>0.64</v>
      </c>
    </row>
    <row r="217" spans="1:25" x14ac:dyDescent="0.25">
      <c r="A217" t="s">
        <v>514</v>
      </c>
      <c r="B217" t="s">
        <v>515</v>
      </c>
      <c r="C217" t="str">
        <f>PROPER(TRIM(SUBSTITUTE(SUBSTITUTE(SUBSTITUTE(Table1[[#This Row],[name]],"Ms. ",""),"Mr. ",""),"Mrs. ","")))</f>
        <v>Danny Brown</v>
      </c>
      <c r="D217" t="s">
        <v>48</v>
      </c>
      <c r="E2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217" t="str">
        <f>TRIM(IF(Table1[[#This Row],[age]]="","Unknown",Table1[[#This Row],[age]]))</f>
        <v>Unknown</v>
      </c>
      <c r="H217" t="s">
        <v>93</v>
      </c>
      <c r="I217" t="s">
        <v>94</v>
      </c>
      <c r="J217" t="s">
        <v>114</v>
      </c>
      <c r="K217">
        <v>12</v>
      </c>
      <c r="L217" s="10" t="str">
        <f>TRIM(IF(Table1[[#This Row],[years_of_experience]]="","Unknown",Table1[[#This Row],[years_of_experience]]))</f>
        <v>12</v>
      </c>
      <c r="M217" t="s">
        <v>121</v>
      </c>
      <c r="N217" t="str">
        <f>IF(Table1[[#This Row],[hourly_rate (USD)]]="",MEDIAN(Table1[hourly_rate (USD)]),Table1[[#This Row],[hourly_rate (USD)]])</f>
        <v>$20</v>
      </c>
      <c r="O217" t="str">
        <f>TRIM(CLEAN(Table1[[#This Row],[Updated hourly_rate (USD)]]))</f>
        <v>$20</v>
      </c>
      <c r="P217" t="str">
        <f>SUBSTITUTE(SUBSTITUTE(Table1[[#This Row],[Formatted hourly rate]],"USD ",""),"$","")</f>
        <v>20</v>
      </c>
      <c r="Q217">
        <v>0</v>
      </c>
      <c r="R217">
        <f>IF(Table1[[#This Row],[rating]]="",2.6,Table1[[#This Row],[rating]])</f>
        <v>0</v>
      </c>
      <c r="S217" t="b">
        <v>1</v>
      </c>
      <c r="T217" t="str">
        <f>TRIM(CLEAN(Table1[[#This Row],[is_active]]))</f>
        <v>TRUE</v>
      </c>
      <c r="U21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17" s="11" t="str">
        <f>TRIM(IF(Table1[[#This Row],[is_active3]]="Unknown","TRUE",Table1[[#This Row],[is_active3]]))</f>
        <v>TRUE</v>
      </c>
      <c r="W217">
        <v>0.8</v>
      </c>
      <c r="X217">
        <f>IF(Table1[[#This Row],[client_satisfaction]]&gt;1,Table1[[#This Row],[client_satisfaction]]/100,Table1[[#This Row],[client_satisfaction]])</f>
        <v>0.8</v>
      </c>
      <c r="Y217">
        <f>IF(Table1[[#This Row],[client_satisfaction2]]=0,0.75,Table1[[#This Row],[client_satisfaction2]])</f>
        <v>0.8</v>
      </c>
    </row>
    <row r="218" spans="1:25" x14ac:dyDescent="0.25">
      <c r="A218" t="s">
        <v>516</v>
      </c>
      <c r="B218" t="s">
        <v>517</v>
      </c>
      <c r="C218" t="str">
        <f>PROPER(TRIM(SUBSTITUTE(SUBSTITUTE(SUBSTITUTE(Table1[[#This Row],[name]],"Ms. ",""),"Mr. ",""),"Mrs. ","")))</f>
        <v>Karen Larsen</v>
      </c>
      <c r="D218" t="s">
        <v>34</v>
      </c>
      <c r="E2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18">
        <v>58</v>
      </c>
      <c r="G218" t="str">
        <f>TRIM(IF(Table1[[#This Row],[age]]="","Unknown",Table1[[#This Row],[age]]))</f>
        <v>58</v>
      </c>
      <c r="H218" t="s">
        <v>190</v>
      </c>
      <c r="I218" t="s">
        <v>72</v>
      </c>
      <c r="J218" t="s">
        <v>23</v>
      </c>
      <c r="K218">
        <v>4</v>
      </c>
      <c r="L218" s="10" t="str">
        <f>TRIM(IF(Table1[[#This Row],[years_of_experience]]="","Unknown",Table1[[#This Row],[years_of_experience]]))</f>
        <v>4</v>
      </c>
      <c r="M218" t="s">
        <v>64</v>
      </c>
      <c r="N218" t="str">
        <f>IF(Table1[[#This Row],[hourly_rate (USD)]]="",MEDIAN(Table1[hourly_rate (USD)]),Table1[[#This Row],[hourly_rate (USD)]])</f>
        <v>$50</v>
      </c>
      <c r="O218" t="str">
        <f>TRIM(CLEAN(Table1[[#This Row],[Updated hourly_rate (USD)]]))</f>
        <v>$50</v>
      </c>
      <c r="P218" t="str">
        <f>SUBSTITUTE(SUBSTITUTE(Table1[[#This Row],[Formatted hourly rate]],"USD ",""),"$","")</f>
        <v>50</v>
      </c>
      <c r="Q218">
        <v>3.1</v>
      </c>
      <c r="R218">
        <f>IF(Table1[[#This Row],[rating]]="",2.6,Table1[[#This Row],[rating]])</f>
        <v>3.1</v>
      </c>
      <c r="S218">
        <v>0</v>
      </c>
      <c r="T218" t="str">
        <f>TRIM(CLEAN(Table1[[#This Row],[is_active]]))</f>
        <v>0</v>
      </c>
      <c r="U2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18" s="11" t="str">
        <f>TRIM(IF(Table1[[#This Row],[is_active3]]="Unknown","TRUE",Table1[[#This Row],[is_active3]]))</f>
        <v>FALSE</v>
      </c>
      <c r="W218">
        <v>0.9</v>
      </c>
      <c r="X218">
        <f>IF(Table1[[#This Row],[client_satisfaction]]&gt;1,Table1[[#This Row],[client_satisfaction]]/100,Table1[[#This Row],[client_satisfaction]])</f>
        <v>0.9</v>
      </c>
      <c r="Y218">
        <f>IF(Table1[[#This Row],[client_satisfaction2]]=0,0.75,Table1[[#This Row],[client_satisfaction2]])</f>
        <v>0.9</v>
      </c>
    </row>
    <row r="219" spans="1:25" x14ac:dyDescent="0.25">
      <c r="A219" t="s">
        <v>518</v>
      </c>
      <c r="B219" t="s">
        <v>519</v>
      </c>
      <c r="C219" t="str">
        <f>PROPER(TRIM(SUBSTITUTE(SUBSTITUTE(SUBSTITUTE(Table1[[#This Row],[name]],"Ms. ",""),"Mr. ",""),"Mrs. ","")))</f>
        <v>Robert Evans</v>
      </c>
      <c r="D219" t="s">
        <v>92</v>
      </c>
      <c r="E2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19">
        <v>39</v>
      </c>
      <c r="G219" t="str">
        <f>TRIM(IF(Table1[[#This Row],[age]]="","Unknown",Table1[[#This Row],[age]]))</f>
        <v>39</v>
      </c>
      <c r="H219" t="s">
        <v>112</v>
      </c>
      <c r="I219" t="s">
        <v>113</v>
      </c>
      <c r="J219" t="s">
        <v>35</v>
      </c>
      <c r="K219">
        <v>14</v>
      </c>
      <c r="L219" s="10" t="str">
        <f>TRIM(IF(Table1[[#This Row],[years_of_experience]]="","Unknown",Table1[[#This Row],[years_of_experience]]))</f>
        <v>14</v>
      </c>
      <c r="M219" t="s">
        <v>24</v>
      </c>
      <c r="N219" t="str">
        <f>IF(Table1[[#This Row],[hourly_rate (USD)]]="",MEDIAN(Table1[hourly_rate (USD)]),Table1[[#This Row],[hourly_rate (USD)]])</f>
        <v>USD 100</v>
      </c>
      <c r="O219" t="str">
        <f>TRIM(CLEAN(Table1[[#This Row],[Updated hourly_rate (USD)]]))</f>
        <v>USD 100</v>
      </c>
      <c r="P219" t="str">
        <f>SUBSTITUTE(SUBSTITUTE(Table1[[#This Row],[Formatted hourly rate]],"USD ",""),"$","")</f>
        <v>100</v>
      </c>
      <c r="Q219">
        <v>0</v>
      </c>
      <c r="R219">
        <f>IF(Table1[[#This Row],[rating]]="",2.6,Table1[[#This Row],[rating]])</f>
        <v>0</v>
      </c>
      <c r="S219" t="s">
        <v>74</v>
      </c>
      <c r="T219" t="str">
        <f>TRIM(CLEAN(Table1[[#This Row],[is_active]]))</f>
        <v>Y</v>
      </c>
      <c r="U21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19" s="11" t="str">
        <f>TRIM(IF(Table1[[#This Row],[is_active3]]="Unknown","TRUE",Table1[[#This Row],[is_active3]]))</f>
        <v>TRUE</v>
      </c>
      <c r="W219">
        <v>0.92</v>
      </c>
      <c r="X219">
        <f>IF(Table1[[#This Row],[client_satisfaction]]&gt;1,Table1[[#This Row],[client_satisfaction]]/100,Table1[[#This Row],[client_satisfaction]])</f>
        <v>0.92</v>
      </c>
      <c r="Y219">
        <f>IF(Table1[[#This Row],[client_satisfaction2]]=0,0.75,Table1[[#This Row],[client_satisfaction2]])</f>
        <v>0.92</v>
      </c>
    </row>
    <row r="220" spans="1:25" x14ac:dyDescent="0.25">
      <c r="A220" t="s">
        <v>520</v>
      </c>
      <c r="B220" t="s">
        <v>521</v>
      </c>
      <c r="C220" t="str">
        <f>PROPER(TRIM(SUBSTITUTE(SUBSTITUTE(SUBSTITUTE(Table1[[#This Row],[name]],"Ms. ",""),"Mr. ",""),"Mrs. ","")))</f>
        <v>Sean Poole</v>
      </c>
      <c r="D220" t="s">
        <v>92</v>
      </c>
      <c r="E2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20">
        <v>32</v>
      </c>
      <c r="G220" t="str">
        <f>TRIM(IF(Table1[[#This Row],[age]]="","Unknown",Table1[[#This Row],[age]]))</f>
        <v>32</v>
      </c>
      <c r="H220" t="s">
        <v>49</v>
      </c>
      <c r="I220" t="s">
        <v>50</v>
      </c>
      <c r="J220" t="s">
        <v>30</v>
      </c>
      <c r="K220">
        <v>14</v>
      </c>
      <c r="L220" s="10" t="str">
        <f>TRIM(IF(Table1[[#This Row],[years_of_experience]]="","Unknown",Table1[[#This Row],[years_of_experience]]))</f>
        <v>14</v>
      </c>
      <c r="N220">
        <f>IF(Table1[[#This Row],[hourly_rate (USD)]]="",MEDIAN(Table1[hourly_rate (USD)]),Table1[[#This Row],[hourly_rate (USD)]])</f>
        <v>50</v>
      </c>
      <c r="O220" t="str">
        <f>TRIM(CLEAN(Table1[[#This Row],[Updated hourly_rate (USD)]]))</f>
        <v>50</v>
      </c>
      <c r="P220" t="str">
        <f>SUBSTITUTE(SUBSTITUTE(Table1[[#This Row],[Formatted hourly rate]],"USD ",""),"$","")</f>
        <v>50</v>
      </c>
      <c r="R220">
        <f>IF(Table1[[#This Row],[rating]]="",2.6,Table1[[#This Row],[rating]])</f>
        <v>2.6</v>
      </c>
      <c r="S220">
        <v>0</v>
      </c>
      <c r="T220" t="str">
        <f>TRIM(CLEAN(Table1[[#This Row],[is_active]]))</f>
        <v>0</v>
      </c>
      <c r="U22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20" s="11" t="str">
        <f>TRIM(IF(Table1[[#This Row],[is_active3]]="Unknown","TRUE",Table1[[#This Row],[is_active3]]))</f>
        <v>FALSE</v>
      </c>
      <c r="W220">
        <v>0.96</v>
      </c>
      <c r="X220">
        <f>IF(Table1[[#This Row],[client_satisfaction]]&gt;1,Table1[[#This Row],[client_satisfaction]]/100,Table1[[#This Row],[client_satisfaction]])</f>
        <v>0.96</v>
      </c>
      <c r="Y220">
        <f>IF(Table1[[#This Row],[client_satisfaction2]]=0,0.75,Table1[[#This Row],[client_satisfaction2]])</f>
        <v>0.96</v>
      </c>
    </row>
    <row r="221" spans="1:25" x14ac:dyDescent="0.25">
      <c r="A221" t="s">
        <v>522</v>
      </c>
      <c r="B221" t="s">
        <v>523</v>
      </c>
      <c r="C221" t="str">
        <f>PROPER(TRIM(SUBSTITUTE(SUBSTITUTE(SUBSTITUTE(Table1[[#This Row],[name]],"Ms. ",""),"Mr. ",""),"Mrs. ","")))</f>
        <v>Richard Quinn</v>
      </c>
      <c r="D221" t="s">
        <v>48</v>
      </c>
      <c r="E2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21">
        <v>37</v>
      </c>
      <c r="G221" t="str">
        <f>TRIM(IF(Table1[[#This Row],[age]]="","Unknown",Table1[[#This Row],[age]]))</f>
        <v>37</v>
      </c>
      <c r="H221" t="s">
        <v>128</v>
      </c>
      <c r="I221" t="s">
        <v>22</v>
      </c>
      <c r="J221" t="s">
        <v>73</v>
      </c>
      <c r="K221">
        <v>2</v>
      </c>
      <c r="L221" s="10" t="str">
        <f>TRIM(IF(Table1[[#This Row],[years_of_experience]]="","Unknown",Table1[[#This Row],[years_of_experience]]))</f>
        <v>2</v>
      </c>
      <c r="M221" t="s">
        <v>45</v>
      </c>
      <c r="N221" t="str">
        <f>IF(Table1[[#This Row],[hourly_rate (USD)]]="",MEDIAN(Table1[hourly_rate (USD)]),Table1[[#This Row],[hourly_rate (USD)]])</f>
        <v>$30</v>
      </c>
      <c r="O221" t="str">
        <f>TRIM(CLEAN(Table1[[#This Row],[Updated hourly_rate (USD)]]))</f>
        <v>$30</v>
      </c>
      <c r="P221" t="str">
        <f>SUBSTITUTE(SUBSTITUTE(Table1[[#This Row],[Formatted hourly rate]],"USD ",""),"$","")</f>
        <v>30</v>
      </c>
      <c r="Q221">
        <v>2.2999999999999998</v>
      </c>
      <c r="R221">
        <f>IF(Table1[[#This Row],[rating]]="",2.6,Table1[[#This Row],[rating]])</f>
        <v>2.2999999999999998</v>
      </c>
      <c r="S221" t="s">
        <v>68</v>
      </c>
      <c r="T221" t="str">
        <f>TRIM(CLEAN(Table1[[#This Row],[is_active]]))</f>
        <v>yes</v>
      </c>
      <c r="U2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21" s="11" t="str">
        <f>TRIM(IF(Table1[[#This Row],[is_active3]]="Unknown","TRUE",Table1[[#This Row],[is_active3]]))</f>
        <v>TRUE</v>
      </c>
      <c r="X221">
        <f>IF(Table1[[#This Row],[client_satisfaction]]&gt;1,Table1[[#This Row],[client_satisfaction]]/100,Table1[[#This Row],[client_satisfaction]])</f>
        <v>0</v>
      </c>
      <c r="Y221">
        <f>IF(Table1[[#This Row],[client_satisfaction2]]=0,0.75,Table1[[#This Row],[client_satisfaction2]])</f>
        <v>0.75</v>
      </c>
    </row>
    <row r="222" spans="1:25" x14ac:dyDescent="0.25">
      <c r="A222" t="s">
        <v>524</v>
      </c>
      <c r="B222" t="s">
        <v>525</v>
      </c>
      <c r="C222" t="str">
        <f>PROPER(TRIM(SUBSTITUTE(SUBSTITUTE(SUBSTITUTE(Table1[[#This Row],[name]],"Ms. ",""),"Mr. ",""),"Mrs. ","")))</f>
        <v>Jennifer Gonzalez</v>
      </c>
      <c r="D222" t="s">
        <v>20</v>
      </c>
      <c r="E2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22">
        <v>21</v>
      </c>
      <c r="G222" t="str">
        <f>TRIM(IF(Table1[[#This Row],[age]]="","Unknown",Table1[[#This Row],[age]]))</f>
        <v>21</v>
      </c>
      <c r="H222" t="s">
        <v>175</v>
      </c>
      <c r="I222" t="s">
        <v>176</v>
      </c>
      <c r="J222" t="s">
        <v>78</v>
      </c>
      <c r="K222">
        <v>2</v>
      </c>
      <c r="L222" s="10" t="str">
        <f>TRIM(IF(Table1[[#This Row],[years_of_experience]]="","Unknown",Table1[[#This Row],[years_of_experience]]))</f>
        <v>2</v>
      </c>
      <c r="M222">
        <v>100</v>
      </c>
      <c r="N222">
        <f>IF(Table1[[#This Row],[hourly_rate (USD)]]="",MEDIAN(Table1[hourly_rate (USD)]),Table1[[#This Row],[hourly_rate (USD)]])</f>
        <v>100</v>
      </c>
      <c r="O222" t="str">
        <f>TRIM(CLEAN(Table1[[#This Row],[Updated hourly_rate (USD)]]))</f>
        <v>100</v>
      </c>
      <c r="P222" t="str">
        <f>SUBSTITUTE(SUBSTITUTE(Table1[[#This Row],[Formatted hourly rate]],"USD ",""),"$","")</f>
        <v>100</v>
      </c>
      <c r="Q222">
        <v>2.4</v>
      </c>
      <c r="R222">
        <f>IF(Table1[[#This Row],[rating]]="",2.6,Table1[[#This Row],[rating]])</f>
        <v>2.4</v>
      </c>
      <c r="S222" t="s">
        <v>74</v>
      </c>
      <c r="T222" t="str">
        <f>TRIM(CLEAN(Table1[[#This Row],[is_active]]))</f>
        <v>Y</v>
      </c>
      <c r="U22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22" s="11" t="str">
        <f>TRIM(IF(Table1[[#This Row],[is_active3]]="Unknown","TRUE",Table1[[#This Row],[is_active3]]))</f>
        <v>TRUE</v>
      </c>
      <c r="X222">
        <f>IF(Table1[[#This Row],[client_satisfaction]]&gt;1,Table1[[#This Row],[client_satisfaction]]/100,Table1[[#This Row],[client_satisfaction]])</f>
        <v>0</v>
      </c>
      <c r="Y222">
        <f>IF(Table1[[#This Row],[client_satisfaction2]]=0,0.75,Table1[[#This Row],[client_satisfaction2]])</f>
        <v>0.75</v>
      </c>
    </row>
    <row r="223" spans="1:25" x14ac:dyDescent="0.25">
      <c r="A223" t="s">
        <v>526</v>
      </c>
      <c r="B223" t="s">
        <v>527</v>
      </c>
      <c r="C223" t="str">
        <f>PROPER(TRIM(SUBSTITUTE(SUBSTITUTE(SUBSTITUTE(Table1[[#This Row],[name]],"Ms. ",""),"Mr. ",""),"Mrs. ","")))</f>
        <v>James Skinner</v>
      </c>
      <c r="D223" t="s">
        <v>61</v>
      </c>
      <c r="E2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23">
        <v>41</v>
      </c>
      <c r="G223" t="str">
        <f>TRIM(IF(Table1[[#This Row],[age]]="","Unknown",Table1[[#This Row],[age]]))</f>
        <v>41</v>
      </c>
      <c r="H223" t="s">
        <v>112</v>
      </c>
      <c r="I223" t="s">
        <v>113</v>
      </c>
      <c r="J223" t="s">
        <v>114</v>
      </c>
      <c r="K223">
        <v>4</v>
      </c>
      <c r="L223" s="10" t="str">
        <f>TRIM(IF(Table1[[#This Row],[years_of_experience]]="","Unknown",Table1[[#This Row],[years_of_experience]]))</f>
        <v>4</v>
      </c>
      <c r="M223">
        <v>75</v>
      </c>
      <c r="N223">
        <f>IF(Table1[[#This Row],[hourly_rate (USD)]]="",MEDIAN(Table1[hourly_rate (USD)]),Table1[[#This Row],[hourly_rate (USD)]])</f>
        <v>75</v>
      </c>
      <c r="O223" t="str">
        <f>TRIM(CLEAN(Table1[[#This Row],[Updated hourly_rate (USD)]]))</f>
        <v>75</v>
      </c>
      <c r="P223" t="str">
        <f>SUBSTITUTE(SUBSTITUTE(Table1[[#This Row],[Formatted hourly rate]],"USD ",""),"$","")</f>
        <v>75</v>
      </c>
      <c r="Q223">
        <v>2.6</v>
      </c>
      <c r="R223">
        <f>IF(Table1[[#This Row],[rating]]="",2.6,Table1[[#This Row],[rating]])</f>
        <v>2.6</v>
      </c>
      <c r="T223" t="str">
        <f>TRIM(CLEAN(Table1[[#This Row],[is_active]]))</f>
        <v/>
      </c>
      <c r="U22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23" s="11" t="str">
        <f>TRIM(IF(Table1[[#This Row],[is_active3]]="Unknown","TRUE",Table1[[#This Row],[is_active3]]))</f>
        <v>TRUE</v>
      </c>
      <c r="W223">
        <v>0.85</v>
      </c>
      <c r="X223">
        <f>IF(Table1[[#This Row],[client_satisfaction]]&gt;1,Table1[[#This Row],[client_satisfaction]]/100,Table1[[#This Row],[client_satisfaction]])</f>
        <v>0.85</v>
      </c>
      <c r="Y223">
        <f>IF(Table1[[#This Row],[client_satisfaction2]]=0,0.75,Table1[[#This Row],[client_satisfaction2]])</f>
        <v>0.85</v>
      </c>
    </row>
    <row r="224" spans="1:25" x14ac:dyDescent="0.25">
      <c r="A224" t="s">
        <v>528</v>
      </c>
      <c r="B224" t="s">
        <v>529</v>
      </c>
      <c r="C224" t="str">
        <f>PROPER(TRIM(SUBSTITUTE(SUBSTITUTE(SUBSTITUTE(Table1[[#This Row],[name]],"Ms. ",""),"Mr. ",""),"Mrs. ","")))</f>
        <v>Michelle Hill</v>
      </c>
      <c r="D224" t="s">
        <v>14</v>
      </c>
      <c r="E2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24">
        <v>21</v>
      </c>
      <c r="G224" t="str">
        <f>TRIM(IF(Table1[[#This Row],[age]]="","Unknown",Table1[[#This Row],[age]]))</f>
        <v>21</v>
      </c>
      <c r="H224" t="s">
        <v>128</v>
      </c>
      <c r="I224" t="s">
        <v>22</v>
      </c>
      <c r="J224" t="s">
        <v>44</v>
      </c>
      <c r="K224">
        <v>0</v>
      </c>
      <c r="L224" s="10" t="str">
        <f>TRIM(IF(Table1[[#This Row],[years_of_experience]]="","Unknown",Table1[[#This Row],[years_of_experience]]))</f>
        <v>0</v>
      </c>
      <c r="M224" t="s">
        <v>55</v>
      </c>
      <c r="N224" t="str">
        <f>IF(Table1[[#This Row],[hourly_rate (USD)]]="",MEDIAN(Table1[hourly_rate (USD)]),Table1[[#This Row],[hourly_rate (USD)]])</f>
        <v>USD 40</v>
      </c>
      <c r="O224" t="str">
        <f>TRIM(CLEAN(Table1[[#This Row],[Updated hourly_rate (USD)]]))</f>
        <v>USD 40</v>
      </c>
      <c r="P224" t="str">
        <f>SUBSTITUTE(SUBSTITUTE(Table1[[#This Row],[Formatted hourly rate]],"USD ",""),"$","")</f>
        <v>40</v>
      </c>
      <c r="Q224">
        <v>1.1000000000000001</v>
      </c>
      <c r="R224">
        <f>IF(Table1[[#This Row],[rating]]="",2.6,Table1[[#This Row],[rating]])</f>
        <v>1.1000000000000001</v>
      </c>
      <c r="S224">
        <v>0</v>
      </c>
      <c r="T224" t="str">
        <f>TRIM(CLEAN(Table1[[#This Row],[is_active]]))</f>
        <v>0</v>
      </c>
      <c r="U22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24" s="11" t="str">
        <f>TRIM(IF(Table1[[#This Row],[is_active3]]="Unknown","TRUE",Table1[[#This Row],[is_active3]]))</f>
        <v>FALSE</v>
      </c>
      <c r="W224">
        <v>0.79</v>
      </c>
      <c r="X224">
        <f>IF(Table1[[#This Row],[client_satisfaction]]&gt;1,Table1[[#This Row],[client_satisfaction]]/100,Table1[[#This Row],[client_satisfaction]])</f>
        <v>0.79</v>
      </c>
      <c r="Y224">
        <f>IF(Table1[[#This Row],[client_satisfaction2]]=0,0.75,Table1[[#This Row],[client_satisfaction2]])</f>
        <v>0.79</v>
      </c>
    </row>
    <row r="225" spans="1:25" x14ac:dyDescent="0.25">
      <c r="A225" t="s">
        <v>530</v>
      </c>
      <c r="B225" t="s">
        <v>531</v>
      </c>
      <c r="C225" t="str">
        <f>PROPER(TRIM(SUBSTITUTE(SUBSTITUTE(SUBSTITUTE(Table1[[#This Row],[name]],"Ms. ",""),"Mr. ",""),"Mrs. ","")))</f>
        <v>Jacqueline Williams</v>
      </c>
      <c r="D225" t="s">
        <v>34</v>
      </c>
      <c r="E2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25">
        <v>58</v>
      </c>
      <c r="G225" t="str">
        <f>TRIM(IF(Table1[[#This Row],[age]]="","Unknown",Table1[[#This Row],[age]]))</f>
        <v>58</v>
      </c>
      <c r="H225" t="s">
        <v>175</v>
      </c>
      <c r="I225" t="s">
        <v>176</v>
      </c>
      <c r="J225" t="s">
        <v>114</v>
      </c>
      <c r="K225">
        <v>9</v>
      </c>
      <c r="L225" s="10" t="str">
        <f>TRIM(IF(Table1[[#This Row],[years_of_experience]]="","Unknown",Table1[[#This Row],[years_of_experience]]))</f>
        <v>9</v>
      </c>
      <c r="M225">
        <v>30</v>
      </c>
      <c r="N225">
        <f>IF(Table1[[#This Row],[hourly_rate (USD)]]="",MEDIAN(Table1[hourly_rate (USD)]),Table1[[#This Row],[hourly_rate (USD)]])</f>
        <v>30</v>
      </c>
      <c r="O225" t="str">
        <f>TRIM(CLEAN(Table1[[#This Row],[Updated hourly_rate (USD)]]))</f>
        <v>30</v>
      </c>
      <c r="P225" t="str">
        <f>SUBSTITUTE(SUBSTITUTE(Table1[[#This Row],[Formatted hourly rate]],"USD ",""),"$","")</f>
        <v>30</v>
      </c>
      <c r="Q225">
        <v>0</v>
      </c>
      <c r="R225">
        <f>IF(Table1[[#This Row],[rating]]="",2.6,Table1[[#This Row],[rating]])</f>
        <v>0</v>
      </c>
      <c r="S225">
        <v>1</v>
      </c>
      <c r="T225" t="str">
        <f>TRIM(CLEAN(Table1[[#This Row],[is_active]]))</f>
        <v>1</v>
      </c>
      <c r="U22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25" s="11" t="str">
        <f>TRIM(IF(Table1[[#This Row],[is_active3]]="Unknown","TRUE",Table1[[#This Row],[is_active3]]))</f>
        <v>TRUE</v>
      </c>
      <c r="W225">
        <v>0.65</v>
      </c>
      <c r="X225">
        <f>IF(Table1[[#This Row],[client_satisfaction]]&gt;1,Table1[[#This Row],[client_satisfaction]]/100,Table1[[#This Row],[client_satisfaction]])</f>
        <v>0.65</v>
      </c>
      <c r="Y225">
        <f>IF(Table1[[#This Row],[client_satisfaction2]]=0,0.75,Table1[[#This Row],[client_satisfaction2]])</f>
        <v>0.65</v>
      </c>
    </row>
    <row r="226" spans="1:25" x14ac:dyDescent="0.25">
      <c r="A226" t="s">
        <v>532</v>
      </c>
      <c r="B226" t="s">
        <v>533</v>
      </c>
      <c r="C226" t="str">
        <f>PROPER(TRIM(SUBSTITUTE(SUBSTITUTE(SUBSTITUTE(Table1[[#This Row],[name]],"Ms. ",""),"Mr. ",""),"Mrs. ","")))</f>
        <v>Darrell Johnson</v>
      </c>
      <c r="D226" t="s">
        <v>97</v>
      </c>
      <c r="E2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26">
        <v>60</v>
      </c>
      <c r="G226" t="str">
        <f>TRIM(IF(Table1[[#This Row],[age]]="","Unknown",Table1[[#This Row],[age]]))</f>
        <v>60</v>
      </c>
      <c r="H226" t="s">
        <v>128</v>
      </c>
      <c r="I226" t="s">
        <v>22</v>
      </c>
      <c r="J226" t="s">
        <v>114</v>
      </c>
      <c r="K226">
        <v>3</v>
      </c>
      <c r="L226" s="10" t="str">
        <f>TRIM(IF(Table1[[#This Row],[years_of_experience]]="","Unknown",Table1[[#This Row],[years_of_experience]]))</f>
        <v>3</v>
      </c>
      <c r="M226">
        <v>40</v>
      </c>
      <c r="N226">
        <f>IF(Table1[[#This Row],[hourly_rate (USD)]]="",MEDIAN(Table1[hourly_rate (USD)]),Table1[[#This Row],[hourly_rate (USD)]])</f>
        <v>40</v>
      </c>
      <c r="O226" t="str">
        <f>TRIM(CLEAN(Table1[[#This Row],[Updated hourly_rate (USD)]]))</f>
        <v>40</v>
      </c>
      <c r="P226" t="str">
        <f>SUBSTITUTE(SUBSTITUTE(Table1[[#This Row],[Formatted hourly rate]],"USD ",""),"$","")</f>
        <v>40</v>
      </c>
      <c r="Q226">
        <v>4.7</v>
      </c>
      <c r="R226">
        <f>IF(Table1[[#This Row],[rating]]="",2.6,Table1[[#This Row],[rating]])</f>
        <v>4.7</v>
      </c>
      <c r="S226" t="b">
        <v>0</v>
      </c>
      <c r="T226" t="str">
        <f>TRIM(CLEAN(Table1[[#This Row],[is_active]]))</f>
        <v>FALSE</v>
      </c>
      <c r="U22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26" s="11" t="str">
        <f>TRIM(IF(Table1[[#This Row],[is_active3]]="Unknown","TRUE",Table1[[#This Row],[is_active3]]))</f>
        <v>TRUE</v>
      </c>
      <c r="W226">
        <v>0.63</v>
      </c>
      <c r="X226">
        <f>IF(Table1[[#This Row],[client_satisfaction]]&gt;1,Table1[[#This Row],[client_satisfaction]]/100,Table1[[#This Row],[client_satisfaction]])</f>
        <v>0.63</v>
      </c>
      <c r="Y226">
        <f>IF(Table1[[#This Row],[client_satisfaction2]]=0,0.75,Table1[[#This Row],[client_satisfaction2]])</f>
        <v>0.63</v>
      </c>
    </row>
    <row r="227" spans="1:25" x14ac:dyDescent="0.25">
      <c r="A227" t="s">
        <v>534</v>
      </c>
      <c r="B227" t="s">
        <v>535</v>
      </c>
      <c r="C227" t="str">
        <f>PROPER(TRIM(SUBSTITUTE(SUBSTITUTE(SUBSTITUTE(Table1[[#This Row],[name]],"Ms. ",""),"Mr. ",""),"Mrs. ","")))</f>
        <v>Ryan Crawford</v>
      </c>
      <c r="D227" t="s">
        <v>92</v>
      </c>
      <c r="E2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27">
        <v>27</v>
      </c>
      <c r="G227" t="str">
        <f>TRIM(IF(Table1[[#This Row],[age]]="","Unknown",Table1[[#This Row],[age]]))</f>
        <v>27</v>
      </c>
      <c r="H227" t="s">
        <v>153</v>
      </c>
      <c r="I227" t="s">
        <v>154</v>
      </c>
      <c r="J227" t="s">
        <v>35</v>
      </c>
      <c r="K227">
        <v>2</v>
      </c>
      <c r="L227" s="10" t="str">
        <f>TRIM(IF(Table1[[#This Row],[years_of_experience]]="","Unknown",Table1[[#This Row],[years_of_experience]]))</f>
        <v>2</v>
      </c>
      <c r="M227" t="s">
        <v>36</v>
      </c>
      <c r="N227" t="str">
        <f>IF(Table1[[#This Row],[hourly_rate (USD)]]="",MEDIAN(Table1[hourly_rate (USD)]),Table1[[#This Row],[hourly_rate (USD)]])</f>
        <v>$40</v>
      </c>
      <c r="O227" t="str">
        <f>TRIM(CLEAN(Table1[[#This Row],[Updated hourly_rate (USD)]]))</f>
        <v>$40</v>
      </c>
      <c r="P227" t="str">
        <f>SUBSTITUTE(SUBSTITUTE(Table1[[#This Row],[Formatted hourly rate]],"USD ",""),"$","")</f>
        <v>40</v>
      </c>
      <c r="Q227">
        <v>1.2</v>
      </c>
      <c r="R227">
        <f>IF(Table1[[#This Row],[rating]]="",2.6,Table1[[#This Row],[rating]])</f>
        <v>1.2</v>
      </c>
      <c r="S227" t="b">
        <v>0</v>
      </c>
      <c r="T227" t="str">
        <f>TRIM(CLEAN(Table1[[#This Row],[is_active]]))</f>
        <v>FALSE</v>
      </c>
      <c r="U22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27" s="11" t="str">
        <f>TRIM(IF(Table1[[#This Row],[is_active3]]="Unknown","TRUE",Table1[[#This Row],[is_active3]]))</f>
        <v>TRUE</v>
      </c>
      <c r="X227">
        <f>IF(Table1[[#This Row],[client_satisfaction]]&gt;1,Table1[[#This Row],[client_satisfaction]]/100,Table1[[#This Row],[client_satisfaction]])</f>
        <v>0</v>
      </c>
      <c r="Y227">
        <f>IF(Table1[[#This Row],[client_satisfaction2]]=0,0.75,Table1[[#This Row],[client_satisfaction2]])</f>
        <v>0.75</v>
      </c>
    </row>
    <row r="228" spans="1:25" x14ac:dyDescent="0.25">
      <c r="A228" t="s">
        <v>536</v>
      </c>
      <c r="B228" t="s">
        <v>537</v>
      </c>
      <c r="C228" t="str">
        <f>PROPER(TRIM(SUBSTITUTE(SUBSTITUTE(SUBSTITUTE(Table1[[#This Row],[name]],"Ms. ",""),"Mr. ",""),"Mrs. ","")))</f>
        <v>Chelsea Barber</v>
      </c>
      <c r="D228" t="s">
        <v>14</v>
      </c>
      <c r="E2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28">
        <v>29</v>
      </c>
      <c r="G228" t="str">
        <f>TRIM(IF(Table1[[#This Row],[age]]="","Unknown",Table1[[#This Row],[age]]))</f>
        <v>29</v>
      </c>
      <c r="H228" t="s">
        <v>28</v>
      </c>
      <c r="I228" t="s">
        <v>29</v>
      </c>
      <c r="J228" t="s">
        <v>114</v>
      </c>
      <c r="K228">
        <v>10</v>
      </c>
      <c r="L228" s="10" t="str">
        <f>TRIM(IF(Table1[[#This Row],[years_of_experience]]="","Unknown",Table1[[#This Row],[years_of_experience]]))</f>
        <v>10</v>
      </c>
      <c r="M228" t="s">
        <v>55</v>
      </c>
      <c r="N228" t="str">
        <f>IF(Table1[[#This Row],[hourly_rate (USD)]]="",MEDIAN(Table1[hourly_rate (USD)]),Table1[[#This Row],[hourly_rate (USD)]])</f>
        <v>USD 40</v>
      </c>
      <c r="O228" t="str">
        <f>TRIM(CLEAN(Table1[[#This Row],[Updated hourly_rate (USD)]]))</f>
        <v>USD 40</v>
      </c>
      <c r="P228" t="str">
        <f>SUBSTITUTE(SUBSTITUTE(Table1[[#This Row],[Formatted hourly rate]],"USD ",""),"$","")</f>
        <v>40</v>
      </c>
      <c r="Q228">
        <v>1.2</v>
      </c>
      <c r="R228">
        <f>IF(Table1[[#This Row],[rating]]="",2.6,Table1[[#This Row],[rating]])</f>
        <v>1.2</v>
      </c>
      <c r="S228" t="b">
        <v>0</v>
      </c>
      <c r="T228" t="str">
        <f>TRIM(CLEAN(Table1[[#This Row],[is_active]]))</f>
        <v>FALSE</v>
      </c>
      <c r="U22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28" s="11" t="str">
        <f>TRIM(IF(Table1[[#This Row],[is_active3]]="Unknown","TRUE",Table1[[#This Row],[is_active3]]))</f>
        <v>TRUE</v>
      </c>
      <c r="W228">
        <v>0.78</v>
      </c>
      <c r="X228">
        <f>IF(Table1[[#This Row],[client_satisfaction]]&gt;1,Table1[[#This Row],[client_satisfaction]]/100,Table1[[#This Row],[client_satisfaction]])</f>
        <v>0.78</v>
      </c>
      <c r="Y228">
        <f>IF(Table1[[#This Row],[client_satisfaction2]]=0,0.75,Table1[[#This Row],[client_satisfaction2]])</f>
        <v>0.78</v>
      </c>
    </row>
    <row r="229" spans="1:25" x14ac:dyDescent="0.25">
      <c r="A229" t="s">
        <v>538</v>
      </c>
      <c r="B229" t="s">
        <v>539</v>
      </c>
      <c r="C229" t="str">
        <f>PROPER(TRIM(SUBSTITUTE(SUBSTITUTE(SUBSTITUTE(Table1[[#This Row],[name]],"Ms. ",""),"Mr. ",""),"Mrs. ","")))</f>
        <v>Elaine Martinez</v>
      </c>
      <c r="D229" t="s">
        <v>77</v>
      </c>
      <c r="E2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29">
        <v>54</v>
      </c>
      <c r="G229" t="str">
        <f>TRIM(IF(Table1[[#This Row],[age]]="","Unknown",Table1[[#This Row],[age]]))</f>
        <v>54</v>
      </c>
      <c r="H229" t="s">
        <v>128</v>
      </c>
      <c r="I229" t="s">
        <v>22</v>
      </c>
      <c r="J229" t="s">
        <v>30</v>
      </c>
      <c r="K229">
        <v>33</v>
      </c>
      <c r="L229" s="10" t="str">
        <f>TRIM(IF(Table1[[#This Row],[years_of_experience]]="","Unknown",Table1[[#This Row],[years_of_experience]]))</f>
        <v>33</v>
      </c>
      <c r="M229" t="s">
        <v>170</v>
      </c>
      <c r="N229" t="str">
        <f>IF(Table1[[#This Row],[hourly_rate (USD)]]="",MEDIAN(Table1[hourly_rate (USD)]),Table1[[#This Row],[hourly_rate (USD)]])</f>
        <v>$75</v>
      </c>
      <c r="O229" t="str">
        <f>TRIM(CLEAN(Table1[[#This Row],[Updated hourly_rate (USD)]]))</f>
        <v>$75</v>
      </c>
      <c r="P229" t="str">
        <f>SUBSTITUTE(SUBSTITUTE(Table1[[#This Row],[Formatted hourly rate]],"USD ",""),"$","")</f>
        <v>75</v>
      </c>
      <c r="Q229">
        <v>0</v>
      </c>
      <c r="R229">
        <f>IF(Table1[[#This Row],[rating]]="",2.6,Table1[[#This Row],[rating]])</f>
        <v>0</v>
      </c>
      <c r="S229">
        <v>1</v>
      </c>
      <c r="T229" t="str">
        <f>TRIM(CLEAN(Table1[[#This Row],[is_active]]))</f>
        <v>1</v>
      </c>
      <c r="U22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29" s="11" t="str">
        <f>TRIM(IF(Table1[[#This Row],[is_active3]]="Unknown","TRUE",Table1[[#This Row],[is_active3]]))</f>
        <v>TRUE</v>
      </c>
      <c r="W229">
        <v>0.62</v>
      </c>
      <c r="X229">
        <f>IF(Table1[[#This Row],[client_satisfaction]]&gt;1,Table1[[#This Row],[client_satisfaction]]/100,Table1[[#This Row],[client_satisfaction]])</f>
        <v>0.62</v>
      </c>
      <c r="Y229">
        <f>IF(Table1[[#This Row],[client_satisfaction2]]=0,0.75,Table1[[#This Row],[client_satisfaction2]])</f>
        <v>0.62</v>
      </c>
    </row>
    <row r="230" spans="1:25" x14ac:dyDescent="0.25">
      <c r="A230" t="s">
        <v>540</v>
      </c>
      <c r="B230" t="s">
        <v>541</v>
      </c>
      <c r="C230" t="str">
        <f>PROPER(TRIM(SUBSTITUTE(SUBSTITUTE(SUBSTITUTE(Table1[[#This Row],[name]],"Ms. ",""),"Mr. ",""),"Mrs. ","")))</f>
        <v>Joseph Kent</v>
      </c>
      <c r="D230" t="s">
        <v>92</v>
      </c>
      <c r="E2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30">
        <v>52</v>
      </c>
      <c r="G230" t="str">
        <f>TRIM(IF(Table1[[#This Row],[age]]="","Unknown",Table1[[#This Row],[age]]))</f>
        <v>52</v>
      </c>
      <c r="H230" t="s">
        <v>179</v>
      </c>
      <c r="I230" t="s">
        <v>72</v>
      </c>
      <c r="J230" t="s">
        <v>114</v>
      </c>
      <c r="K230">
        <v>12</v>
      </c>
      <c r="L230" s="10" t="str">
        <f>TRIM(IF(Table1[[#This Row],[years_of_experience]]="","Unknown",Table1[[#This Row],[years_of_experience]]))</f>
        <v>12</v>
      </c>
      <c r="M230">
        <v>40</v>
      </c>
      <c r="N230">
        <f>IF(Table1[[#This Row],[hourly_rate (USD)]]="",MEDIAN(Table1[hourly_rate (USD)]),Table1[[#This Row],[hourly_rate (USD)]])</f>
        <v>40</v>
      </c>
      <c r="O230" t="str">
        <f>TRIM(CLEAN(Table1[[#This Row],[Updated hourly_rate (USD)]]))</f>
        <v>40</v>
      </c>
      <c r="P230" t="str">
        <f>SUBSTITUTE(SUBSTITUTE(Table1[[#This Row],[Formatted hourly rate]],"USD ",""),"$","")</f>
        <v>40</v>
      </c>
      <c r="Q230">
        <v>1.2</v>
      </c>
      <c r="R230">
        <f>IF(Table1[[#This Row],[rating]]="",2.6,Table1[[#This Row],[rating]])</f>
        <v>1.2</v>
      </c>
      <c r="S230">
        <v>0</v>
      </c>
      <c r="T230" t="str">
        <f>TRIM(CLEAN(Table1[[#This Row],[is_active]]))</f>
        <v>0</v>
      </c>
      <c r="U23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30" s="11" t="str">
        <f>TRIM(IF(Table1[[#This Row],[is_active3]]="Unknown","TRUE",Table1[[#This Row],[is_active3]]))</f>
        <v>FALSE</v>
      </c>
      <c r="W230">
        <v>0.76</v>
      </c>
      <c r="X230">
        <f>IF(Table1[[#This Row],[client_satisfaction]]&gt;1,Table1[[#This Row],[client_satisfaction]]/100,Table1[[#This Row],[client_satisfaction]])</f>
        <v>0.76</v>
      </c>
      <c r="Y230">
        <f>IF(Table1[[#This Row],[client_satisfaction2]]=0,0.75,Table1[[#This Row],[client_satisfaction2]])</f>
        <v>0.76</v>
      </c>
    </row>
    <row r="231" spans="1:25" x14ac:dyDescent="0.25">
      <c r="A231" t="s">
        <v>542</v>
      </c>
      <c r="B231" t="s">
        <v>543</v>
      </c>
      <c r="C231" t="str">
        <f>PROPER(TRIM(SUBSTITUTE(SUBSTITUTE(SUBSTITUTE(Table1[[#This Row],[name]],"Ms. ",""),"Mr. ",""),"Mrs. ","")))</f>
        <v>Megan Welch</v>
      </c>
      <c r="D231" t="s">
        <v>20</v>
      </c>
      <c r="E2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31">
        <v>55</v>
      </c>
      <c r="G231" t="str">
        <f>TRIM(IF(Table1[[#This Row],[age]]="","Unknown",Table1[[#This Row],[age]]))</f>
        <v>55</v>
      </c>
      <c r="H231" t="s">
        <v>49</v>
      </c>
      <c r="I231" t="s">
        <v>50</v>
      </c>
      <c r="J231" t="s">
        <v>17</v>
      </c>
      <c r="K231">
        <v>18</v>
      </c>
      <c r="L231" s="10" t="str">
        <f>TRIM(IF(Table1[[#This Row],[years_of_experience]]="","Unknown",Table1[[#This Row],[years_of_experience]]))</f>
        <v>18</v>
      </c>
      <c r="M231">
        <v>100</v>
      </c>
      <c r="N231">
        <f>IF(Table1[[#This Row],[hourly_rate (USD)]]="",MEDIAN(Table1[hourly_rate (USD)]),Table1[[#This Row],[hourly_rate (USD)]])</f>
        <v>100</v>
      </c>
      <c r="O231" t="str">
        <f>TRIM(CLEAN(Table1[[#This Row],[Updated hourly_rate (USD)]]))</f>
        <v>100</v>
      </c>
      <c r="P231" t="str">
        <f>SUBSTITUTE(SUBSTITUTE(Table1[[#This Row],[Formatted hourly rate]],"USD ",""),"$","")</f>
        <v>100</v>
      </c>
      <c r="Q231">
        <v>2.9</v>
      </c>
      <c r="R231">
        <f>IF(Table1[[#This Row],[rating]]="",2.6,Table1[[#This Row],[rating]])</f>
        <v>2.9</v>
      </c>
      <c r="S231">
        <v>0</v>
      </c>
      <c r="T231" t="str">
        <f>TRIM(CLEAN(Table1[[#This Row],[is_active]]))</f>
        <v>0</v>
      </c>
      <c r="U23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31" s="11" t="str">
        <f>TRIM(IF(Table1[[#This Row],[is_active3]]="Unknown","TRUE",Table1[[#This Row],[is_active3]]))</f>
        <v>FALSE</v>
      </c>
      <c r="W231">
        <v>97</v>
      </c>
      <c r="X231">
        <f>IF(Table1[[#This Row],[client_satisfaction]]&gt;1,Table1[[#This Row],[client_satisfaction]]/100,Table1[[#This Row],[client_satisfaction]])</f>
        <v>0.97</v>
      </c>
      <c r="Y231">
        <f>IF(Table1[[#This Row],[client_satisfaction2]]=0,0.75,Table1[[#This Row],[client_satisfaction2]])</f>
        <v>0.97</v>
      </c>
    </row>
    <row r="232" spans="1:25" x14ac:dyDescent="0.25">
      <c r="A232" t="s">
        <v>544</v>
      </c>
      <c r="B232" t="s">
        <v>545</v>
      </c>
      <c r="C232" t="str">
        <f>PROPER(TRIM(SUBSTITUTE(SUBSTITUTE(SUBSTITUTE(Table1[[#This Row],[name]],"Ms. ",""),"Mr. ",""),"Mrs. ","")))</f>
        <v>Stephen Ramirez</v>
      </c>
      <c r="D232" t="s">
        <v>27</v>
      </c>
      <c r="E2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32">
        <v>37</v>
      </c>
      <c r="G232" t="str">
        <f>TRIM(IF(Table1[[#This Row],[age]]="","Unknown",Table1[[#This Row],[age]]))</f>
        <v>37</v>
      </c>
      <c r="H232" t="s">
        <v>107</v>
      </c>
      <c r="I232" t="s">
        <v>108</v>
      </c>
      <c r="J232" t="s">
        <v>17</v>
      </c>
      <c r="K232">
        <v>4</v>
      </c>
      <c r="L232" s="10" t="str">
        <f>TRIM(IF(Table1[[#This Row],[years_of_experience]]="","Unknown",Table1[[#This Row],[years_of_experience]]))</f>
        <v>4</v>
      </c>
      <c r="N232">
        <f>IF(Table1[[#This Row],[hourly_rate (USD)]]="",MEDIAN(Table1[hourly_rate (USD)]),Table1[[#This Row],[hourly_rate (USD)]])</f>
        <v>50</v>
      </c>
      <c r="O232" t="str">
        <f>TRIM(CLEAN(Table1[[#This Row],[Updated hourly_rate (USD)]]))</f>
        <v>50</v>
      </c>
      <c r="P232" t="str">
        <f>SUBSTITUTE(SUBSTITUTE(Table1[[#This Row],[Formatted hourly rate]],"USD ",""),"$","")</f>
        <v>50</v>
      </c>
      <c r="R232">
        <f>IF(Table1[[#This Row],[rating]]="",2.6,Table1[[#This Row],[rating]])</f>
        <v>2.6</v>
      </c>
      <c r="S232" t="s">
        <v>31</v>
      </c>
      <c r="T232" t="str">
        <f>TRIM(CLEAN(Table1[[#This Row],[is_active]]))</f>
        <v>N</v>
      </c>
      <c r="U23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32" s="11" t="str">
        <f>TRIM(IF(Table1[[#This Row],[is_active3]]="Unknown","TRUE",Table1[[#This Row],[is_active3]]))</f>
        <v>FALSE</v>
      </c>
      <c r="X232">
        <f>IF(Table1[[#This Row],[client_satisfaction]]&gt;1,Table1[[#This Row],[client_satisfaction]]/100,Table1[[#This Row],[client_satisfaction]])</f>
        <v>0</v>
      </c>
      <c r="Y232">
        <f>IF(Table1[[#This Row],[client_satisfaction2]]=0,0.75,Table1[[#This Row],[client_satisfaction2]])</f>
        <v>0.75</v>
      </c>
    </row>
    <row r="233" spans="1:25" x14ac:dyDescent="0.25">
      <c r="A233" t="s">
        <v>546</v>
      </c>
      <c r="B233" t="s">
        <v>547</v>
      </c>
      <c r="C233" t="str">
        <f>PROPER(TRIM(SUBSTITUTE(SUBSTITUTE(SUBSTITUTE(Table1[[#This Row],[name]],"Ms. ",""),"Mr. ",""),"Mrs. ","")))</f>
        <v>Chloe Gray</v>
      </c>
      <c r="D233" t="s">
        <v>14</v>
      </c>
      <c r="E2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33">
        <v>34</v>
      </c>
      <c r="G233" t="str">
        <f>TRIM(IF(Table1[[#This Row],[age]]="","Unknown",Table1[[#This Row],[age]]))</f>
        <v>34</v>
      </c>
      <c r="H233" t="s">
        <v>139</v>
      </c>
      <c r="I233" t="s">
        <v>140</v>
      </c>
      <c r="J233" t="s">
        <v>51</v>
      </c>
      <c r="K233">
        <v>11</v>
      </c>
      <c r="L233" s="10" t="str">
        <f>TRIM(IF(Table1[[#This Row],[years_of_experience]]="","Unknown",Table1[[#This Row],[years_of_experience]]))</f>
        <v>11</v>
      </c>
      <c r="M233" t="s">
        <v>64</v>
      </c>
      <c r="N233" t="str">
        <f>IF(Table1[[#This Row],[hourly_rate (USD)]]="",MEDIAN(Table1[hourly_rate (USD)]),Table1[[#This Row],[hourly_rate (USD)]])</f>
        <v>$50</v>
      </c>
      <c r="O233" t="str">
        <f>TRIM(CLEAN(Table1[[#This Row],[Updated hourly_rate (USD)]]))</f>
        <v>$50</v>
      </c>
      <c r="P233" t="str">
        <f>SUBSTITUTE(SUBSTITUTE(Table1[[#This Row],[Formatted hourly rate]],"USD ",""),"$","")</f>
        <v>50</v>
      </c>
      <c r="Q233">
        <v>3.9</v>
      </c>
      <c r="R233">
        <f>IF(Table1[[#This Row],[rating]]="",2.6,Table1[[#This Row],[rating]])</f>
        <v>3.9</v>
      </c>
      <c r="S233">
        <v>1</v>
      </c>
      <c r="T233" t="str">
        <f>TRIM(CLEAN(Table1[[#This Row],[is_active]]))</f>
        <v>1</v>
      </c>
      <c r="U2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33" s="11" t="str">
        <f>TRIM(IF(Table1[[#This Row],[is_active3]]="Unknown","TRUE",Table1[[#This Row],[is_active3]]))</f>
        <v>TRUE</v>
      </c>
      <c r="W233">
        <v>0.82</v>
      </c>
      <c r="X233">
        <f>IF(Table1[[#This Row],[client_satisfaction]]&gt;1,Table1[[#This Row],[client_satisfaction]]/100,Table1[[#This Row],[client_satisfaction]])</f>
        <v>0.82</v>
      </c>
      <c r="Y233">
        <f>IF(Table1[[#This Row],[client_satisfaction2]]=0,0.75,Table1[[#This Row],[client_satisfaction2]])</f>
        <v>0.82</v>
      </c>
    </row>
    <row r="234" spans="1:25" x14ac:dyDescent="0.25">
      <c r="A234" t="s">
        <v>548</v>
      </c>
      <c r="B234" t="s">
        <v>549</v>
      </c>
      <c r="C234" t="str">
        <f>PROPER(TRIM(SUBSTITUTE(SUBSTITUTE(SUBSTITUTE(Table1[[#This Row],[name]],"Ms. ",""),"Mr. ",""),"Mrs. ","")))</f>
        <v>Michael Williams Jr.</v>
      </c>
      <c r="D234" t="s">
        <v>48</v>
      </c>
      <c r="E2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34">
        <v>20</v>
      </c>
      <c r="G234" t="str">
        <f>TRIM(IF(Table1[[#This Row],[age]]="","Unknown",Table1[[#This Row],[age]]))</f>
        <v>20</v>
      </c>
      <c r="H234" t="s">
        <v>135</v>
      </c>
      <c r="I234" t="s">
        <v>136</v>
      </c>
      <c r="J234" t="s">
        <v>51</v>
      </c>
      <c r="K234">
        <v>1</v>
      </c>
      <c r="L234" s="10" t="str">
        <f>TRIM(IF(Table1[[#This Row],[years_of_experience]]="","Unknown",Table1[[#This Row],[years_of_experience]]))</f>
        <v>1</v>
      </c>
      <c r="M234">
        <v>50</v>
      </c>
      <c r="N234">
        <f>IF(Table1[[#This Row],[hourly_rate (USD)]]="",MEDIAN(Table1[hourly_rate (USD)]),Table1[[#This Row],[hourly_rate (USD)]])</f>
        <v>50</v>
      </c>
      <c r="O234" t="str">
        <f>TRIM(CLEAN(Table1[[#This Row],[Updated hourly_rate (USD)]]))</f>
        <v>50</v>
      </c>
      <c r="P234" t="str">
        <f>SUBSTITUTE(SUBSTITUTE(Table1[[#This Row],[Formatted hourly rate]],"USD ",""),"$","")</f>
        <v>50</v>
      </c>
      <c r="Q234">
        <v>3.1</v>
      </c>
      <c r="R234">
        <f>IF(Table1[[#This Row],[rating]]="",2.6,Table1[[#This Row],[rating]])</f>
        <v>3.1</v>
      </c>
      <c r="T234" t="str">
        <f>TRIM(CLEAN(Table1[[#This Row],[is_active]]))</f>
        <v/>
      </c>
      <c r="U23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34" s="11" t="str">
        <f>TRIM(IF(Table1[[#This Row],[is_active3]]="Unknown","TRUE",Table1[[#This Row],[is_active3]]))</f>
        <v>TRUE</v>
      </c>
      <c r="W234">
        <v>0.71</v>
      </c>
      <c r="X234">
        <f>IF(Table1[[#This Row],[client_satisfaction]]&gt;1,Table1[[#This Row],[client_satisfaction]]/100,Table1[[#This Row],[client_satisfaction]])</f>
        <v>0.71</v>
      </c>
      <c r="Y234">
        <f>IF(Table1[[#This Row],[client_satisfaction2]]=0,0.75,Table1[[#This Row],[client_satisfaction2]])</f>
        <v>0.71</v>
      </c>
    </row>
    <row r="235" spans="1:25" x14ac:dyDescent="0.25">
      <c r="A235" t="s">
        <v>550</v>
      </c>
      <c r="B235" t="s">
        <v>551</v>
      </c>
      <c r="C235" t="str">
        <f>PROPER(TRIM(SUBSTITUTE(SUBSTITUTE(SUBSTITUTE(Table1[[#This Row],[name]],"Ms. ",""),"Mr. ",""),"Mrs. ","")))</f>
        <v>Matthew Martin</v>
      </c>
      <c r="D235" t="s">
        <v>48</v>
      </c>
      <c r="E2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35">
        <v>22</v>
      </c>
      <c r="G235" t="str">
        <f>TRIM(IF(Table1[[#This Row],[age]]="","Unknown",Table1[[#This Row],[age]]))</f>
        <v>22</v>
      </c>
      <c r="H235" t="s">
        <v>179</v>
      </c>
      <c r="I235" t="s">
        <v>72</v>
      </c>
      <c r="J235" t="s">
        <v>73</v>
      </c>
      <c r="K235">
        <v>2</v>
      </c>
      <c r="L235" s="10" t="str">
        <f>TRIM(IF(Table1[[#This Row],[years_of_experience]]="","Unknown",Table1[[#This Row],[years_of_experience]]))</f>
        <v>2</v>
      </c>
      <c r="N235">
        <f>IF(Table1[[#This Row],[hourly_rate (USD)]]="",MEDIAN(Table1[hourly_rate (USD)]),Table1[[#This Row],[hourly_rate (USD)]])</f>
        <v>50</v>
      </c>
      <c r="O235" t="str">
        <f>TRIM(CLEAN(Table1[[#This Row],[Updated hourly_rate (USD)]]))</f>
        <v>50</v>
      </c>
      <c r="P235" t="str">
        <f>SUBSTITUTE(SUBSTITUTE(Table1[[#This Row],[Formatted hourly rate]],"USD ",""),"$","")</f>
        <v>50</v>
      </c>
      <c r="Q235">
        <v>0</v>
      </c>
      <c r="R235">
        <f>IF(Table1[[#This Row],[rating]]="",2.6,Table1[[#This Row],[rating]])</f>
        <v>0</v>
      </c>
      <c r="S235">
        <v>1</v>
      </c>
      <c r="T235" t="str">
        <f>TRIM(CLEAN(Table1[[#This Row],[is_active]]))</f>
        <v>1</v>
      </c>
      <c r="U23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35" s="11" t="str">
        <f>TRIM(IF(Table1[[#This Row],[is_active3]]="Unknown","TRUE",Table1[[#This Row],[is_active3]]))</f>
        <v>TRUE</v>
      </c>
      <c r="X235">
        <f>IF(Table1[[#This Row],[client_satisfaction]]&gt;1,Table1[[#This Row],[client_satisfaction]]/100,Table1[[#This Row],[client_satisfaction]])</f>
        <v>0</v>
      </c>
      <c r="Y235">
        <f>IF(Table1[[#This Row],[client_satisfaction2]]=0,0.75,Table1[[#This Row],[client_satisfaction2]])</f>
        <v>0.75</v>
      </c>
    </row>
    <row r="236" spans="1:25" x14ac:dyDescent="0.25">
      <c r="A236" t="s">
        <v>552</v>
      </c>
      <c r="B236" t="s">
        <v>553</v>
      </c>
      <c r="C236" t="str">
        <f>PROPER(TRIM(SUBSTITUTE(SUBSTITUTE(SUBSTITUTE(Table1[[#This Row],[name]],"Ms. ",""),"Mr. ",""),"Mrs. ","")))</f>
        <v>Julia Murphy</v>
      </c>
      <c r="D236" t="s">
        <v>14</v>
      </c>
      <c r="E2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36">
        <v>23</v>
      </c>
      <c r="G236" t="str">
        <f>TRIM(IF(Table1[[#This Row],[age]]="","Unknown",Table1[[#This Row],[age]]))</f>
        <v>23</v>
      </c>
      <c r="H236" t="s">
        <v>112</v>
      </c>
      <c r="I236" t="s">
        <v>113</v>
      </c>
      <c r="J236" t="s">
        <v>30</v>
      </c>
      <c r="K236">
        <v>2</v>
      </c>
      <c r="L236" s="10" t="str">
        <f>TRIM(IF(Table1[[#This Row],[years_of_experience]]="","Unknown",Table1[[#This Row],[years_of_experience]]))</f>
        <v>2</v>
      </c>
      <c r="M236">
        <v>50</v>
      </c>
      <c r="N236">
        <f>IF(Table1[[#This Row],[hourly_rate (USD)]]="",MEDIAN(Table1[hourly_rate (USD)]),Table1[[#This Row],[hourly_rate (USD)]])</f>
        <v>50</v>
      </c>
      <c r="O236" t="str">
        <f>TRIM(CLEAN(Table1[[#This Row],[Updated hourly_rate (USD)]]))</f>
        <v>50</v>
      </c>
      <c r="P236" t="str">
        <f>SUBSTITUTE(SUBSTITUTE(Table1[[#This Row],[Formatted hourly rate]],"USD ",""),"$","")</f>
        <v>50</v>
      </c>
      <c r="Q236">
        <v>3.2</v>
      </c>
      <c r="R236">
        <f>IF(Table1[[#This Row],[rating]]="",2.6,Table1[[#This Row],[rating]])</f>
        <v>3.2</v>
      </c>
      <c r="S236" t="b">
        <v>1</v>
      </c>
      <c r="T236" t="str">
        <f>TRIM(CLEAN(Table1[[#This Row],[is_active]]))</f>
        <v>TRUE</v>
      </c>
      <c r="U23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36" s="11" t="str">
        <f>TRIM(IF(Table1[[#This Row],[is_active3]]="Unknown","TRUE",Table1[[#This Row],[is_active3]]))</f>
        <v>TRUE</v>
      </c>
      <c r="X236">
        <f>IF(Table1[[#This Row],[client_satisfaction]]&gt;1,Table1[[#This Row],[client_satisfaction]]/100,Table1[[#This Row],[client_satisfaction]])</f>
        <v>0</v>
      </c>
      <c r="Y236">
        <f>IF(Table1[[#This Row],[client_satisfaction2]]=0,0.75,Table1[[#This Row],[client_satisfaction2]])</f>
        <v>0.75</v>
      </c>
    </row>
    <row r="237" spans="1:25" x14ac:dyDescent="0.25">
      <c r="A237" t="s">
        <v>554</v>
      </c>
      <c r="B237" t="s">
        <v>555</v>
      </c>
      <c r="C237" t="str">
        <f>PROPER(TRIM(SUBSTITUTE(SUBSTITUTE(SUBSTITUTE(Table1[[#This Row],[name]],"Ms. ",""),"Mr. ",""),"Mrs. ","")))</f>
        <v>Anna Evans</v>
      </c>
      <c r="D237" t="s">
        <v>34</v>
      </c>
      <c r="E2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37">
        <v>53</v>
      </c>
      <c r="G237" t="str">
        <f>TRIM(IF(Table1[[#This Row],[age]]="","Unknown",Table1[[#This Row],[age]]))</f>
        <v>53</v>
      </c>
      <c r="H237" t="s">
        <v>112</v>
      </c>
      <c r="I237" t="s">
        <v>113</v>
      </c>
      <c r="J237" t="s">
        <v>17</v>
      </c>
      <c r="K237">
        <v>34</v>
      </c>
      <c r="L237" s="10" t="str">
        <f>TRIM(IF(Table1[[#This Row],[years_of_experience]]="","Unknown",Table1[[#This Row],[years_of_experience]]))</f>
        <v>34</v>
      </c>
      <c r="M237">
        <v>30</v>
      </c>
      <c r="N237">
        <f>IF(Table1[[#This Row],[hourly_rate (USD)]]="",MEDIAN(Table1[hourly_rate (USD)]),Table1[[#This Row],[hourly_rate (USD)]])</f>
        <v>30</v>
      </c>
      <c r="O237" t="str">
        <f>TRIM(CLEAN(Table1[[#This Row],[Updated hourly_rate (USD)]]))</f>
        <v>30</v>
      </c>
      <c r="P237" t="str">
        <f>SUBSTITUTE(SUBSTITUTE(Table1[[#This Row],[Formatted hourly rate]],"USD ",""),"$","")</f>
        <v>30</v>
      </c>
      <c r="R237">
        <f>IF(Table1[[#This Row],[rating]]="",2.6,Table1[[#This Row],[rating]])</f>
        <v>2.6</v>
      </c>
      <c r="S237" t="s">
        <v>74</v>
      </c>
      <c r="T237" t="str">
        <f>TRIM(CLEAN(Table1[[#This Row],[is_active]]))</f>
        <v>Y</v>
      </c>
      <c r="U2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37" s="11" t="str">
        <f>TRIM(IF(Table1[[#This Row],[is_active3]]="Unknown","TRUE",Table1[[#This Row],[is_active3]]))</f>
        <v>TRUE</v>
      </c>
      <c r="X237">
        <f>IF(Table1[[#This Row],[client_satisfaction]]&gt;1,Table1[[#This Row],[client_satisfaction]]/100,Table1[[#This Row],[client_satisfaction]])</f>
        <v>0</v>
      </c>
      <c r="Y237">
        <f>IF(Table1[[#This Row],[client_satisfaction2]]=0,0.75,Table1[[#This Row],[client_satisfaction2]])</f>
        <v>0.75</v>
      </c>
    </row>
    <row r="238" spans="1:25" x14ac:dyDescent="0.25">
      <c r="A238" t="s">
        <v>556</v>
      </c>
      <c r="B238" t="s">
        <v>557</v>
      </c>
      <c r="C238" t="str">
        <f>PROPER(TRIM(SUBSTITUTE(SUBSTITUTE(SUBSTITUTE(Table1[[#This Row],[name]],"Ms. ",""),"Mr. ",""),"Mrs. ","")))</f>
        <v>Brenda Fleming</v>
      </c>
      <c r="D238" t="s">
        <v>34</v>
      </c>
      <c r="E2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38">
        <v>56</v>
      </c>
      <c r="G238" t="str">
        <f>TRIM(IF(Table1[[#This Row],[age]]="","Unknown",Table1[[#This Row],[age]]))</f>
        <v>56</v>
      </c>
      <c r="H238" t="s">
        <v>112</v>
      </c>
      <c r="I238" t="s">
        <v>113</v>
      </c>
      <c r="J238" t="s">
        <v>30</v>
      </c>
      <c r="K238">
        <v>27</v>
      </c>
      <c r="L238" s="10" t="str">
        <f>TRIM(IF(Table1[[#This Row],[years_of_experience]]="","Unknown",Table1[[#This Row],[years_of_experience]]))</f>
        <v>27</v>
      </c>
      <c r="M238">
        <v>100</v>
      </c>
      <c r="N238">
        <f>IF(Table1[[#This Row],[hourly_rate (USD)]]="",MEDIAN(Table1[hourly_rate (USD)]),Table1[[#This Row],[hourly_rate (USD)]])</f>
        <v>100</v>
      </c>
      <c r="O238" t="str">
        <f>TRIM(CLEAN(Table1[[#This Row],[Updated hourly_rate (USD)]]))</f>
        <v>100</v>
      </c>
      <c r="P238" t="str">
        <f>SUBSTITUTE(SUBSTITUTE(Table1[[#This Row],[Formatted hourly rate]],"USD ",""),"$","")</f>
        <v>100</v>
      </c>
      <c r="Q238">
        <v>4.7</v>
      </c>
      <c r="R238">
        <f>IF(Table1[[#This Row],[rating]]="",2.6,Table1[[#This Row],[rating]])</f>
        <v>4.7</v>
      </c>
      <c r="S238" t="b">
        <v>1</v>
      </c>
      <c r="T238" t="str">
        <f>TRIM(CLEAN(Table1[[#This Row],[is_active]]))</f>
        <v>TRUE</v>
      </c>
      <c r="U23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38" s="11" t="str">
        <f>TRIM(IF(Table1[[#This Row],[is_active3]]="Unknown","TRUE",Table1[[#This Row],[is_active3]]))</f>
        <v>TRUE</v>
      </c>
      <c r="W238">
        <v>0.69</v>
      </c>
      <c r="X238">
        <f>IF(Table1[[#This Row],[client_satisfaction]]&gt;1,Table1[[#This Row],[client_satisfaction]]/100,Table1[[#This Row],[client_satisfaction]])</f>
        <v>0.69</v>
      </c>
      <c r="Y238">
        <f>IF(Table1[[#This Row],[client_satisfaction2]]=0,0.75,Table1[[#This Row],[client_satisfaction2]])</f>
        <v>0.69</v>
      </c>
    </row>
    <row r="239" spans="1:25" x14ac:dyDescent="0.25">
      <c r="A239" t="s">
        <v>558</v>
      </c>
      <c r="B239" t="s">
        <v>559</v>
      </c>
      <c r="C239" t="str">
        <f>PROPER(TRIM(SUBSTITUTE(SUBSTITUTE(SUBSTITUTE(Table1[[#This Row],[name]],"Ms. ",""),"Mr. ",""),"Mrs. ","")))</f>
        <v>Daniel Harrington</v>
      </c>
      <c r="D239" t="s">
        <v>92</v>
      </c>
      <c r="E2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39">
        <v>27</v>
      </c>
      <c r="G239" t="str">
        <f>TRIM(IF(Table1[[#This Row],[age]]="","Unknown",Table1[[#This Row],[age]]))</f>
        <v>27</v>
      </c>
      <c r="H239" t="s">
        <v>128</v>
      </c>
      <c r="I239" t="s">
        <v>22</v>
      </c>
      <c r="J239" t="s">
        <v>44</v>
      </c>
      <c r="K239">
        <v>4</v>
      </c>
      <c r="L239" s="10" t="str">
        <f>TRIM(IF(Table1[[#This Row],[years_of_experience]]="","Unknown",Table1[[#This Row],[years_of_experience]]))</f>
        <v>4</v>
      </c>
      <c r="M239">
        <v>75</v>
      </c>
      <c r="N239">
        <f>IF(Table1[[#This Row],[hourly_rate (USD)]]="",MEDIAN(Table1[hourly_rate (USD)]),Table1[[#This Row],[hourly_rate (USD)]])</f>
        <v>75</v>
      </c>
      <c r="O239" t="str">
        <f>TRIM(CLEAN(Table1[[#This Row],[Updated hourly_rate (USD)]]))</f>
        <v>75</v>
      </c>
      <c r="P239" t="str">
        <f>SUBSTITUTE(SUBSTITUTE(Table1[[#This Row],[Formatted hourly rate]],"USD ",""),"$","")</f>
        <v>75</v>
      </c>
      <c r="Q239">
        <v>5</v>
      </c>
      <c r="R239">
        <f>IF(Table1[[#This Row],[rating]]="",2.6,Table1[[#This Row],[rating]])</f>
        <v>5</v>
      </c>
      <c r="S239">
        <v>0</v>
      </c>
      <c r="T239" t="str">
        <f>TRIM(CLEAN(Table1[[#This Row],[is_active]]))</f>
        <v>0</v>
      </c>
      <c r="U23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39" s="11" t="str">
        <f>TRIM(IF(Table1[[#This Row],[is_active3]]="Unknown","TRUE",Table1[[#This Row],[is_active3]]))</f>
        <v>FALSE</v>
      </c>
      <c r="W239">
        <v>0.88</v>
      </c>
      <c r="X239">
        <f>IF(Table1[[#This Row],[client_satisfaction]]&gt;1,Table1[[#This Row],[client_satisfaction]]/100,Table1[[#This Row],[client_satisfaction]])</f>
        <v>0.88</v>
      </c>
      <c r="Y239">
        <f>IF(Table1[[#This Row],[client_satisfaction2]]=0,0.75,Table1[[#This Row],[client_satisfaction2]])</f>
        <v>0.88</v>
      </c>
    </row>
    <row r="240" spans="1:25" x14ac:dyDescent="0.25">
      <c r="A240" t="s">
        <v>560</v>
      </c>
      <c r="B240" t="s">
        <v>561</v>
      </c>
      <c r="C240" t="str">
        <f>PROPER(TRIM(SUBSTITUTE(SUBSTITUTE(SUBSTITUTE(Table1[[#This Row],[name]],"Ms. ",""),"Mr. ",""),"Mrs. ","")))</f>
        <v>Daniel Barnett</v>
      </c>
      <c r="D240" t="s">
        <v>97</v>
      </c>
      <c r="E2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40">
        <v>34</v>
      </c>
      <c r="G240" t="str">
        <f>TRIM(IF(Table1[[#This Row],[age]]="","Unknown",Table1[[#This Row],[age]]))</f>
        <v>34</v>
      </c>
      <c r="H240" t="s">
        <v>15</v>
      </c>
      <c r="I240" t="s">
        <v>16</v>
      </c>
      <c r="J240" t="s">
        <v>23</v>
      </c>
      <c r="K240">
        <v>11</v>
      </c>
      <c r="L240" s="10" t="str">
        <f>TRIM(IF(Table1[[#This Row],[years_of_experience]]="","Unknown",Table1[[#This Row],[years_of_experience]]))</f>
        <v>11</v>
      </c>
      <c r="M240" t="s">
        <v>55</v>
      </c>
      <c r="N240" t="str">
        <f>IF(Table1[[#This Row],[hourly_rate (USD)]]="",MEDIAN(Table1[hourly_rate (USD)]),Table1[[#This Row],[hourly_rate (USD)]])</f>
        <v>USD 40</v>
      </c>
      <c r="O240" t="str">
        <f>TRIM(CLEAN(Table1[[#This Row],[Updated hourly_rate (USD)]]))</f>
        <v>USD 40</v>
      </c>
      <c r="P240" t="str">
        <f>SUBSTITUTE(SUBSTITUTE(Table1[[#This Row],[Formatted hourly rate]],"USD ",""),"$","")</f>
        <v>40</v>
      </c>
      <c r="R240">
        <f>IF(Table1[[#This Row],[rating]]="",2.6,Table1[[#This Row],[rating]])</f>
        <v>2.6</v>
      </c>
      <c r="S240" t="b">
        <v>0</v>
      </c>
      <c r="T240" t="str">
        <f>TRIM(CLEAN(Table1[[#This Row],[is_active]]))</f>
        <v>FALSE</v>
      </c>
      <c r="U24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40" s="11" t="str">
        <f>TRIM(IF(Table1[[#This Row],[is_active3]]="Unknown","TRUE",Table1[[#This Row],[is_active3]]))</f>
        <v>TRUE</v>
      </c>
      <c r="W240">
        <v>0.67</v>
      </c>
      <c r="X240">
        <f>IF(Table1[[#This Row],[client_satisfaction]]&gt;1,Table1[[#This Row],[client_satisfaction]]/100,Table1[[#This Row],[client_satisfaction]])</f>
        <v>0.67</v>
      </c>
      <c r="Y240">
        <f>IF(Table1[[#This Row],[client_satisfaction2]]=0,0.75,Table1[[#This Row],[client_satisfaction2]])</f>
        <v>0.67</v>
      </c>
    </row>
    <row r="241" spans="1:25" x14ac:dyDescent="0.25">
      <c r="A241" t="s">
        <v>562</v>
      </c>
      <c r="B241" t="s">
        <v>563</v>
      </c>
      <c r="C241" t="str">
        <f>PROPER(TRIM(SUBSTITUTE(SUBSTITUTE(SUBSTITUTE(Table1[[#This Row],[name]],"Ms. ",""),"Mr. ",""),"Mrs. ","")))</f>
        <v>Mark Cummings</v>
      </c>
      <c r="D241" t="s">
        <v>92</v>
      </c>
      <c r="E2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41">
        <v>29</v>
      </c>
      <c r="G241" t="str">
        <f>TRIM(IF(Table1[[#This Row],[age]]="","Unknown",Table1[[#This Row],[age]]))</f>
        <v>29</v>
      </c>
      <c r="H241" t="s">
        <v>58</v>
      </c>
      <c r="I241" t="s">
        <v>22</v>
      </c>
      <c r="J241" t="s">
        <v>35</v>
      </c>
      <c r="K241">
        <v>4</v>
      </c>
      <c r="L241" s="10" t="str">
        <f>TRIM(IF(Table1[[#This Row],[years_of_experience]]="","Unknown",Table1[[#This Row],[years_of_experience]]))</f>
        <v>4</v>
      </c>
      <c r="M241" t="s">
        <v>98</v>
      </c>
      <c r="N241" t="str">
        <f>IF(Table1[[#This Row],[hourly_rate (USD)]]="",MEDIAN(Table1[hourly_rate (USD)]),Table1[[#This Row],[hourly_rate (USD)]])</f>
        <v>USD 50</v>
      </c>
      <c r="O241" t="str">
        <f>TRIM(CLEAN(Table1[[#This Row],[Updated hourly_rate (USD)]]))</f>
        <v>USD 50</v>
      </c>
      <c r="P241" t="str">
        <f>SUBSTITUTE(SUBSTITUTE(Table1[[#This Row],[Formatted hourly rate]],"USD ",""),"$","")</f>
        <v>50</v>
      </c>
      <c r="Q241">
        <v>4</v>
      </c>
      <c r="R241">
        <f>IF(Table1[[#This Row],[rating]]="",2.6,Table1[[#This Row],[rating]])</f>
        <v>4</v>
      </c>
      <c r="S241">
        <v>0</v>
      </c>
      <c r="T241" t="str">
        <f>TRIM(CLEAN(Table1[[#This Row],[is_active]]))</f>
        <v>0</v>
      </c>
      <c r="U24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41" s="11" t="str">
        <f>TRIM(IF(Table1[[#This Row],[is_active3]]="Unknown","TRUE",Table1[[#This Row],[is_active3]]))</f>
        <v>FALSE</v>
      </c>
      <c r="X241">
        <f>IF(Table1[[#This Row],[client_satisfaction]]&gt;1,Table1[[#This Row],[client_satisfaction]]/100,Table1[[#This Row],[client_satisfaction]])</f>
        <v>0</v>
      </c>
      <c r="Y241">
        <f>IF(Table1[[#This Row],[client_satisfaction2]]=0,0.75,Table1[[#This Row],[client_satisfaction2]])</f>
        <v>0.75</v>
      </c>
    </row>
    <row r="242" spans="1:25" x14ac:dyDescent="0.25">
      <c r="A242" t="s">
        <v>564</v>
      </c>
      <c r="B242" t="s">
        <v>565</v>
      </c>
      <c r="C242" t="str">
        <f>PROPER(TRIM(SUBSTITUTE(SUBSTITUTE(SUBSTITUTE(Table1[[#This Row],[name]],"Ms. ",""),"Mr. ",""),"Mrs. ","")))</f>
        <v>Christopher Guerra</v>
      </c>
      <c r="D242" t="s">
        <v>92</v>
      </c>
      <c r="E2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42">
        <v>34</v>
      </c>
      <c r="G242" t="str">
        <f>TRIM(IF(Table1[[#This Row],[age]]="","Unknown",Table1[[#This Row],[age]]))</f>
        <v>34</v>
      </c>
      <c r="H242" t="s">
        <v>93</v>
      </c>
      <c r="I242" t="s">
        <v>94</v>
      </c>
      <c r="J242" t="s">
        <v>44</v>
      </c>
      <c r="K242">
        <v>11</v>
      </c>
      <c r="L242" s="10" t="str">
        <f>TRIM(IF(Table1[[#This Row],[years_of_experience]]="","Unknown",Table1[[#This Row],[years_of_experience]]))</f>
        <v>11</v>
      </c>
      <c r="N242">
        <f>IF(Table1[[#This Row],[hourly_rate (USD)]]="",MEDIAN(Table1[hourly_rate (USD)]),Table1[[#This Row],[hourly_rate (USD)]])</f>
        <v>50</v>
      </c>
      <c r="O242" t="str">
        <f>TRIM(CLEAN(Table1[[#This Row],[Updated hourly_rate (USD)]]))</f>
        <v>50</v>
      </c>
      <c r="P242" t="str">
        <f>SUBSTITUTE(SUBSTITUTE(Table1[[#This Row],[Formatted hourly rate]],"USD ",""),"$","")</f>
        <v>50</v>
      </c>
      <c r="Q242">
        <v>1.2</v>
      </c>
      <c r="R242">
        <f>IF(Table1[[#This Row],[rating]]="",2.6,Table1[[#This Row],[rating]])</f>
        <v>1.2</v>
      </c>
      <c r="S242">
        <v>1</v>
      </c>
      <c r="T242" t="str">
        <f>TRIM(CLEAN(Table1[[#This Row],[is_active]]))</f>
        <v>1</v>
      </c>
      <c r="U24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42" s="11" t="str">
        <f>TRIM(IF(Table1[[#This Row],[is_active3]]="Unknown","TRUE",Table1[[#This Row],[is_active3]]))</f>
        <v>TRUE</v>
      </c>
      <c r="X242">
        <f>IF(Table1[[#This Row],[client_satisfaction]]&gt;1,Table1[[#This Row],[client_satisfaction]]/100,Table1[[#This Row],[client_satisfaction]])</f>
        <v>0</v>
      </c>
      <c r="Y242">
        <f>IF(Table1[[#This Row],[client_satisfaction2]]=0,0.75,Table1[[#This Row],[client_satisfaction2]])</f>
        <v>0.75</v>
      </c>
    </row>
    <row r="243" spans="1:25" x14ac:dyDescent="0.25">
      <c r="A243" t="s">
        <v>566</v>
      </c>
      <c r="B243" t="s">
        <v>567</v>
      </c>
      <c r="C243" t="str">
        <f>PROPER(TRIM(SUBSTITUTE(SUBSTITUTE(SUBSTITUTE(Table1[[#This Row],[name]],"Ms. ",""),"Mr. ",""),"Mrs. ","")))</f>
        <v>Sarah Ho</v>
      </c>
      <c r="D243" t="s">
        <v>39</v>
      </c>
      <c r="E2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43">
        <v>32</v>
      </c>
      <c r="G243" t="str">
        <f>TRIM(IF(Table1[[#This Row],[age]]="","Unknown",Table1[[#This Row],[age]]))</f>
        <v>32</v>
      </c>
      <c r="H243" t="s">
        <v>179</v>
      </c>
      <c r="I243" t="s">
        <v>72</v>
      </c>
      <c r="J243" t="s">
        <v>44</v>
      </c>
      <c r="K243">
        <v>1</v>
      </c>
      <c r="L243" s="10" t="str">
        <f>TRIM(IF(Table1[[#This Row],[years_of_experience]]="","Unknown",Table1[[#This Row],[years_of_experience]]))</f>
        <v>1</v>
      </c>
      <c r="M243">
        <v>100</v>
      </c>
      <c r="N243">
        <f>IF(Table1[[#This Row],[hourly_rate (USD)]]="",MEDIAN(Table1[hourly_rate (USD)]),Table1[[#This Row],[hourly_rate (USD)]])</f>
        <v>100</v>
      </c>
      <c r="O243" t="str">
        <f>TRIM(CLEAN(Table1[[#This Row],[Updated hourly_rate (USD)]]))</f>
        <v>100</v>
      </c>
      <c r="P243" t="str">
        <f>SUBSTITUTE(SUBSTITUTE(Table1[[#This Row],[Formatted hourly rate]],"USD ",""),"$","")</f>
        <v>100</v>
      </c>
      <c r="Q243">
        <v>4.7</v>
      </c>
      <c r="R243">
        <f>IF(Table1[[#This Row],[rating]]="",2.6,Table1[[#This Row],[rating]])</f>
        <v>4.7</v>
      </c>
      <c r="S243">
        <v>0</v>
      </c>
      <c r="T243" t="str">
        <f>TRIM(CLEAN(Table1[[#This Row],[is_active]]))</f>
        <v>0</v>
      </c>
      <c r="U24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43" s="11" t="str">
        <f>TRIM(IF(Table1[[#This Row],[is_active3]]="Unknown","TRUE",Table1[[#This Row],[is_active3]]))</f>
        <v>FALSE</v>
      </c>
      <c r="W243">
        <v>0.67</v>
      </c>
      <c r="X243">
        <f>IF(Table1[[#This Row],[client_satisfaction]]&gt;1,Table1[[#This Row],[client_satisfaction]]/100,Table1[[#This Row],[client_satisfaction]])</f>
        <v>0.67</v>
      </c>
      <c r="Y243">
        <f>IF(Table1[[#This Row],[client_satisfaction2]]=0,0.75,Table1[[#This Row],[client_satisfaction2]])</f>
        <v>0.67</v>
      </c>
    </row>
    <row r="244" spans="1:25" x14ac:dyDescent="0.25">
      <c r="A244" t="s">
        <v>568</v>
      </c>
      <c r="B244" t="s">
        <v>569</v>
      </c>
      <c r="C244" t="str">
        <f>PROPER(TRIM(SUBSTITUTE(SUBSTITUTE(SUBSTITUTE(Table1[[#This Row],[name]],"Ms. ",""),"Mr. ",""),"Mrs. ","")))</f>
        <v>Veronica Thomas</v>
      </c>
      <c r="D244" t="s">
        <v>14</v>
      </c>
      <c r="E2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44">
        <v>21</v>
      </c>
      <c r="G244" t="str">
        <f>TRIM(IF(Table1[[#This Row],[age]]="","Unknown",Table1[[#This Row],[age]]))</f>
        <v>21</v>
      </c>
      <c r="H244" t="s">
        <v>153</v>
      </c>
      <c r="I244" t="s">
        <v>154</v>
      </c>
      <c r="J244" t="s">
        <v>114</v>
      </c>
      <c r="K244">
        <v>2</v>
      </c>
      <c r="L244" s="10" t="str">
        <f>TRIM(IF(Table1[[#This Row],[years_of_experience]]="","Unknown",Table1[[#This Row],[years_of_experience]]))</f>
        <v>2</v>
      </c>
      <c r="M244">
        <v>20</v>
      </c>
      <c r="N244">
        <f>IF(Table1[[#This Row],[hourly_rate (USD)]]="",MEDIAN(Table1[hourly_rate (USD)]),Table1[[#This Row],[hourly_rate (USD)]])</f>
        <v>20</v>
      </c>
      <c r="O244" t="str">
        <f>TRIM(CLEAN(Table1[[#This Row],[Updated hourly_rate (USD)]]))</f>
        <v>20</v>
      </c>
      <c r="P244" t="str">
        <f>SUBSTITUTE(SUBSTITUTE(Table1[[#This Row],[Formatted hourly rate]],"USD ",""),"$","")</f>
        <v>20</v>
      </c>
      <c r="Q244">
        <v>2.4</v>
      </c>
      <c r="R244">
        <f>IF(Table1[[#This Row],[rating]]="",2.6,Table1[[#This Row],[rating]])</f>
        <v>2.4</v>
      </c>
      <c r="T244" t="str">
        <f>TRIM(CLEAN(Table1[[#This Row],[is_active]]))</f>
        <v/>
      </c>
      <c r="U24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44" s="11" t="str">
        <f>TRIM(IF(Table1[[#This Row],[is_active3]]="Unknown","TRUE",Table1[[#This Row],[is_active3]]))</f>
        <v>TRUE</v>
      </c>
      <c r="W244">
        <v>0.86</v>
      </c>
      <c r="X244">
        <f>IF(Table1[[#This Row],[client_satisfaction]]&gt;1,Table1[[#This Row],[client_satisfaction]]/100,Table1[[#This Row],[client_satisfaction]])</f>
        <v>0.86</v>
      </c>
      <c r="Y244">
        <f>IF(Table1[[#This Row],[client_satisfaction2]]=0,0.75,Table1[[#This Row],[client_satisfaction2]])</f>
        <v>0.86</v>
      </c>
    </row>
    <row r="245" spans="1:25" x14ac:dyDescent="0.25">
      <c r="A245" t="s">
        <v>570</v>
      </c>
      <c r="B245" t="s">
        <v>571</v>
      </c>
      <c r="C245" t="str">
        <f>PROPER(TRIM(SUBSTITUTE(SUBSTITUTE(SUBSTITUTE(Table1[[#This Row],[name]],"Ms. ",""),"Mr. ",""),"Mrs. ","")))</f>
        <v>Mitchell Watson</v>
      </c>
      <c r="D245" t="s">
        <v>61</v>
      </c>
      <c r="E2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45">
        <v>20</v>
      </c>
      <c r="G245" t="str">
        <f>TRIM(IF(Table1[[#This Row],[age]]="","Unknown",Table1[[#This Row],[age]]))</f>
        <v>20</v>
      </c>
      <c r="H245" t="s">
        <v>179</v>
      </c>
      <c r="I245" t="s">
        <v>72</v>
      </c>
      <c r="J245" t="s">
        <v>30</v>
      </c>
      <c r="K245">
        <v>2</v>
      </c>
      <c r="L245" s="10" t="str">
        <f>TRIM(IF(Table1[[#This Row],[years_of_experience]]="","Unknown",Table1[[#This Row],[years_of_experience]]))</f>
        <v>2</v>
      </c>
      <c r="N245">
        <f>IF(Table1[[#This Row],[hourly_rate (USD)]]="",MEDIAN(Table1[hourly_rate (USD)]),Table1[[#This Row],[hourly_rate (USD)]])</f>
        <v>50</v>
      </c>
      <c r="O245" t="str">
        <f>TRIM(CLEAN(Table1[[#This Row],[Updated hourly_rate (USD)]]))</f>
        <v>50</v>
      </c>
      <c r="P245" t="str">
        <f>SUBSTITUTE(SUBSTITUTE(Table1[[#This Row],[Formatted hourly rate]],"USD ",""),"$","")</f>
        <v>50</v>
      </c>
      <c r="Q245">
        <v>1.1000000000000001</v>
      </c>
      <c r="R245">
        <f>IF(Table1[[#This Row],[rating]]="",2.6,Table1[[#This Row],[rating]])</f>
        <v>1.1000000000000001</v>
      </c>
      <c r="S245" t="b">
        <v>0</v>
      </c>
      <c r="T245" t="str">
        <f>TRIM(CLEAN(Table1[[#This Row],[is_active]]))</f>
        <v>FALSE</v>
      </c>
      <c r="U24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45" s="11" t="str">
        <f>TRIM(IF(Table1[[#This Row],[is_active3]]="Unknown","TRUE",Table1[[#This Row],[is_active3]]))</f>
        <v>TRUE</v>
      </c>
      <c r="W245">
        <v>0.69</v>
      </c>
      <c r="X245">
        <f>IF(Table1[[#This Row],[client_satisfaction]]&gt;1,Table1[[#This Row],[client_satisfaction]]/100,Table1[[#This Row],[client_satisfaction]])</f>
        <v>0.69</v>
      </c>
      <c r="Y245">
        <f>IF(Table1[[#This Row],[client_satisfaction2]]=0,0.75,Table1[[#This Row],[client_satisfaction2]])</f>
        <v>0.69</v>
      </c>
    </row>
    <row r="246" spans="1:25" x14ac:dyDescent="0.25">
      <c r="A246" t="s">
        <v>572</v>
      </c>
      <c r="B246" t="s">
        <v>573</v>
      </c>
      <c r="C246" t="str">
        <f>PROPER(TRIM(SUBSTITUTE(SUBSTITUTE(SUBSTITUTE(Table1[[#This Row],[name]],"Ms. ",""),"Mr. ",""),"Mrs. ","")))</f>
        <v>Monica Murphy</v>
      </c>
      <c r="D246" t="s">
        <v>20</v>
      </c>
      <c r="E2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46">
        <v>35</v>
      </c>
      <c r="G246" t="str">
        <f>TRIM(IF(Table1[[#This Row],[age]]="","Unknown",Table1[[#This Row],[age]]))</f>
        <v>35</v>
      </c>
      <c r="H246" t="s">
        <v>58</v>
      </c>
      <c r="I246" t="s">
        <v>22</v>
      </c>
      <c r="J246" t="s">
        <v>23</v>
      </c>
      <c r="K246">
        <v>10</v>
      </c>
      <c r="L246" s="10" t="str">
        <f>TRIM(IF(Table1[[#This Row],[years_of_experience]]="","Unknown",Table1[[#This Row],[years_of_experience]]))</f>
        <v>10</v>
      </c>
      <c r="M246">
        <v>50</v>
      </c>
      <c r="N246">
        <f>IF(Table1[[#This Row],[hourly_rate (USD)]]="",MEDIAN(Table1[hourly_rate (USD)]),Table1[[#This Row],[hourly_rate (USD)]])</f>
        <v>50</v>
      </c>
      <c r="O246" t="str">
        <f>TRIM(CLEAN(Table1[[#This Row],[Updated hourly_rate (USD)]]))</f>
        <v>50</v>
      </c>
      <c r="P246" t="str">
        <f>SUBSTITUTE(SUBSTITUTE(Table1[[#This Row],[Formatted hourly rate]],"USD ",""),"$","")</f>
        <v>50</v>
      </c>
      <c r="Q246">
        <v>1.4</v>
      </c>
      <c r="R246">
        <f>IF(Table1[[#This Row],[rating]]="",2.6,Table1[[#This Row],[rating]])</f>
        <v>1.4</v>
      </c>
      <c r="S246" t="b">
        <v>1</v>
      </c>
      <c r="T246" t="str">
        <f>TRIM(CLEAN(Table1[[#This Row],[is_active]]))</f>
        <v>TRUE</v>
      </c>
      <c r="U24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46" s="11" t="str">
        <f>TRIM(IF(Table1[[#This Row],[is_active3]]="Unknown","TRUE",Table1[[#This Row],[is_active3]]))</f>
        <v>TRUE</v>
      </c>
      <c r="W246">
        <v>0.85</v>
      </c>
      <c r="X246">
        <f>IF(Table1[[#This Row],[client_satisfaction]]&gt;1,Table1[[#This Row],[client_satisfaction]]/100,Table1[[#This Row],[client_satisfaction]])</f>
        <v>0.85</v>
      </c>
      <c r="Y246">
        <f>IF(Table1[[#This Row],[client_satisfaction2]]=0,0.75,Table1[[#This Row],[client_satisfaction2]])</f>
        <v>0.85</v>
      </c>
    </row>
    <row r="247" spans="1:25" x14ac:dyDescent="0.25">
      <c r="A247" t="s">
        <v>574</v>
      </c>
      <c r="B247" t="s">
        <v>575</v>
      </c>
      <c r="C247" t="str">
        <f>PROPER(TRIM(SUBSTITUTE(SUBSTITUTE(SUBSTITUTE(Table1[[#This Row],[name]],"Ms. ",""),"Mr. ",""),"Mrs. ","")))</f>
        <v>Kristen Williams</v>
      </c>
      <c r="D247" t="s">
        <v>14</v>
      </c>
      <c r="E2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47">
        <v>47</v>
      </c>
      <c r="G247" t="str">
        <f>TRIM(IF(Table1[[#This Row],[age]]="","Unknown",Table1[[#This Row],[age]]))</f>
        <v>47</v>
      </c>
      <c r="H247" t="s">
        <v>58</v>
      </c>
      <c r="I247" t="s">
        <v>22</v>
      </c>
      <c r="J247" t="s">
        <v>73</v>
      </c>
      <c r="K247">
        <v>18</v>
      </c>
      <c r="L247" s="10" t="str">
        <f>TRIM(IF(Table1[[#This Row],[years_of_experience]]="","Unknown",Table1[[#This Row],[years_of_experience]]))</f>
        <v>18</v>
      </c>
      <c r="M247">
        <v>40</v>
      </c>
      <c r="N247">
        <f>IF(Table1[[#This Row],[hourly_rate (USD)]]="",MEDIAN(Table1[hourly_rate (USD)]),Table1[[#This Row],[hourly_rate (USD)]])</f>
        <v>40</v>
      </c>
      <c r="O247" t="str">
        <f>TRIM(CLEAN(Table1[[#This Row],[Updated hourly_rate (USD)]]))</f>
        <v>40</v>
      </c>
      <c r="P247" t="str">
        <f>SUBSTITUTE(SUBSTITUTE(Table1[[#This Row],[Formatted hourly rate]],"USD ",""),"$","")</f>
        <v>40</v>
      </c>
      <c r="Q247">
        <v>3.4</v>
      </c>
      <c r="R247">
        <f>IF(Table1[[#This Row],[rating]]="",2.6,Table1[[#This Row],[rating]])</f>
        <v>3.4</v>
      </c>
      <c r="S247">
        <v>0</v>
      </c>
      <c r="T247" t="str">
        <f>TRIM(CLEAN(Table1[[#This Row],[is_active]]))</f>
        <v>0</v>
      </c>
      <c r="U2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47" s="11" t="str">
        <f>TRIM(IF(Table1[[#This Row],[is_active3]]="Unknown","TRUE",Table1[[#This Row],[is_active3]]))</f>
        <v>FALSE</v>
      </c>
      <c r="W247">
        <v>60</v>
      </c>
      <c r="X247">
        <f>IF(Table1[[#This Row],[client_satisfaction]]&gt;1,Table1[[#This Row],[client_satisfaction]]/100,Table1[[#This Row],[client_satisfaction]])</f>
        <v>0.6</v>
      </c>
      <c r="Y247">
        <f>IF(Table1[[#This Row],[client_satisfaction2]]=0,0.75,Table1[[#This Row],[client_satisfaction2]])</f>
        <v>0.6</v>
      </c>
    </row>
    <row r="248" spans="1:25" x14ac:dyDescent="0.25">
      <c r="A248" t="s">
        <v>576</v>
      </c>
      <c r="B248" t="s">
        <v>577</v>
      </c>
      <c r="C248" t="str">
        <f>PROPER(TRIM(SUBSTITUTE(SUBSTITUTE(SUBSTITUTE(Table1[[#This Row],[name]],"Ms. ",""),"Mr. ",""),"Mrs. ","")))</f>
        <v>Nicole Wright</v>
      </c>
      <c r="D248" t="s">
        <v>14</v>
      </c>
      <c r="E2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48">
        <v>41</v>
      </c>
      <c r="G248" t="str">
        <f>TRIM(IF(Table1[[#This Row],[age]]="","Unknown",Table1[[#This Row],[age]]))</f>
        <v>41</v>
      </c>
      <c r="H248" t="s">
        <v>62</v>
      </c>
      <c r="I248" t="s">
        <v>63</v>
      </c>
      <c r="J248" t="s">
        <v>17</v>
      </c>
      <c r="K248">
        <v>4</v>
      </c>
      <c r="L248" s="10" t="str">
        <f>TRIM(IF(Table1[[#This Row],[years_of_experience]]="","Unknown",Table1[[#This Row],[years_of_experience]]))</f>
        <v>4</v>
      </c>
      <c r="M248">
        <v>40</v>
      </c>
      <c r="N248">
        <f>IF(Table1[[#This Row],[hourly_rate (USD)]]="",MEDIAN(Table1[hourly_rate (USD)]),Table1[[#This Row],[hourly_rate (USD)]])</f>
        <v>40</v>
      </c>
      <c r="O248" t="str">
        <f>TRIM(CLEAN(Table1[[#This Row],[Updated hourly_rate (USD)]]))</f>
        <v>40</v>
      </c>
      <c r="P248" t="str">
        <f>SUBSTITUTE(SUBSTITUTE(Table1[[#This Row],[Formatted hourly rate]],"USD ",""),"$","")</f>
        <v>40</v>
      </c>
      <c r="Q248">
        <v>2.7</v>
      </c>
      <c r="R248">
        <f>IF(Table1[[#This Row],[rating]]="",2.6,Table1[[#This Row],[rating]])</f>
        <v>2.7</v>
      </c>
      <c r="S248">
        <v>1</v>
      </c>
      <c r="T248" t="str">
        <f>TRIM(CLEAN(Table1[[#This Row],[is_active]]))</f>
        <v>1</v>
      </c>
      <c r="U24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48" s="11" t="str">
        <f>TRIM(IF(Table1[[#This Row],[is_active3]]="Unknown","TRUE",Table1[[#This Row],[is_active3]]))</f>
        <v>TRUE</v>
      </c>
      <c r="W248">
        <v>70</v>
      </c>
      <c r="X248">
        <f>IF(Table1[[#This Row],[client_satisfaction]]&gt;1,Table1[[#This Row],[client_satisfaction]]/100,Table1[[#This Row],[client_satisfaction]])</f>
        <v>0.7</v>
      </c>
      <c r="Y248">
        <f>IF(Table1[[#This Row],[client_satisfaction2]]=0,0.75,Table1[[#This Row],[client_satisfaction2]])</f>
        <v>0.7</v>
      </c>
    </row>
    <row r="249" spans="1:25" x14ac:dyDescent="0.25">
      <c r="A249" t="s">
        <v>578</v>
      </c>
      <c r="B249" t="s">
        <v>579</v>
      </c>
      <c r="C249" t="str">
        <f>PROPER(TRIM(SUBSTITUTE(SUBSTITUTE(SUBSTITUTE(Table1[[#This Row],[name]],"Ms. ",""),"Mr. ",""),"Mrs. ","")))</f>
        <v>Andrew Ruiz</v>
      </c>
      <c r="D249" t="s">
        <v>27</v>
      </c>
      <c r="E2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49">
        <v>58</v>
      </c>
      <c r="G249" t="str">
        <f>TRIM(IF(Table1[[#This Row],[age]]="","Unknown",Table1[[#This Row],[age]]))</f>
        <v>58</v>
      </c>
      <c r="H249" t="s">
        <v>71</v>
      </c>
      <c r="I249" t="s">
        <v>72</v>
      </c>
      <c r="J249" t="s">
        <v>35</v>
      </c>
      <c r="K249">
        <v>23</v>
      </c>
      <c r="L249" s="10" t="str">
        <f>TRIM(IF(Table1[[#This Row],[years_of_experience]]="","Unknown",Table1[[#This Row],[years_of_experience]]))</f>
        <v>23</v>
      </c>
      <c r="N249">
        <f>IF(Table1[[#This Row],[hourly_rate (USD)]]="",MEDIAN(Table1[hourly_rate (USD)]),Table1[[#This Row],[hourly_rate (USD)]])</f>
        <v>50</v>
      </c>
      <c r="O249" t="str">
        <f>TRIM(CLEAN(Table1[[#This Row],[Updated hourly_rate (USD)]]))</f>
        <v>50</v>
      </c>
      <c r="P249" t="str">
        <f>SUBSTITUTE(SUBSTITUTE(Table1[[#This Row],[Formatted hourly rate]],"USD ",""),"$","")</f>
        <v>50</v>
      </c>
      <c r="Q249">
        <v>4.9000000000000004</v>
      </c>
      <c r="R249">
        <f>IF(Table1[[#This Row],[rating]]="",2.6,Table1[[#This Row],[rating]])</f>
        <v>4.9000000000000004</v>
      </c>
      <c r="S249" t="b">
        <v>0</v>
      </c>
      <c r="T249" t="str">
        <f>TRIM(CLEAN(Table1[[#This Row],[is_active]]))</f>
        <v>FALSE</v>
      </c>
      <c r="U24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49" s="11" t="str">
        <f>TRIM(IF(Table1[[#This Row],[is_active3]]="Unknown","TRUE",Table1[[#This Row],[is_active3]]))</f>
        <v>TRUE</v>
      </c>
      <c r="X249">
        <f>IF(Table1[[#This Row],[client_satisfaction]]&gt;1,Table1[[#This Row],[client_satisfaction]]/100,Table1[[#This Row],[client_satisfaction]])</f>
        <v>0</v>
      </c>
      <c r="Y249">
        <f>IF(Table1[[#This Row],[client_satisfaction2]]=0,0.75,Table1[[#This Row],[client_satisfaction2]])</f>
        <v>0.75</v>
      </c>
    </row>
    <row r="250" spans="1:25" x14ac:dyDescent="0.25">
      <c r="A250" t="s">
        <v>580</v>
      </c>
      <c r="B250" t="s">
        <v>581</v>
      </c>
      <c r="C250" t="str">
        <f>PROPER(TRIM(SUBSTITUTE(SUBSTITUTE(SUBSTITUTE(Table1[[#This Row],[name]],"Ms. ",""),"Mr. ",""),"Mrs. ","")))</f>
        <v>Zachary Jackson</v>
      </c>
      <c r="D250" t="s">
        <v>48</v>
      </c>
      <c r="E2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50">
        <v>34</v>
      </c>
      <c r="G250" t="str">
        <f>TRIM(IF(Table1[[#This Row],[age]]="","Unknown",Table1[[#This Row],[age]]))</f>
        <v>34</v>
      </c>
      <c r="H250" t="s">
        <v>175</v>
      </c>
      <c r="I250" t="s">
        <v>176</v>
      </c>
      <c r="J250" t="s">
        <v>51</v>
      </c>
      <c r="K250">
        <v>6</v>
      </c>
      <c r="L250" s="10" t="str">
        <f>TRIM(IF(Table1[[#This Row],[years_of_experience]]="","Unknown",Table1[[#This Row],[years_of_experience]]))</f>
        <v>6</v>
      </c>
      <c r="M250">
        <v>75</v>
      </c>
      <c r="N250">
        <f>IF(Table1[[#This Row],[hourly_rate (USD)]]="",MEDIAN(Table1[hourly_rate (USD)]),Table1[[#This Row],[hourly_rate (USD)]])</f>
        <v>75</v>
      </c>
      <c r="O250" t="str">
        <f>TRIM(CLEAN(Table1[[#This Row],[Updated hourly_rate (USD)]]))</f>
        <v>75</v>
      </c>
      <c r="P250" t="str">
        <f>SUBSTITUTE(SUBSTITUTE(Table1[[#This Row],[Formatted hourly rate]],"USD ",""),"$","")</f>
        <v>75</v>
      </c>
      <c r="Q250">
        <v>1.9</v>
      </c>
      <c r="R250">
        <f>IF(Table1[[#This Row],[rating]]="",2.6,Table1[[#This Row],[rating]])</f>
        <v>1.9</v>
      </c>
      <c r="S250">
        <v>1</v>
      </c>
      <c r="T250" t="str">
        <f>TRIM(CLEAN(Table1[[#This Row],[is_active]]))</f>
        <v>1</v>
      </c>
      <c r="U25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50" s="11" t="str">
        <f>TRIM(IF(Table1[[#This Row],[is_active3]]="Unknown","TRUE",Table1[[#This Row],[is_active3]]))</f>
        <v>TRUE</v>
      </c>
      <c r="W250">
        <v>0.81</v>
      </c>
      <c r="X250">
        <f>IF(Table1[[#This Row],[client_satisfaction]]&gt;1,Table1[[#This Row],[client_satisfaction]]/100,Table1[[#This Row],[client_satisfaction]])</f>
        <v>0.81</v>
      </c>
      <c r="Y250">
        <f>IF(Table1[[#This Row],[client_satisfaction2]]=0,0.75,Table1[[#This Row],[client_satisfaction2]])</f>
        <v>0.81</v>
      </c>
    </row>
    <row r="251" spans="1:25" x14ac:dyDescent="0.25">
      <c r="A251" t="s">
        <v>582</v>
      </c>
      <c r="B251" t="s">
        <v>583</v>
      </c>
      <c r="C251" t="str">
        <f>PROPER(TRIM(SUBSTITUTE(SUBSTITUTE(SUBSTITUTE(Table1[[#This Row],[name]],"Ms. ",""),"Mr. ",""),"Mrs. ","")))</f>
        <v>Stephanie Carter</v>
      </c>
      <c r="D251" t="s">
        <v>14</v>
      </c>
      <c r="E2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51">
        <v>50</v>
      </c>
      <c r="G251" t="str">
        <f>TRIM(IF(Table1[[#This Row],[age]]="","Unknown",Table1[[#This Row],[age]]))</f>
        <v>50</v>
      </c>
      <c r="H251" t="s">
        <v>93</v>
      </c>
      <c r="I251" t="s">
        <v>94</v>
      </c>
      <c r="J251" t="s">
        <v>23</v>
      </c>
      <c r="K251">
        <v>5</v>
      </c>
      <c r="L251" s="10" t="str">
        <f>TRIM(IF(Table1[[#This Row],[years_of_experience]]="","Unknown",Table1[[#This Row],[years_of_experience]]))</f>
        <v>5</v>
      </c>
      <c r="M251">
        <v>100</v>
      </c>
      <c r="N251">
        <f>IF(Table1[[#This Row],[hourly_rate (USD)]]="",MEDIAN(Table1[hourly_rate (USD)]),Table1[[#This Row],[hourly_rate (USD)]])</f>
        <v>100</v>
      </c>
      <c r="O251" t="str">
        <f>TRIM(CLEAN(Table1[[#This Row],[Updated hourly_rate (USD)]]))</f>
        <v>100</v>
      </c>
      <c r="P251" t="str">
        <f>SUBSTITUTE(SUBSTITUTE(Table1[[#This Row],[Formatted hourly rate]],"USD ",""),"$","")</f>
        <v>100</v>
      </c>
      <c r="R251">
        <f>IF(Table1[[#This Row],[rating]]="",2.6,Table1[[#This Row],[rating]])</f>
        <v>2.6</v>
      </c>
      <c r="S251">
        <v>1</v>
      </c>
      <c r="T251" t="str">
        <f>TRIM(CLEAN(Table1[[#This Row],[is_active]]))</f>
        <v>1</v>
      </c>
      <c r="U25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51" s="11" t="str">
        <f>TRIM(IF(Table1[[#This Row],[is_active3]]="Unknown","TRUE",Table1[[#This Row],[is_active3]]))</f>
        <v>TRUE</v>
      </c>
      <c r="X251">
        <f>IF(Table1[[#This Row],[client_satisfaction]]&gt;1,Table1[[#This Row],[client_satisfaction]]/100,Table1[[#This Row],[client_satisfaction]])</f>
        <v>0</v>
      </c>
      <c r="Y251">
        <f>IF(Table1[[#This Row],[client_satisfaction2]]=0,0.75,Table1[[#This Row],[client_satisfaction2]])</f>
        <v>0.75</v>
      </c>
    </row>
    <row r="252" spans="1:25" x14ac:dyDescent="0.25">
      <c r="A252" t="s">
        <v>584</v>
      </c>
      <c r="B252" t="s">
        <v>585</v>
      </c>
      <c r="C252" t="str">
        <f>PROPER(TRIM(SUBSTITUTE(SUBSTITUTE(SUBSTITUTE(Table1[[#This Row],[name]],"Ms. ",""),"Mr. ",""),"Mrs. ","")))</f>
        <v>Amy Olson</v>
      </c>
      <c r="D252" t="s">
        <v>14</v>
      </c>
      <c r="E2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52">
        <v>42</v>
      </c>
      <c r="G252" t="str">
        <f>TRIM(IF(Table1[[#This Row],[age]]="","Unknown",Table1[[#This Row],[age]]))</f>
        <v>42</v>
      </c>
      <c r="H252" t="s">
        <v>179</v>
      </c>
      <c r="I252" t="s">
        <v>72</v>
      </c>
      <c r="J252" t="s">
        <v>89</v>
      </c>
      <c r="K252">
        <v>19</v>
      </c>
      <c r="L252" s="10" t="str">
        <f>TRIM(IF(Table1[[#This Row],[years_of_experience]]="","Unknown",Table1[[#This Row],[years_of_experience]]))</f>
        <v>19</v>
      </c>
      <c r="M252" t="s">
        <v>52</v>
      </c>
      <c r="N252" t="str">
        <f>IF(Table1[[#This Row],[hourly_rate (USD)]]="",MEDIAN(Table1[hourly_rate (USD)]),Table1[[#This Row],[hourly_rate (USD)]])</f>
        <v>USD 75</v>
      </c>
      <c r="O252" t="str">
        <f>TRIM(CLEAN(Table1[[#This Row],[Updated hourly_rate (USD)]]))</f>
        <v>USD 75</v>
      </c>
      <c r="P252" t="str">
        <f>SUBSTITUTE(SUBSTITUTE(Table1[[#This Row],[Formatted hourly rate]],"USD ",""),"$","")</f>
        <v>75</v>
      </c>
      <c r="Q252">
        <v>4.5999999999999996</v>
      </c>
      <c r="R252">
        <f>IF(Table1[[#This Row],[rating]]="",2.6,Table1[[#This Row],[rating]])</f>
        <v>4.5999999999999996</v>
      </c>
      <c r="S252">
        <v>0</v>
      </c>
      <c r="T252" t="str">
        <f>TRIM(CLEAN(Table1[[#This Row],[is_active]]))</f>
        <v>0</v>
      </c>
      <c r="U25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52" s="11" t="str">
        <f>TRIM(IF(Table1[[#This Row],[is_active3]]="Unknown","TRUE",Table1[[#This Row],[is_active3]]))</f>
        <v>FALSE</v>
      </c>
      <c r="W252">
        <v>0.78</v>
      </c>
      <c r="X252">
        <f>IF(Table1[[#This Row],[client_satisfaction]]&gt;1,Table1[[#This Row],[client_satisfaction]]/100,Table1[[#This Row],[client_satisfaction]])</f>
        <v>0.78</v>
      </c>
      <c r="Y252">
        <f>IF(Table1[[#This Row],[client_satisfaction2]]=0,0.75,Table1[[#This Row],[client_satisfaction2]])</f>
        <v>0.78</v>
      </c>
    </row>
    <row r="253" spans="1:25" x14ac:dyDescent="0.25">
      <c r="A253" t="s">
        <v>586</v>
      </c>
      <c r="B253" t="s">
        <v>587</v>
      </c>
      <c r="C253" t="str">
        <f>PROPER(TRIM(SUBSTITUTE(SUBSTITUTE(SUBSTITUTE(Table1[[#This Row],[name]],"Ms. ",""),"Mr. ",""),"Mrs. ","")))</f>
        <v>Fred Stark</v>
      </c>
      <c r="D253" t="s">
        <v>92</v>
      </c>
      <c r="E2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53">
        <v>43</v>
      </c>
      <c r="G253" t="str">
        <f>TRIM(IF(Table1[[#This Row],[age]]="","Unknown",Table1[[#This Row],[age]]))</f>
        <v>43</v>
      </c>
      <c r="H253" t="s">
        <v>28</v>
      </c>
      <c r="I253" t="s">
        <v>29</v>
      </c>
      <c r="J253" t="s">
        <v>73</v>
      </c>
      <c r="K253">
        <v>6</v>
      </c>
      <c r="L253" s="10" t="str">
        <f>TRIM(IF(Table1[[#This Row],[years_of_experience]]="","Unknown",Table1[[#This Row],[years_of_experience]]))</f>
        <v>6</v>
      </c>
      <c r="M253">
        <v>50</v>
      </c>
      <c r="N253">
        <f>IF(Table1[[#This Row],[hourly_rate (USD)]]="",MEDIAN(Table1[hourly_rate (USD)]),Table1[[#This Row],[hourly_rate (USD)]])</f>
        <v>50</v>
      </c>
      <c r="O253" t="str">
        <f>TRIM(CLEAN(Table1[[#This Row],[Updated hourly_rate (USD)]]))</f>
        <v>50</v>
      </c>
      <c r="P253" t="str">
        <f>SUBSTITUTE(SUBSTITUTE(Table1[[#This Row],[Formatted hourly rate]],"USD ",""),"$","")</f>
        <v>50</v>
      </c>
      <c r="Q253">
        <v>0</v>
      </c>
      <c r="R253">
        <f>IF(Table1[[#This Row],[rating]]="",2.6,Table1[[#This Row],[rating]])</f>
        <v>0</v>
      </c>
      <c r="S253">
        <v>0</v>
      </c>
      <c r="T253" t="str">
        <f>TRIM(CLEAN(Table1[[#This Row],[is_active]]))</f>
        <v>0</v>
      </c>
      <c r="U25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53" s="11" t="str">
        <f>TRIM(IF(Table1[[#This Row],[is_active3]]="Unknown","TRUE",Table1[[#This Row],[is_active3]]))</f>
        <v>FALSE</v>
      </c>
      <c r="W253">
        <v>81</v>
      </c>
      <c r="X253">
        <f>IF(Table1[[#This Row],[client_satisfaction]]&gt;1,Table1[[#This Row],[client_satisfaction]]/100,Table1[[#This Row],[client_satisfaction]])</f>
        <v>0.81</v>
      </c>
      <c r="Y253">
        <f>IF(Table1[[#This Row],[client_satisfaction2]]=0,0.75,Table1[[#This Row],[client_satisfaction2]])</f>
        <v>0.81</v>
      </c>
    </row>
    <row r="254" spans="1:25" x14ac:dyDescent="0.25">
      <c r="A254" t="s">
        <v>588</v>
      </c>
      <c r="B254" t="s">
        <v>589</v>
      </c>
      <c r="C254" t="str">
        <f>PROPER(TRIM(SUBSTITUTE(SUBSTITUTE(SUBSTITUTE(Table1[[#This Row],[name]],"Ms. ",""),"Mr. ",""),"Mrs. ","")))</f>
        <v>Jacob Gill</v>
      </c>
      <c r="D254" t="s">
        <v>97</v>
      </c>
      <c r="E2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54">
        <v>34</v>
      </c>
      <c r="G254" t="str">
        <f>TRIM(IF(Table1[[#This Row],[age]]="","Unknown",Table1[[#This Row],[age]]))</f>
        <v>34</v>
      </c>
      <c r="H254" t="s">
        <v>28</v>
      </c>
      <c r="I254" t="s">
        <v>29</v>
      </c>
      <c r="J254" t="s">
        <v>51</v>
      </c>
      <c r="K254">
        <v>8</v>
      </c>
      <c r="L254" s="10" t="str">
        <f>TRIM(IF(Table1[[#This Row],[years_of_experience]]="","Unknown",Table1[[#This Row],[years_of_experience]]))</f>
        <v>8</v>
      </c>
      <c r="M254">
        <v>75</v>
      </c>
      <c r="N254">
        <f>IF(Table1[[#This Row],[hourly_rate (USD)]]="",MEDIAN(Table1[hourly_rate (USD)]),Table1[[#This Row],[hourly_rate (USD)]])</f>
        <v>75</v>
      </c>
      <c r="O254" t="str">
        <f>TRIM(CLEAN(Table1[[#This Row],[Updated hourly_rate (USD)]]))</f>
        <v>75</v>
      </c>
      <c r="P254" t="str">
        <f>SUBSTITUTE(SUBSTITUTE(Table1[[#This Row],[Formatted hourly rate]],"USD ",""),"$","")</f>
        <v>75</v>
      </c>
      <c r="Q254">
        <v>1.8</v>
      </c>
      <c r="R254">
        <f>IF(Table1[[#This Row],[rating]]="",2.6,Table1[[#This Row],[rating]])</f>
        <v>1.8</v>
      </c>
      <c r="S254">
        <v>1</v>
      </c>
      <c r="T254" t="str">
        <f>TRIM(CLEAN(Table1[[#This Row],[is_active]]))</f>
        <v>1</v>
      </c>
      <c r="U25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54" s="11" t="str">
        <f>TRIM(IF(Table1[[#This Row],[is_active3]]="Unknown","TRUE",Table1[[#This Row],[is_active3]]))</f>
        <v>TRUE</v>
      </c>
      <c r="W254">
        <v>0.71</v>
      </c>
      <c r="X254">
        <f>IF(Table1[[#This Row],[client_satisfaction]]&gt;1,Table1[[#This Row],[client_satisfaction]]/100,Table1[[#This Row],[client_satisfaction]])</f>
        <v>0.71</v>
      </c>
      <c r="Y254">
        <f>IF(Table1[[#This Row],[client_satisfaction2]]=0,0.75,Table1[[#This Row],[client_satisfaction2]])</f>
        <v>0.71</v>
      </c>
    </row>
    <row r="255" spans="1:25" x14ac:dyDescent="0.25">
      <c r="A255" t="s">
        <v>590</v>
      </c>
      <c r="B255" t="s">
        <v>591</v>
      </c>
      <c r="C255" t="str">
        <f>PROPER(TRIM(SUBSTITUTE(SUBSTITUTE(SUBSTITUTE(Table1[[#This Row],[name]],"Ms. ",""),"Mr. ",""),"Mrs. ","")))</f>
        <v>Anthony Nichols</v>
      </c>
      <c r="D255" t="s">
        <v>97</v>
      </c>
      <c r="E2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55">
        <v>24</v>
      </c>
      <c r="G255" t="str">
        <f>TRIM(IF(Table1[[#This Row],[age]]="","Unknown",Table1[[#This Row],[age]]))</f>
        <v>24</v>
      </c>
      <c r="H255" t="s">
        <v>190</v>
      </c>
      <c r="I255" t="s">
        <v>72</v>
      </c>
      <c r="J255" t="s">
        <v>23</v>
      </c>
      <c r="K255">
        <v>3</v>
      </c>
      <c r="L255" s="10" t="str">
        <f>TRIM(IF(Table1[[#This Row],[years_of_experience]]="","Unknown",Table1[[#This Row],[years_of_experience]]))</f>
        <v>3</v>
      </c>
      <c r="M255">
        <v>75</v>
      </c>
      <c r="N255">
        <f>IF(Table1[[#This Row],[hourly_rate (USD)]]="",MEDIAN(Table1[hourly_rate (USD)]),Table1[[#This Row],[hourly_rate (USD)]])</f>
        <v>75</v>
      </c>
      <c r="O255" t="str">
        <f>TRIM(CLEAN(Table1[[#This Row],[Updated hourly_rate (USD)]]))</f>
        <v>75</v>
      </c>
      <c r="P255" t="str">
        <f>SUBSTITUTE(SUBSTITUTE(Table1[[#This Row],[Formatted hourly rate]],"USD ",""),"$","")</f>
        <v>75</v>
      </c>
      <c r="Q255">
        <v>2</v>
      </c>
      <c r="R255">
        <f>IF(Table1[[#This Row],[rating]]="",2.6,Table1[[#This Row],[rating]])</f>
        <v>2</v>
      </c>
      <c r="S255" t="b">
        <v>0</v>
      </c>
      <c r="T255" t="str">
        <f>TRIM(CLEAN(Table1[[#This Row],[is_active]]))</f>
        <v>FALSE</v>
      </c>
      <c r="U25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55" s="11" t="str">
        <f>TRIM(IF(Table1[[#This Row],[is_active3]]="Unknown","TRUE",Table1[[#This Row],[is_active3]]))</f>
        <v>TRUE</v>
      </c>
      <c r="X255">
        <f>IF(Table1[[#This Row],[client_satisfaction]]&gt;1,Table1[[#This Row],[client_satisfaction]]/100,Table1[[#This Row],[client_satisfaction]])</f>
        <v>0</v>
      </c>
      <c r="Y255">
        <f>IF(Table1[[#This Row],[client_satisfaction2]]=0,0.75,Table1[[#This Row],[client_satisfaction2]])</f>
        <v>0.75</v>
      </c>
    </row>
    <row r="256" spans="1:25" x14ac:dyDescent="0.25">
      <c r="A256" t="s">
        <v>592</v>
      </c>
      <c r="B256" t="s">
        <v>593</v>
      </c>
      <c r="C256" t="str">
        <f>PROPER(TRIM(SUBSTITUTE(SUBSTITUTE(SUBSTITUTE(Table1[[#This Row],[name]],"Ms. ",""),"Mr. ",""),"Mrs. ","")))</f>
        <v>William Knapp</v>
      </c>
      <c r="D256" t="s">
        <v>48</v>
      </c>
      <c r="E2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56">
        <v>48</v>
      </c>
      <c r="G256" t="str">
        <f>TRIM(IF(Table1[[#This Row],[age]]="","Unknown",Table1[[#This Row],[age]]))</f>
        <v>48</v>
      </c>
      <c r="H256" t="s">
        <v>153</v>
      </c>
      <c r="I256" t="s">
        <v>154</v>
      </c>
      <c r="J256" t="s">
        <v>73</v>
      </c>
      <c r="K256">
        <v>8</v>
      </c>
      <c r="L256" s="10" t="str">
        <f>TRIM(IF(Table1[[#This Row],[years_of_experience]]="","Unknown",Table1[[#This Row],[years_of_experience]]))</f>
        <v>8</v>
      </c>
      <c r="M256">
        <v>30</v>
      </c>
      <c r="N256">
        <f>IF(Table1[[#This Row],[hourly_rate (USD)]]="",MEDIAN(Table1[hourly_rate (USD)]),Table1[[#This Row],[hourly_rate (USD)]])</f>
        <v>30</v>
      </c>
      <c r="O256" t="str">
        <f>TRIM(CLEAN(Table1[[#This Row],[Updated hourly_rate (USD)]]))</f>
        <v>30</v>
      </c>
      <c r="P256" t="str">
        <f>SUBSTITUTE(SUBSTITUTE(Table1[[#This Row],[Formatted hourly rate]],"USD ",""),"$","")</f>
        <v>30</v>
      </c>
      <c r="Q256">
        <v>5</v>
      </c>
      <c r="R256">
        <f>IF(Table1[[#This Row],[rating]]="",2.6,Table1[[#This Row],[rating]])</f>
        <v>5</v>
      </c>
      <c r="S256">
        <v>1</v>
      </c>
      <c r="T256" t="str">
        <f>TRIM(CLEAN(Table1[[#This Row],[is_active]]))</f>
        <v>1</v>
      </c>
      <c r="U25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56" s="11" t="str">
        <f>TRIM(IF(Table1[[#This Row],[is_active3]]="Unknown","TRUE",Table1[[#This Row],[is_active3]]))</f>
        <v>TRUE</v>
      </c>
      <c r="W256">
        <v>0.99</v>
      </c>
      <c r="X256">
        <f>IF(Table1[[#This Row],[client_satisfaction]]&gt;1,Table1[[#This Row],[client_satisfaction]]/100,Table1[[#This Row],[client_satisfaction]])</f>
        <v>0.99</v>
      </c>
      <c r="Y256">
        <f>IF(Table1[[#This Row],[client_satisfaction2]]=0,0.75,Table1[[#This Row],[client_satisfaction2]])</f>
        <v>0.99</v>
      </c>
    </row>
    <row r="257" spans="1:25" x14ac:dyDescent="0.25">
      <c r="A257" t="s">
        <v>594</v>
      </c>
      <c r="B257" t="s">
        <v>595</v>
      </c>
      <c r="C257" t="str">
        <f>PROPER(TRIM(SUBSTITUTE(SUBSTITUTE(SUBSTITUTE(Table1[[#This Row],[name]],"Ms. ",""),"Mr. ",""),"Mrs. ","")))</f>
        <v>Elizabeth Walker</v>
      </c>
      <c r="D257" t="s">
        <v>34</v>
      </c>
      <c r="E2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57">
        <v>39</v>
      </c>
      <c r="G257" t="str">
        <f>TRIM(IF(Table1[[#This Row],[age]]="","Unknown",Table1[[#This Row],[age]]))</f>
        <v>39</v>
      </c>
      <c r="H257" t="s">
        <v>112</v>
      </c>
      <c r="I257" t="s">
        <v>113</v>
      </c>
      <c r="J257" t="s">
        <v>51</v>
      </c>
      <c r="K257">
        <v>12</v>
      </c>
      <c r="L257" s="10" t="str">
        <f>TRIM(IF(Table1[[#This Row],[years_of_experience]]="","Unknown",Table1[[#This Row],[years_of_experience]]))</f>
        <v>12</v>
      </c>
      <c r="M257" t="s">
        <v>121</v>
      </c>
      <c r="N257" t="str">
        <f>IF(Table1[[#This Row],[hourly_rate (USD)]]="",MEDIAN(Table1[hourly_rate (USD)]),Table1[[#This Row],[hourly_rate (USD)]])</f>
        <v>$20</v>
      </c>
      <c r="O257" t="str">
        <f>TRIM(CLEAN(Table1[[#This Row],[Updated hourly_rate (USD)]]))</f>
        <v>$20</v>
      </c>
      <c r="P257" t="str">
        <f>SUBSTITUTE(SUBSTITUTE(Table1[[#This Row],[Formatted hourly rate]],"USD ",""),"$","")</f>
        <v>20</v>
      </c>
      <c r="Q257">
        <v>3.2</v>
      </c>
      <c r="R257">
        <f>IF(Table1[[#This Row],[rating]]="",2.6,Table1[[#This Row],[rating]])</f>
        <v>3.2</v>
      </c>
      <c r="S257" t="b">
        <v>1</v>
      </c>
      <c r="T257" t="str">
        <f>TRIM(CLEAN(Table1[[#This Row],[is_active]]))</f>
        <v>TRUE</v>
      </c>
      <c r="U25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57" s="11" t="str">
        <f>TRIM(IF(Table1[[#This Row],[is_active3]]="Unknown","TRUE",Table1[[#This Row],[is_active3]]))</f>
        <v>TRUE</v>
      </c>
      <c r="W257">
        <v>0.66</v>
      </c>
      <c r="X257">
        <f>IF(Table1[[#This Row],[client_satisfaction]]&gt;1,Table1[[#This Row],[client_satisfaction]]/100,Table1[[#This Row],[client_satisfaction]])</f>
        <v>0.66</v>
      </c>
      <c r="Y257">
        <f>IF(Table1[[#This Row],[client_satisfaction2]]=0,0.75,Table1[[#This Row],[client_satisfaction2]])</f>
        <v>0.66</v>
      </c>
    </row>
    <row r="258" spans="1:25" x14ac:dyDescent="0.25">
      <c r="A258" t="s">
        <v>596</v>
      </c>
      <c r="B258" t="s">
        <v>597</v>
      </c>
      <c r="C258" t="str">
        <f>PROPER(TRIM(SUBSTITUTE(SUBSTITUTE(SUBSTITUTE(Table1[[#This Row],[name]],"Ms. ",""),"Mr. ",""),"Mrs. ","")))</f>
        <v>Brenda Reeves</v>
      </c>
      <c r="D258" t="s">
        <v>34</v>
      </c>
      <c r="E2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58">
        <v>57</v>
      </c>
      <c r="G258" t="str">
        <f>TRIM(IF(Table1[[#This Row],[age]]="","Unknown",Table1[[#This Row],[age]]))</f>
        <v>57</v>
      </c>
      <c r="H258" t="s">
        <v>21</v>
      </c>
      <c r="I258" t="s">
        <v>22</v>
      </c>
      <c r="J258" t="s">
        <v>17</v>
      </c>
      <c r="K258">
        <v>30</v>
      </c>
      <c r="L258" s="10" t="str">
        <f>TRIM(IF(Table1[[#This Row],[years_of_experience]]="","Unknown",Table1[[#This Row],[years_of_experience]]))</f>
        <v>30</v>
      </c>
      <c r="M258" t="s">
        <v>45</v>
      </c>
      <c r="N258" t="str">
        <f>IF(Table1[[#This Row],[hourly_rate (USD)]]="",MEDIAN(Table1[hourly_rate (USD)]),Table1[[#This Row],[hourly_rate (USD)]])</f>
        <v>$30</v>
      </c>
      <c r="O258" t="str">
        <f>TRIM(CLEAN(Table1[[#This Row],[Updated hourly_rate (USD)]]))</f>
        <v>$30</v>
      </c>
      <c r="P258" t="str">
        <f>SUBSTITUTE(SUBSTITUTE(Table1[[#This Row],[Formatted hourly rate]],"USD ",""),"$","")</f>
        <v>30</v>
      </c>
      <c r="Q258">
        <v>2.4</v>
      </c>
      <c r="R258">
        <f>IF(Table1[[#This Row],[rating]]="",2.6,Table1[[#This Row],[rating]])</f>
        <v>2.4</v>
      </c>
      <c r="T258" t="str">
        <f>TRIM(CLEAN(Table1[[#This Row],[is_active]]))</f>
        <v/>
      </c>
      <c r="U25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58" s="11" t="str">
        <f>TRIM(IF(Table1[[#This Row],[is_active3]]="Unknown","TRUE",Table1[[#This Row],[is_active3]]))</f>
        <v>TRUE</v>
      </c>
      <c r="W258">
        <v>0.8</v>
      </c>
      <c r="X258">
        <f>IF(Table1[[#This Row],[client_satisfaction]]&gt;1,Table1[[#This Row],[client_satisfaction]]/100,Table1[[#This Row],[client_satisfaction]])</f>
        <v>0.8</v>
      </c>
      <c r="Y258">
        <f>IF(Table1[[#This Row],[client_satisfaction2]]=0,0.75,Table1[[#This Row],[client_satisfaction2]])</f>
        <v>0.8</v>
      </c>
    </row>
    <row r="259" spans="1:25" x14ac:dyDescent="0.25">
      <c r="A259" t="s">
        <v>598</v>
      </c>
      <c r="B259" t="s">
        <v>599</v>
      </c>
      <c r="C259" t="str">
        <f>PROPER(TRIM(SUBSTITUTE(SUBSTITUTE(SUBSTITUTE(Table1[[#This Row],[name]],"Ms. ",""),"Mr. ",""),"Mrs. ","")))</f>
        <v>Carrie Little</v>
      </c>
      <c r="D259" t="s">
        <v>20</v>
      </c>
      <c r="E2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59">
        <v>44</v>
      </c>
      <c r="G259" t="str">
        <f>TRIM(IF(Table1[[#This Row],[age]]="","Unknown",Table1[[#This Row],[age]]))</f>
        <v>44</v>
      </c>
      <c r="H259" t="s">
        <v>128</v>
      </c>
      <c r="I259" t="s">
        <v>22</v>
      </c>
      <c r="J259" t="s">
        <v>35</v>
      </c>
      <c r="K259">
        <v>21</v>
      </c>
      <c r="L259" s="10" t="str">
        <f>TRIM(IF(Table1[[#This Row],[years_of_experience]]="","Unknown",Table1[[#This Row],[years_of_experience]]))</f>
        <v>21</v>
      </c>
      <c r="M259">
        <v>100</v>
      </c>
      <c r="N259">
        <f>IF(Table1[[#This Row],[hourly_rate (USD)]]="",MEDIAN(Table1[hourly_rate (USD)]),Table1[[#This Row],[hourly_rate (USD)]])</f>
        <v>100</v>
      </c>
      <c r="O259" t="str">
        <f>TRIM(CLEAN(Table1[[#This Row],[Updated hourly_rate (USD)]]))</f>
        <v>100</v>
      </c>
      <c r="P259" t="str">
        <f>SUBSTITUTE(SUBSTITUTE(Table1[[#This Row],[Formatted hourly rate]],"USD ",""),"$","")</f>
        <v>100</v>
      </c>
      <c r="Q259">
        <v>2.9</v>
      </c>
      <c r="R259">
        <f>IF(Table1[[#This Row],[rating]]="",2.6,Table1[[#This Row],[rating]])</f>
        <v>2.9</v>
      </c>
      <c r="S259">
        <v>0</v>
      </c>
      <c r="T259" t="str">
        <f>TRIM(CLEAN(Table1[[#This Row],[is_active]]))</f>
        <v>0</v>
      </c>
      <c r="U2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59" s="11" t="str">
        <f>TRIM(IF(Table1[[#This Row],[is_active3]]="Unknown","TRUE",Table1[[#This Row],[is_active3]]))</f>
        <v>FALSE</v>
      </c>
      <c r="W259">
        <v>0.83</v>
      </c>
      <c r="X259">
        <f>IF(Table1[[#This Row],[client_satisfaction]]&gt;1,Table1[[#This Row],[client_satisfaction]]/100,Table1[[#This Row],[client_satisfaction]])</f>
        <v>0.83</v>
      </c>
      <c r="Y259">
        <f>IF(Table1[[#This Row],[client_satisfaction2]]=0,0.75,Table1[[#This Row],[client_satisfaction2]])</f>
        <v>0.83</v>
      </c>
    </row>
    <row r="260" spans="1:25" x14ac:dyDescent="0.25">
      <c r="A260" t="s">
        <v>600</v>
      </c>
      <c r="B260" t="s">
        <v>601</v>
      </c>
      <c r="C260" t="str">
        <f>PROPER(TRIM(SUBSTITUTE(SUBSTITUTE(SUBSTITUTE(Table1[[#This Row],[name]],"Ms. ",""),"Mr. ",""),"Mrs. ","")))</f>
        <v>Steven Jackson</v>
      </c>
      <c r="D260" t="s">
        <v>27</v>
      </c>
      <c r="E2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60">
        <v>37</v>
      </c>
      <c r="G260" t="str">
        <f>TRIM(IF(Table1[[#This Row],[age]]="","Unknown",Table1[[#This Row],[age]]))</f>
        <v>37</v>
      </c>
      <c r="H260" t="s">
        <v>107</v>
      </c>
      <c r="I260" t="s">
        <v>108</v>
      </c>
      <c r="J260" t="s">
        <v>73</v>
      </c>
      <c r="K260">
        <v>17</v>
      </c>
      <c r="L260" s="10" t="str">
        <f>TRIM(IF(Table1[[#This Row],[years_of_experience]]="","Unknown",Table1[[#This Row],[years_of_experience]]))</f>
        <v>17</v>
      </c>
      <c r="M260" t="s">
        <v>314</v>
      </c>
      <c r="N260" t="str">
        <f>IF(Table1[[#This Row],[hourly_rate (USD)]]="",MEDIAN(Table1[hourly_rate (USD)]),Table1[[#This Row],[hourly_rate (USD)]])</f>
        <v>USD 20</v>
      </c>
      <c r="O260" t="str">
        <f>TRIM(CLEAN(Table1[[#This Row],[Updated hourly_rate (USD)]]))</f>
        <v>USD 20</v>
      </c>
      <c r="P260" t="str">
        <f>SUBSTITUTE(SUBSTITUTE(Table1[[#This Row],[Formatted hourly rate]],"USD ",""),"$","")</f>
        <v>20</v>
      </c>
      <c r="Q260">
        <v>0</v>
      </c>
      <c r="R260">
        <f>IF(Table1[[#This Row],[rating]]="",2.6,Table1[[#This Row],[rating]])</f>
        <v>0</v>
      </c>
      <c r="S260" t="s">
        <v>68</v>
      </c>
      <c r="T260" t="str">
        <f>TRIM(CLEAN(Table1[[#This Row],[is_active]]))</f>
        <v>yes</v>
      </c>
      <c r="U26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60" s="11" t="str">
        <f>TRIM(IF(Table1[[#This Row],[is_active3]]="Unknown","TRUE",Table1[[#This Row],[is_active3]]))</f>
        <v>TRUE</v>
      </c>
      <c r="W260">
        <v>87</v>
      </c>
      <c r="X260">
        <f>IF(Table1[[#This Row],[client_satisfaction]]&gt;1,Table1[[#This Row],[client_satisfaction]]/100,Table1[[#This Row],[client_satisfaction]])</f>
        <v>0.87</v>
      </c>
      <c r="Y260">
        <f>IF(Table1[[#This Row],[client_satisfaction2]]=0,0.75,Table1[[#This Row],[client_satisfaction2]])</f>
        <v>0.87</v>
      </c>
    </row>
    <row r="261" spans="1:25" x14ac:dyDescent="0.25">
      <c r="A261" t="s">
        <v>602</v>
      </c>
      <c r="B261" t="s">
        <v>603</v>
      </c>
      <c r="C261" t="str">
        <f>PROPER(TRIM(SUBSTITUTE(SUBSTITUTE(SUBSTITUTE(Table1[[#This Row],[name]],"Ms. ",""),"Mr. ",""),"Mrs. ","")))</f>
        <v>Mark Perry</v>
      </c>
      <c r="D261" t="s">
        <v>97</v>
      </c>
      <c r="E2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61">
        <v>50</v>
      </c>
      <c r="G261" t="str">
        <f>TRIM(IF(Table1[[#This Row],[age]]="","Unknown",Table1[[#This Row],[age]]))</f>
        <v>50</v>
      </c>
      <c r="H261" t="s">
        <v>62</v>
      </c>
      <c r="I261" t="s">
        <v>63</v>
      </c>
      <c r="J261" t="s">
        <v>51</v>
      </c>
      <c r="K261">
        <v>9</v>
      </c>
      <c r="L261" s="10" t="str">
        <f>TRIM(IF(Table1[[#This Row],[years_of_experience]]="","Unknown",Table1[[#This Row],[years_of_experience]]))</f>
        <v>9</v>
      </c>
      <c r="M261">
        <v>30</v>
      </c>
      <c r="N261">
        <f>IF(Table1[[#This Row],[hourly_rate (USD)]]="",MEDIAN(Table1[hourly_rate (USD)]),Table1[[#This Row],[hourly_rate (USD)]])</f>
        <v>30</v>
      </c>
      <c r="O261" t="str">
        <f>TRIM(CLEAN(Table1[[#This Row],[Updated hourly_rate (USD)]]))</f>
        <v>30</v>
      </c>
      <c r="P261" t="str">
        <f>SUBSTITUTE(SUBSTITUTE(Table1[[#This Row],[Formatted hourly rate]],"USD ",""),"$","")</f>
        <v>30</v>
      </c>
      <c r="Q261">
        <v>3</v>
      </c>
      <c r="R261">
        <f>IF(Table1[[#This Row],[rating]]="",2.6,Table1[[#This Row],[rating]])</f>
        <v>3</v>
      </c>
      <c r="S261">
        <v>0</v>
      </c>
      <c r="T261" t="str">
        <f>TRIM(CLEAN(Table1[[#This Row],[is_active]]))</f>
        <v>0</v>
      </c>
      <c r="U26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61" s="11" t="str">
        <f>TRIM(IF(Table1[[#This Row],[is_active3]]="Unknown","TRUE",Table1[[#This Row],[is_active3]]))</f>
        <v>FALSE</v>
      </c>
      <c r="W261">
        <v>76</v>
      </c>
      <c r="X261">
        <f>IF(Table1[[#This Row],[client_satisfaction]]&gt;1,Table1[[#This Row],[client_satisfaction]]/100,Table1[[#This Row],[client_satisfaction]])</f>
        <v>0.76</v>
      </c>
      <c r="Y261">
        <f>IF(Table1[[#This Row],[client_satisfaction2]]=0,0.75,Table1[[#This Row],[client_satisfaction2]])</f>
        <v>0.76</v>
      </c>
    </row>
    <row r="262" spans="1:25" x14ac:dyDescent="0.25">
      <c r="A262" t="s">
        <v>604</v>
      </c>
      <c r="B262" t="s">
        <v>605</v>
      </c>
      <c r="C262" t="str">
        <f>PROPER(TRIM(SUBSTITUTE(SUBSTITUTE(SUBSTITUTE(Table1[[#This Row],[name]],"Ms. ",""),"Mr. ",""),"Mrs. ","")))</f>
        <v>Cameron Spencer</v>
      </c>
      <c r="D262" t="s">
        <v>97</v>
      </c>
      <c r="E2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62">
        <v>50</v>
      </c>
      <c r="G262" t="str">
        <f>TRIM(IF(Table1[[#This Row],[age]]="","Unknown",Table1[[#This Row],[age]]))</f>
        <v>50</v>
      </c>
      <c r="H262" t="s">
        <v>190</v>
      </c>
      <c r="I262" t="s">
        <v>72</v>
      </c>
      <c r="J262" t="s">
        <v>73</v>
      </c>
      <c r="K262">
        <v>2</v>
      </c>
      <c r="L262" s="10" t="str">
        <f>TRIM(IF(Table1[[#This Row],[years_of_experience]]="","Unknown",Table1[[#This Row],[years_of_experience]]))</f>
        <v>2</v>
      </c>
      <c r="M262">
        <v>50</v>
      </c>
      <c r="N262">
        <f>IF(Table1[[#This Row],[hourly_rate (USD)]]="",MEDIAN(Table1[hourly_rate (USD)]),Table1[[#This Row],[hourly_rate (USD)]])</f>
        <v>50</v>
      </c>
      <c r="O262" t="str">
        <f>TRIM(CLEAN(Table1[[#This Row],[Updated hourly_rate (USD)]]))</f>
        <v>50</v>
      </c>
      <c r="P262" t="str">
        <f>SUBSTITUTE(SUBSTITUTE(Table1[[#This Row],[Formatted hourly rate]],"USD ",""),"$","")</f>
        <v>50</v>
      </c>
      <c r="Q262">
        <v>1.6</v>
      </c>
      <c r="R262">
        <f>IF(Table1[[#This Row],[rating]]="",2.6,Table1[[#This Row],[rating]])</f>
        <v>1.6</v>
      </c>
      <c r="S262" t="s">
        <v>159</v>
      </c>
      <c r="T262" t="str">
        <f>TRIM(CLEAN(Table1[[#This Row],[is_active]]))</f>
        <v>no</v>
      </c>
      <c r="U26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62" s="11" t="str">
        <f>TRIM(IF(Table1[[#This Row],[is_active3]]="Unknown","TRUE",Table1[[#This Row],[is_active3]]))</f>
        <v>FALSE</v>
      </c>
      <c r="W262">
        <v>0.89</v>
      </c>
      <c r="X262">
        <f>IF(Table1[[#This Row],[client_satisfaction]]&gt;1,Table1[[#This Row],[client_satisfaction]]/100,Table1[[#This Row],[client_satisfaction]])</f>
        <v>0.89</v>
      </c>
      <c r="Y262">
        <f>IF(Table1[[#This Row],[client_satisfaction2]]=0,0.75,Table1[[#This Row],[client_satisfaction2]])</f>
        <v>0.89</v>
      </c>
    </row>
    <row r="263" spans="1:25" x14ac:dyDescent="0.25">
      <c r="A263" t="s">
        <v>606</v>
      </c>
      <c r="B263" t="s">
        <v>607</v>
      </c>
      <c r="C263" t="str">
        <f>PROPER(TRIM(SUBSTITUTE(SUBSTITUTE(SUBSTITUTE(Table1[[#This Row],[name]],"Ms. ",""),"Mr. ",""),"Mrs. ","")))</f>
        <v>Jennifer Holmes</v>
      </c>
      <c r="D263" t="s">
        <v>77</v>
      </c>
      <c r="E2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63">
        <v>28</v>
      </c>
      <c r="G263" t="str">
        <f>TRIM(IF(Table1[[#This Row],[age]]="","Unknown",Table1[[#This Row],[age]]))</f>
        <v>28</v>
      </c>
      <c r="H263" t="s">
        <v>135</v>
      </c>
      <c r="I263" t="s">
        <v>136</v>
      </c>
      <c r="J263" t="s">
        <v>30</v>
      </c>
      <c r="K263">
        <v>1</v>
      </c>
      <c r="L263" s="10" t="str">
        <f>TRIM(IF(Table1[[#This Row],[years_of_experience]]="","Unknown",Table1[[#This Row],[years_of_experience]]))</f>
        <v>1</v>
      </c>
      <c r="M263">
        <v>20</v>
      </c>
      <c r="N263">
        <f>IF(Table1[[#This Row],[hourly_rate (USD)]]="",MEDIAN(Table1[hourly_rate (USD)]),Table1[[#This Row],[hourly_rate (USD)]])</f>
        <v>20</v>
      </c>
      <c r="O263" t="str">
        <f>TRIM(CLEAN(Table1[[#This Row],[Updated hourly_rate (USD)]]))</f>
        <v>20</v>
      </c>
      <c r="P263" t="str">
        <f>SUBSTITUTE(SUBSTITUTE(Table1[[#This Row],[Formatted hourly rate]],"USD ",""),"$","")</f>
        <v>20</v>
      </c>
      <c r="Q263">
        <v>3.6</v>
      </c>
      <c r="R263">
        <f>IF(Table1[[#This Row],[rating]]="",2.6,Table1[[#This Row],[rating]])</f>
        <v>3.6</v>
      </c>
      <c r="S263" t="s">
        <v>68</v>
      </c>
      <c r="T263" t="str">
        <f>TRIM(CLEAN(Table1[[#This Row],[is_active]]))</f>
        <v>yes</v>
      </c>
      <c r="U2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63" s="11" t="str">
        <f>TRIM(IF(Table1[[#This Row],[is_active3]]="Unknown","TRUE",Table1[[#This Row],[is_active3]]))</f>
        <v>TRUE</v>
      </c>
      <c r="W263">
        <v>0.94</v>
      </c>
      <c r="X263">
        <f>IF(Table1[[#This Row],[client_satisfaction]]&gt;1,Table1[[#This Row],[client_satisfaction]]/100,Table1[[#This Row],[client_satisfaction]])</f>
        <v>0.94</v>
      </c>
      <c r="Y263">
        <f>IF(Table1[[#This Row],[client_satisfaction2]]=0,0.75,Table1[[#This Row],[client_satisfaction2]])</f>
        <v>0.94</v>
      </c>
    </row>
    <row r="264" spans="1:25" x14ac:dyDescent="0.25">
      <c r="A264" t="s">
        <v>608</v>
      </c>
      <c r="B264" t="s">
        <v>609</v>
      </c>
      <c r="C264" t="str">
        <f>PROPER(TRIM(SUBSTITUTE(SUBSTITUTE(SUBSTITUTE(Table1[[#This Row],[name]],"Ms. ",""),"Mr. ",""),"Mrs. ","")))</f>
        <v>Jacob Joseph</v>
      </c>
      <c r="D264" t="s">
        <v>97</v>
      </c>
      <c r="E2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64">
        <v>48</v>
      </c>
      <c r="G264" t="str">
        <f>TRIM(IF(Table1[[#This Row],[age]]="","Unknown",Table1[[#This Row],[age]]))</f>
        <v>48</v>
      </c>
      <c r="H264" t="s">
        <v>15</v>
      </c>
      <c r="I264" t="s">
        <v>16</v>
      </c>
      <c r="J264" t="s">
        <v>35</v>
      </c>
      <c r="K264">
        <v>23</v>
      </c>
      <c r="L264" s="10" t="str">
        <f>TRIM(IF(Table1[[#This Row],[years_of_experience]]="","Unknown",Table1[[#This Row],[years_of_experience]]))</f>
        <v>23</v>
      </c>
      <c r="N264">
        <f>IF(Table1[[#This Row],[hourly_rate (USD)]]="",MEDIAN(Table1[hourly_rate (USD)]),Table1[[#This Row],[hourly_rate (USD)]])</f>
        <v>50</v>
      </c>
      <c r="O264" t="str">
        <f>TRIM(CLEAN(Table1[[#This Row],[Updated hourly_rate (USD)]]))</f>
        <v>50</v>
      </c>
      <c r="P264" t="str">
        <f>SUBSTITUTE(SUBSTITUTE(Table1[[#This Row],[Formatted hourly rate]],"USD ",""),"$","")</f>
        <v>50</v>
      </c>
      <c r="Q264">
        <v>2.1</v>
      </c>
      <c r="R264">
        <f>IF(Table1[[#This Row],[rating]]="",2.6,Table1[[#This Row],[rating]])</f>
        <v>2.1</v>
      </c>
      <c r="S264">
        <v>0</v>
      </c>
      <c r="T264" t="str">
        <f>TRIM(CLEAN(Table1[[#This Row],[is_active]]))</f>
        <v>0</v>
      </c>
      <c r="U2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64" s="11" t="str">
        <f>TRIM(IF(Table1[[#This Row],[is_active3]]="Unknown","TRUE",Table1[[#This Row],[is_active3]]))</f>
        <v>FALSE</v>
      </c>
      <c r="W264">
        <v>0.68</v>
      </c>
      <c r="X264">
        <f>IF(Table1[[#This Row],[client_satisfaction]]&gt;1,Table1[[#This Row],[client_satisfaction]]/100,Table1[[#This Row],[client_satisfaction]])</f>
        <v>0.68</v>
      </c>
      <c r="Y264">
        <f>IF(Table1[[#This Row],[client_satisfaction2]]=0,0.75,Table1[[#This Row],[client_satisfaction2]])</f>
        <v>0.68</v>
      </c>
    </row>
    <row r="265" spans="1:25" x14ac:dyDescent="0.25">
      <c r="A265" t="s">
        <v>610</v>
      </c>
      <c r="B265" t="s">
        <v>611</v>
      </c>
      <c r="C265" t="str">
        <f>PROPER(TRIM(SUBSTITUTE(SUBSTITUTE(SUBSTITUTE(Table1[[#This Row],[name]],"Ms. ",""),"Mr. ",""),"Mrs. ","")))</f>
        <v>Jeffery Tucker</v>
      </c>
      <c r="D265" t="s">
        <v>97</v>
      </c>
      <c r="E2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65">
        <v>42</v>
      </c>
      <c r="G265" t="str">
        <f>TRIM(IF(Table1[[#This Row],[age]]="","Unknown",Table1[[#This Row],[age]]))</f>
        <v>42</v>
      </c>
      <c r="H265" t="s">
        <v>28</v>
      </c>
      <c r="I265" t="s">
        <v>29</v>
      </c>
      <c r="J265" t="s">
        <v>89</v>
      </c>
      <c r="K265">
        <v>8</v>
      </c>
      <c r="L265" s="10" t="str">
        <f>TRIM(IF(Table1[[#This Row],[years_of_experience]]="","Unknown",Table1[[#This Row],[years_of_experience]]))</f>
        <v>8</v>
      </c>
      <c r="M265">
        <v>30</v>
      </c>
      <c r="N265">
        <f>IF(Table1[[#This Row],[hourly_rate (USD)]]="",MEDIAN(Table1[hourly_rate (USD)]),Table1[[#This Row],[hourly_rate (USD)]])</f>
        <v>30</v>
      </c>
      <c r="O265" t="str">
        <f>TRIM(CLEAN(Table1[[#This Row],[Updated hourly_rate (USD)]]))</f>
        <v>30</v>
      </c>
      <c r="P265" t="str">
        <f>SUBSTITUTE(SUBSTITUTE(Table1[[#This Row],[Formatted hourly rate]],"USD ",""),"$","")</f>
        <v>30</v>
      </c>
      <c r="Q265">
        <v>3.6</v>
      </c>
      <c r="R265">
        <f>IF(Table1[[#This Row],[rating]]="",2.6,Table1[[#This Row],[rating]])</f>
        <v>3.6</v>
      </c>
      <c r="S265">
        <v>1</v>
      </c>
      <c r="T265" t="str">
        <f>TRIM(CLEAN(Table1[[#This Row],[is_active]]))</f>
        <v>1</v>
      </c>
      <c r="U2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65" s="11" t="str">
        <f>TRIM(IF(Table1[[#This Row],[is_active3]]="Unknown","TRUE",Table1[[#This Row],[is_active3]]))</f>
        <v>TRUE</v>
      </c>
      <c r="W265">
        <v>0.96</v>
      </c>
      <c r="X265">
        <f>IF(Table1[[#This Row],[client_satisfaction]]&gt;1,Table1[[#This Row],[client_satisfaction]]/100,Table1[[#This Row],[client_satisfaction]])</f>
        <v>0.96</v>
      </c>
      <c r="Y265">
        <f>IF(Table1[[#This Row],[client_satisfaction2]]=0,0.75,Table1[[#This Row],[client_satisfaction2]])</f>
        <v>0.96</v>
      </c>
    </row>
    <row r="266" spans="1:25" x14ac:dyDescent="0.25">
      <c r="A266" t="s">
        <v>612</v>
      </c>
      <c r="B266" t="s">
        <v>613</v>
      </c>
      <c r="C266" t="str">
        <f>PROPER(TRIM(SUBSTITUTE(SUBSTITUTE(SUBSTITUTE(Table1[[#This Row],[name]],"Ms. ",""),"Mr. ",""),"Mrs. ","")))</f>
        <v>Jacqueline Drake</v>
      </c>
      <c r="D266" t="s">
        <v>77</v>
      </c>
      <c r="E2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66">
        <v>37</v>
      </c>
      <c r="G266" t="str">
        <f>TRIM(IF(Table1[[#This Row],[age]]="","Unknown",Table1[[#This Row],[age]]))</f>
        <v>37</v>
      </c>
      <c r="H266" t="s">
        <v>128</v>
      </c>
      <c r="I266" t="s">
        <v>22</v>
      </c>
      <c r="J266" t="s">
        <v>51</v>
      </c>
      <c r="K266">
        <v>6</v>
      </c>
      <c r="L266" s="10" t="str">
        <f>TRIM(IF(Table1[[#This Row],[years_of_experience]]="","Unknown",Table1[[#This Row],[years_of_experience]]))</f>
        <v>6</v>
      </c>
      <c r="M266" t="s">
        <v>121</v>
      </c>
      <c r="N266" t="str">
        <f>IF(Table1[[#This Row],[hourly_rate (USD)]]="",MEDIAN(Table1[hourly_rate (USD)]),Table1[[#This Row],[hourly_rate (USD)]])</f>
        <v>$20</v>
      </c>
      <c r="O266" t="str">
        <f>TRIM(CLEAN(Table1[[#This Row],[Updated hourly_rate (USD)]]))</f>
        <v>$20</v>
      </c>
      <c r="P266" t="str">
        <f>SUBSTITUTE(SUBSTITUTE(Table1[[#This Row],[Formatted hourly rate]],"USD ",""),"$","")</f>
        <v>20</v>
      </c>
      <c r="Q266">
        <v>2.7</v>
      </c>
      <c r="R266">
        <f>IF(Table1[[#This Row],[rating]]="",2.6,Table1[[#This Row],[rating]])</f>
        <v>2.7</v>
      </c>
      <c r="S266" t="b">
        <v>1</v>
      </c>
      <c r="T266" t="str">
        <f>TRIM(CLEAN(Table1[[#This Row],[is_active]]))</f>
        <v>TRUE</v>
      </c>
      <c r="U26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66" s="11" t="str">
        <f>TRIM(IF(Table1[[#This Row],[is_active3]]="Unknown","TRUE",Table1[[#This Row],[is_active3]]))</f>
        <v>TRUE</v>
      </c>
      <c r="W266">
        <v>0.91</v>
      </c>
      <c r="X266">
        <f>IF(Table1[[#This Row],[client_satisfaction]]&gt;1,Table1[[#This Row],[client_satisfaction]]/100,Table1[[#This Row],[client_satisfaction]])</f>
        <v>0.91</v>
      </c>
      <c r="Y266">
        <f>IF(Table1[[#This Row],[client_satisfaction2]]=0,0.75,Table1[[#This Row],[client_satisfaction2]])</f>
        <v>0.91</v>
      </c>
    </row>
    <row r="267" spans="1:25" x14ac:dyDescent="0.25">
      <c r="A267" t="s">
        <v>614</v>
      </c>
      <c r="B267" t="s">
        <v>615</v>
      </c>
      <c r="C267" t="str">
        <f>PROPER(TRIM(SUBSTITUTE(SUBSTITUTE(SUBSTITUTE(Table1[[#This Row],[name]],"Ms. ",""),"Mr. ",""),"Mrs. ","")))</f>
        <v>Brian Bautista</v>
      </c>
      <c r="D267" t="s">
        <v>97</v>
      </c>
      <c r="E2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67">
        <v>21</v>
      </c>
      <c r="G267" t="str">
        <f>TRIM(IF(Table1[[#This Row],[age]]="","Unknown",Table1[[#This Row],[age]]))</f>
        <v>21</v>
      </c>
      <c r="H267" t="s">
        <v>93</v>
      </c>
      <c r="I267" t="s">
        <v>94</v>
      </c>
      <c r="J267" t="s">
        <v>17</v>
      </c>
      <c r="K267">
        <v>1</v>
      </c>
      <c r="L267" s="10" t="str">
        <f>TRIM(IF(Table1[[#This Row],[years_of_experience]]="","Unknown",Table1[[#This Row],[years_of_experience]]))</f>
        <v>1</v>
      </c>
      <c r="M267">
        <v>100</v>
      </c>
      <c r="N267">
        <f>IF(Table1[[#This Row],[hourly_rate (USD)]]="",MEDIAN(Table1[hourly_rate (USD)]),Table1[[#This Row],[hourly_rate (USD)]])</f>
        <v>100</v>
      </c>
      <c r="O267" t="str">
        <f>TRIM(CLEAN(Table1[[#This Row],[Updated hourly_rate (USD)]]))</f>
        <v>100</v>
      </c>
      <c r="P267" t="str">
        <f>SUBSTITUTE(SUBSTITUTE(Table1[[#This Row],[Formatted hourly rate]],"USD ",""),"$","")</f>
        <v>100</v>
      </c>
      <c r="Q267">
        <v>2.1</v>
      </c>
      <c r="R267">
        <f>IF(Table1[[#This Row],[rating]]="",2.6,Table1[[#This Row],[rating]])</f>
        <v>2.1</v>
      </c>
      <c r="S267">
        <v>1</v>
      </c>
      <c r="T267" t="str">
        <f>TRIM(CLEAN(Table1[[#This Row],[is_active]]))</f>
        <v>1</v>
      </c>
      <c r="U26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67" s="11" t="str">
        <f>TRIM(IF(Table1[[#This Row],[is_active3]]="Unknown","TRUE",Table1[[#This Row],[is_active3]]))</f>
        <v>TRUE</v>
      </c>
      <c r="W267">
        <v>0.92</v>
      </c>
      <c r="X267">
        <f>IF(Table1[[#This Row],[client_satisfaction]]&gt;1,Table1[[#This Row],[client_satisfaction]]/100,Table1[[#This Row],[client_satisfaction]])</f>
        <v>0.92</v>
      </c>
      <c r="Y267">
        <f>IF(Table1[[#This Row],[client_satisfaction2]]=0,0.75,Table1[[#This Row],[client_satisfaction2]])</f>
        <v>0.92</v>
      </c>
    </row>
    <row r="268" spans="1:25" x14ac:dyDescent="0.25">
      <c r="A268" t="s">
        <v>616</v>
      </c>
      <c r="B268" t="s">
        <v>617</v>
      </c>
      <c r="C268" t="str">
        <f>PROPER(TRIM(SUBSTITUTE(SUBSTITUTE(SUBSTITUTE(Table1[[#This Row],[name]],"Ms. ",""),"Mr. ",""),"Mrs. ","")))</f>
        <v>Dakota Wells</v>
      </c>
      <c r="D268" t="s">
        <v>61</v>
      </c>
      <c r="E2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68">
        <v>50</v>
      </c>
      <c r="G268" t="str">
        <f>TRIM(IF(Table1[[#This Row],[age]]="","Unknown",Table1[[#This Row],[age]]))</f>
        <v>50</v>
      </c>
      <c r="H268" t="s">
        <v>112</v>
      </c>
      <c r="I268" t="s">
        <v>113</v>
      </c>
      <c r="J268" t="s">
        <v>35</v>
      </c>
      <c r="K268">
        <v>19</v>
      </c>
      <c r="L268" s="10" t="str">
        <f>TRIM(IF(Table1[[#This Row],[years_of_experience]]="","Unknown",Table1[[#This Row],[years_of_experience]]))</f>
        <v>19</v>
      </c>
      <c r="M268" t="s">
        <v>36</v>
      </c>
      <c r="N268" t="str">
        <f>IF(Table1[[#This Row],[hourly_rate (USD)]]="",MEDIAN(Table1[hourly_rate (USD)]),Table1[[#This Row],[hourly_rate (USD)]])</f>
        <v>$40</v>
      </c>
      <c r="O268" t="str">
        <f>TRIM(CLEAN(Table1[[#This Row],[Updated hourly_rate (USD)]]))</f>
        <v>$40</v>
      </c>
      <c r="P268" t="str">
        <f>SUBSTITUTE(SUBSTITUTE(Table1[[#This Row],[Formatted hourly rate]],"USD ",""),"$","")</f>
        <v>40</v>
      </c>
      <c r="Q268">
        <v>4.9000000000000004</v>
      </c>
      <c r="R268">
        <f>IF(Table1[[#This Row],[rating]]="",2.6,Table1[[#This Row],[rating]])</f>
        <v>4.9000000000000004</v>
      </c>
      <c r="T268" t="str">
        <f>TRIM(CLEAN(Table1[[#This Row],[is_active]]))</f>
        <v/>
      </c>
      <c r="U26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68" s="11" t="str">
        <f>TRIM(IF(Table1[[#This Row],[is_active3]]="Unknown","TRUE",Table1[[#This Row],[is_active3]]))</f>
        <v>TRUE</v>
      </c>
      <c r="W268">
        <v>0.82</v>
      </c>
      <c r="X268">
        <f>IF(Table1[[#This Row],[client_satisfaction]]&gt;1,Table1[[#This Row],[client_satisfaction]]/100,Table1[[#This Row],[client_satisfaction]])</f>
        <v>0.82</v>
      </c>
      <c r="Y268">
        <f>IF(Table1[[#This Row],[client_satisfaction2]]=0,0.75,Table1[[#This Row],[client_satisfaction2]])</f>
        <v>0.82</v>
      </c>
    </row>
    <row r="269" spans="1:25" x14ac:dyDescent="0.25">
      <c r="A269" t="s">
        <v>618</v>
      </c>
      <c r="B269" t="s">
        <v>619</v>
      </c>
      <c r="C269" t="str">
        <f>PROPER(TRIM(SUBSTITUTE(SUBSTITUTE(SUBSTITUTE(Table1[[#This Row],[name]],"Ms. ",""),"Mr. ",""),"Mrs. ","")))</f>
        <v>Julie White</v>
      </c>
      <c r="D269" t="s">
        <v>34</v>
      </c>
      <c r="E2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69">
        <v>22</v>
      </c>
      <c r="G269" t="str">
        <f>TRIM(IF(Table1[[#This Row],[age]]="","Unknown",Table1[[#This Row],[age]]))</f>
        <v>22</v>
      </c>
      <c r="H269" t="s">
        <v>71</v>
      </c>
      <c r="I269" t="s">
        <v>72</v>
      </c>
      <c r="J269" t="s">
        <v>44</v>
      </c>
      <c r="K269">
        <v>2</v>
      </c>
      <c r="L269" s="10" t="str">
        <f>TRIM(IF(Table1[[#This Row],[years_of_experience]]="","Unknown",Table1[[#This Row],[years_of_experience]]))</f>
        <v>2</v>
      </c>
      <c r="M269">
        <v>30</v>
      </c>
      <c r="N269">
        <f>IF(Table1[[#This Row],[hourly_rate (USD)]]="",MEDIAN(Table1[hourly_rate (USD)]),Table1[[#This Row],[hourly_rate (USD)]])</f>
        <v>30</v>
      </c>
      <c r="O269" t="str">
        <f>TRIM(CLEAN(Table1[[#This Row],[Updated hourly_rate (USD)]]))</f>
        <v>30</v>
      </c>
      <c r="P269" t="str">
        <f>SUBSTITUTE(SUBSTITUTE(Table1[[#This Row],[Formatted hourly rate]],"USD ",""),"$","")</f>
        <v>30</v>
      </c>
      <c r="Q269">
        <v>2.1</v>
      </c>
      <c r="R269">
        <f>IF(Table1[[#This Row],[rating]]="",2.6,Table1[[#This Row],[rating]])</f>
        <v>2.1</v>
      </c>
      <c r="T269" t="str">
        <f>TRIM(CLEAN(Table1[[#This Row],[is_active]]))</f>
        <v/>
      </c>
      <c r="U26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69" s="11" t="str">
        <f>TRIM(IF(Table1[[#This Row],[is_active3]]="Unknown","TRUE",Table1[[#This Row],[is_active3]]))</f>
        <v>TRUE</v>
      </c>
      <c r="X269">
        <f>IF(Table1[[#This Row],[client_satisfaction]]&gt;1,Table1[[#This Row],[client_satisfaction]]/100,Table1[[#This Row],[client_satisfaction]])</f>
        <v>0</v>
      </c>
      <c r="Y269">
        <f>IF(Table1[[#This Row],[client_satisfaction2]]=0,0.75,Table1[[#This Row],[client_satisfaction2]])</f>
        <v>0.75</v>
      </c>
    </row>
    <row r="270" spans="1:25" x14ac:dyDescent="0.25">
      <c r="A270" t="s">
        <v>620</v>
      </c>
      <c r="B270" t="s">
        <v>621</v>
      </c>
      <c r="C270" t="str">
        <f>PROPER(TRIM(SUBSTITUTE(SUBSTITUTE(SUBSTITUTE(Table1[[#This Row],[name]],"Ms. ",""),"Mr. ",""),"Mrs. ","")))</f>
        <v>Barbara Keith</v>
      </c>
      <c r="D270" t="s">
        <v>77</v>
      </c>
      <c r="E2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70">
        <v>39</v>
      </c>
      <c r="G270" t="str">
        <f>TRIM(IF(Table1[[#This Row],[age]]="","Unknown",Table1[[#This Row],[age]]))</f>
        <v>39</v>
      </c>
      <c r="H270" t="s">
        <v>85</v>
      </c>
      <c r="I270" t="s">
        <v>86</v>
      </c>
      <c r="J270" t="s">
        <v>35</v>
      </c>
      <c r="K270">
        <v>21</v>
      </c>
      <c r="L270" s="10" t="str">
        <f>TRIM(IF(Table1[[#This Row],[years_of_experience]]="","Unknown",Table1[[#This Row],[years_of_experience]]))</f>
        <v>21</v>
      </c>
      <c r="M270">
        <v>100</v>
      </c>
      <c r="N270">
        <f>IF(Table1[[#This Row],[hourly_rate (USD)]]="",MEDIAN(Table1[hourly_rate (USD)]),Table1[[#This Row],[hourly_rate (USD)]])</f>
        <v>100</v>
      </c>
      <c r="O270" t="str">
        <f>TRIM(CLEAN(Table1[[#This Row],[Updated hourly_rate (USD)]]))</f>
        <v>100</v>
      </c>
      <c r="P270" t="str">
        <f>SUBSTITUTE(SUBSTITUTE(Table1[[#This Row],[Formatted hourly rate]],"USD ",""),"$","")</f>
        <v>100</v>
      </c>
      <c r="Q270">
        <v>0</v>
      </c>
      <c r="R270">
        <f>IF(Table1[[#This Row],[rating]]="",2.6,Table1[[#This Row],[rating]])</f>
        <v>0</v>
      </c>
      <c r="S270" t="s">
        <v>159</v>
      </c>
      <c r="T270" t="str">
        <f>TRIM(CLEAN(Table1[[#This Row],[is_active]]))</f>
        <v>no</v>
      </c>
      <c r="U27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70" s="11" t="str">
        <f>TRIM(IF(Table1[[#This Row],[is_active3]]="Unknown","TRUE",Table1[[#This Row],[is_active3]]))</f>
        <v>FALSE</v>
      </c>
      <c r="W270">
        <v>0.91</v>
      </c>
      <c r="X270">
        <f>IF(Table1[[#This Row],[client_satisfaction]]&gt;1,Table1[[#This Row],[client_satisfaction]]/100,Table1[[#This Row],[client_satisfaction]])</f>
        <v>0.91</v>
      </c>
      <c r="Y270">
        <f>IF(Table1[[#This Row],[client_satisfaction2]]=0,0.75,Table1[[#This Row],[client_satisfaction2]])</f>
        <v>0.91</v>
      </c>
    </row>
    <row r="271" spans="1:25" x14ac:dyDescent="0.25">
      <c r="A271" t="s">
        <v>622</v>
      </c>
      <c r="B271" t="s">
        <v>623</v>
      </c>
      <c r="C271" t="str">
        <f>PROPER(TRIM(SUBSTITUTE(SUBSTITUTE(SUBSTITUTE(Table1[[#This Row],[name]],"Ms. ",""),"Mr. ",""),"Mrs. ","")))</f>
        <v>Heather Camacho</v>
      </c>
      <c r="D271" t="s">
        <v>77</v>
      </c>
      <c r="E2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71">
        <v>25</v>
      </c>
      <c r="G271" t="str">
        <f>TRIM(IF(Table1[[#This Row],[age]]="","Unknown",Table1[[#This Row],[age]]))</f>
        <v>25</v>
      </c>
      <c r="H271" t="s">
        <v>85</v>
      </c>
      <c r="I271" t="s">
        <v>86</v>
      </c>
      <c r="J271" t="s">
        <v>114</v>
      </c>
      <c r="K271">
        <v>3</v>
      </c>
      <c r="L271" s="10" t="str">
        <f>TRIM(IF(Table1[[#This Row],[years_of_experience]]="","Unknown",Table1[[#This Row],[years_of_experience]]))</f>
        <v>3</v>
      </c>
      <c r="M271" t="s">
        <v>64</v>
      </c>
      <c r="N271" t="str">
        <f>IF(Table1[[#This Row],[hourly_rate (USD)]]="",MEDIAN(Table1[hourly_rate (USD)]),Table1[[#This Row],[hourly_rate (USD)]])</f>
        <v>$50</v>
      </c>
      <c r="O271" t="str">
        <f>TRIM(CLEAN(Table1[[#This Row],[Updated hourly_rate (USD)]]))</f>
        <v>$50</v>
      </c>
      <c r="P271" t="str">
        <f>SUBSTITUTE(SUBSTITUTE(Table1[[#This Row],[Formatted hourly rate]],"USD ",""),"$","")</f>
        <v>50</v>
      </c>
      <c r="Q271">
        <v>2.8</v>
      </c>
      <c r="R271">
        <f>IF(Table1[[#This Row],[rating]]="",2.6,Table1[[#This Row],[rating]])</f>
        <v>2.8</v>
      </c>
      <c r="S271" t="s">
        <v>68</v>
      </c>
      <c r="T271" t="str">
        <f>TRIM(CLEAN(Table1[[#This Row],[is_active]]))</f>
        <v>yes</v>
      </c>
      <c r="U2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71" s="11" t="str">
        <f>TRIM(IF(Table1[[#This Row],[is_active3]]="Unknown","TRUE",Table1[[#This Row],[is_active3]]))</f>
        <v>TRUE</v>
      </c>
      <c r="W271">
        <v>86</v>
      </c>
      <c r="X271">
        <f>IF(Table1[[#This Row],[client_satisfaction]]&gt;1,Table1[[#This Row],[client_satisfaction]]/100,Table1[[#This Row],[client_satisfaction]])</f>
        <v>0.86</v>
      </c>
      <c r="Y271">
        <f>IF(Table1[[#This Row],[client_satisfaction2]]=0,0.75,Table1[[#This Row],[client_satisfaction2]])</f>
        <v>0.86</v>
      </c>
    </row>
    <row r="272" spans="1:25" x14ac:dyDescent="0.25">
      <c r="A272" t="s">
        <v>624</v>
      </c>
      <c r="B272" t="s">
        <v>625</v>
      </c>
      <c r="C272" t="str">
        <f>PROPER(TRIM(SUBSTITUTE(SUBSTITUTE(SUBSTITUTE(Table1[[#This Row],[name]],"Ms. ",""),"Mr. ",""),"Mrs. ","")))</f>
        <v>Melanie Harris</v>
      </c>
      <c r="D272" t="s">
        <v>20</v>
      </c>
      <c r="E2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72">
        <v>47</v>
      </c>
      <c r="G272" t="str">
        <f>TRIM(IF(Table1[[#This Row],[age]]="","Unknown",Table1[[#This Row],[age]]))</f>
        <v>47</v>
      </c>
      <c r="H272" t="s">
        <v>153</v>
      </c>
      <c r="I272" t="s">
        <v>154</v>
      </c>
      <c r="J272" t="s">
        <v>23</v>
      </c>
      <c r="K272">
        <v>14</v>
      </c>
      <c r="L272" s="10" t="str">
        <f>TRIM(IF(Table1[[#This Row],[years_of_experience]]="","Unknown",Table1[[#This Row],[years_of_experience]]))</f>
        <v>14</v>
      </c>
      <c r="N272">
        <f>IF(Table1[[#This Row],[hourly_rate (USD)]]="",MEDIAN(Table1[hourly_rate (USD)]),Table1[[#This Row],[hourly_rate (USD)]])</f>
        <v>50</v>
      </c>
      <c r="O272" t="str">
        <f>TRIM(CLEAN(Table1[[#This Row],[Updated hourly_rate (USD)]]))</f>
        <v>50</v>
      </c>
      <c r="P272" t="str">
        <f>SUBSTITUTE(SUBSTITUTE(Table1[[#This Row],[Formatted hourly rate]],"USD ",""),"$","")</f>
        <v>50</v>
      </c>
      <c r="R272">
        <f>IF(Table1[[#This Row],[rating]]="",2.6,Table1[[#This Row],[rating]])</f>
        <v>2.6</v>
      </c>
      <c r="S272" t="b">
        <v>0</v>
      </c>
      <c r="T272" t="str">
        <f>TRIM(CLEAN(Table1[[#This Row],[is_active]]))</f>
        <v>FALSE</v>
      </c>
      <c r="U27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72" s="11" t="str">
        <f>TRIM(IF(Table1[[#This Row],[is_active3]]="Unknown","TRUE",Table1[[#This Row],[is_active3]]))</f>
        <v>TRUE</v>
      </c>
      <c r="W272">
        <v>0.69</v>
      </c>
      <c r="X272">
        <f>IF(Table1[[#This Row],[client_satisfaction]]&gt;1,Table1[[#This Row],[client_satisfaction]]/100,Table1[[#This Row],[client_satisfaction]])</f>
        <v>0.69</v>
      </c>
      <c r="Y272">
        <f>IF(Table1[[#This Row],[client_satisfaction2]]=0,0.75,Table1[[#This Row],[client_satisfaction2]])</f>
        <v>0.69</v>
      </c>
    </row>
    <row r="273" spans="1:25" x14ac:dyDescent="0.25">
      <c r="A273" t="s">
        <v>626</v>
      </c>
      <c r="B273" t="s">
        <v>627</v>
      </c>
      <c r="C273" t="str">
        <f>PROPER(TRIM(SUBSTITUTE(SUBSTITUTE(SUBSTITUTE(Table1[[#This Row],[name]],"Ms. ",""),"Mr. ",""),"Mrs. ","")))</f>
        <v>Jacqueline Peterson</v>
      </c>
      <c r="D273" t="s">
        <v>14</v>
      </c>
      <c r="E2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73">
        <v>35</v>
      </c>
      <c r="G273" t="str">
        <f>TRIM(IF(Table1[[#This Row],[age]]="","Unknown",Table1[[#This Row],[age]]))</f>
        <v>35</v>
      </c>
      <c r="H273" t="s">
        <v>153</v>
      </c>
      <c r="I273" t="s">
        <v>154</v>
      </c>
      <c r="J273" t="s">
        <v>73</v>
      </c>
      <c r="K273">
        <v>10</v>
      </c>
      <c r="L273" s="10" t="str">
        <f>TRIM(IF(Table1[[#This Row],[years_of_experience]]="","Unknown",Table1[[#This Row],[years_of_experience]]))</f>
        <v>10</v>
      </c>
      <c r="M273" t="s">
        <v>24</v>
      </c>
      <c r="N273" t="str">
        <f>IF(Table1[[#This Row],[hourly_rate (USD)]]="",MEDIAN(Table1[hourly_rate (USD)]),Table1[[#This Row],[hourly_rate (USD)]])</f>
        <v>USD 100</v>
      </c>
      <c r="O273" t="str">
        <f>TRIM(CLEAN(Table1[[#This Row],[Updated hourly_rate (USD)]]))</f>
        <v>USD 100</v>
      </c>
      <c r="P273" t="str">
        <f>SUBSTITUTE(SUBSTITUTE(Table1[[#This Row],[Formatted hourly rate]],"USD ",""),"$","")</f>
        <v>100</v>
      </c>
      <c r="Q273">
        <v>4.7</v>
      </c>
      <c r="R273">
        <f>IF(Table1[[#This Row],[rating]]="",2.6,Table1[[#This Row],[rating]])</f>
        <v>4.7</v>
      </c>
      <c r="S273" t="b">
        <v>1</v>
      </c>
      <c r="T273" t="str">
        <f>TRIM(CLEAN(Table1[[#This Row],[is_active]]))</f>
        <v>TRUE</v>
      </c>
      <c r="U27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73" s="11" t="str">
        <f>TRIM(IF(Table1[[#This Row],[is_active3]]="Unknown","TRUE",Table1[[#This Row],[is_active3]]))</f>
        <v>TRUE</v>
      </c>
      <c r="W273">
        <v>0.84</v>
      </c>
      <c r="X273">
        <f>IF(Table1[[#This Row],[client_satisfaction]]&gt;1,Table1[[#This Row],[client_satisfaction]]/100,Table1[[#This Row],[client_satisfaction]])</f>
        <v>0.84</v>
      </c>
      <c r="Y273">
        <f>IF(Table1[[#This Row],[client_satisfaction2]]=0,0.75,Table1[[#This Row],[client_satisfaction2]])</f>
        <v>0.84</v>
      </c>
    </row>
    <row r="274" spans="1:25" x14ac:dyDescent="0.25">
      <c r="A274" t="s">
        <v>628</v>
      </c>
      <c r="B274" t="s">
        <v>629</v>
      </c>
      <c r="C274" t="str">
        <f>PROPER(TRIM(SUBSTITUTE(SUBSTITUTE(SUBSTITUTE(Table1[[#This Row],[name]],"Ms. ",""),"Mr. ",""),"Mrs. ","")))</f>
        <v>Nancy Long</v>
      </c>
      <c r="D274" t="s">
        <v>14</v>
      </c>
      <c r="E2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274" t="str">
        <f>TRIM(IF(Table1[[#This Row],[age]]="","Unknown",Table1[[#This Row],[age]]))</f>
        <v>Unknown</v>
      </c>
      <c r="H274" t="s">
        <v>67</v>
      </c>
      <c r="I274" t="s">
        <v>22</v>
      </c>
      <c r="J274" t="s">
        <v>78</v>
      </c>
      <c r="K274">
        <v>5</v>
      </c>
      <c r="L274" s="10" t="str">
        <f>TRIM(IF(Table1[[#This Row],[years_of_experience]]="","Unknown",Table1[[#This Row],[years_of_experience]]))</f>
        <v>5</v>
      </c>
      <c r="M274">
        <v>100</v>
      </c>
      <c r="N274">
        <f>IF(Table1[[#This Row],[hourly_rate (USD)]]="",MEDIAN(Table1[hourly_rate (USD)]),Table1[[#This Row],[hourly_rate (USD)]])</f>
        <v>100</v>
      </c>
      <c r="O274" t="str">
        <f>TRIM(CLEAN(Table1[[#This Row],[Updated hourly_rate (USD)]]))</f>
        <v>100</v>
      </c>
      <c r="P274" t="str">
        <f>SUBSTITUTE(SUBSTITUTE(Table1[[#This Row],[Formatted hourly rate]],"USD ",""),"$","")</f>
        <v>100</v>
      </c>
      <c r="Q274">
        <v>1.3</v>
      </c>
      <c r="R274">
        <f>IF(Table1[[#This Row],[rating]]="",2.6,Table1[[#This Row],[rating]])</f>
        <v>1.3</v>
      </c>
      <c r="S274">
        <v>0</v>
      </c>
      <c r="T274" t="str">
        <f>TRIM(CLEAN(Table1[[#This Row],[is_active]]))</f>
        <v>0</v>
      </c>
      <c r="U27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74" s="11" t="str">
        <f>TRIM(IF(Table1[[#This Row],[is_active3]]="Unknown","TRUE",Table1[[#This Row],[is_active3]]))</f>
        <v>FALSE</v>
      </c>
      <c r="W274">
        <v>0.6</v>
      </c>
      <c r="X274">
        <f>IF(Table1[[#This Row],[client_satisfaction]]&gt;1,Table1[[#This Row],[client_satisfaction]]/100,Table1[[#This Row],[client_satisfaction]])</f>
        <v>0.6</v>
      </c>
      <c r="Y274">
        <f>IF(Table1[[#This Row],[client_satisfaction2]]=0,0.75,Table1[[#This Row],[client_satisfaction2]])</f>
        <v>0.6</v>
      </c>
    </row>
    <row r="275" spans="1:25" x14ac:dyDescent="0.25">
      <c r="A275" t="s">
        <v>630</v>
      </c>
      <c r="B275" t="s">
        <v>631</v>
      </c>
      <c r="C275" t="str">
        <f>PROPER(TRIM(SUBSTITUTE(SUBSTITUTE(SUBSTITUTE(Table1[[#This Row],[name]],"Ms. ",""),"Mr. ",""),"Mrs. ","")))</f>
        <v>Juan Mitchell</v>
      </c>
      <c r="D275" t="s">
        <v>27</v>
      </c>
      <c r="E2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75">
        <v>35</v>
      </c>
      <c r="G275" t="str">
        <f>TRIM(IF(Table1[[#This Row],[age]]="","Unknown",Table1[[#This Row],[age]]))</f>
        <v>35</v>
      </c>
      <c r="H275" t="s">
        <v>42</v>
      </c>
      <c r="I275" t="s">
        <v>43</v>
      </c>
      <c r="J275" t="s">
        <v>17</v>
      </c>
      <c r="K275">
        <v>6</v>
      </c>
      <c r="L275" s="10" t="str">
        <f>TRIM(IF(Table1[[#This Row],[years_of_experience]]="","Unknown",Table1[[#This Row],[years_of_experience]]))</f>
        <v>6</v>
      </c>
      <c r="M275" t="s">
        <v>52</v>
      </c>
      <c r="N275" t="str">
        <f>IF(Table1[[#This Row],[hourly_rate (USD)]]="",MEDIAN(Table1[hourly_rate (USD)]),Table1[[#This Row],[hourly_rate (USD)]])</f>
        <v>USD 75</v>
      </c>
      <c r="O275" t="str">
        <f>TRIM(CLEAN(Table1[[#This Row],[Updated hourly_rate (USD)]]))</f>
        <v>USD 75</v>
      </c>
      <c r="P275" t="str">
        <f>SUBSTITUTE(SUBSTITUTE(Table1[[#This Row],[Formatted hourly rate]],"USD ",""),"$","")</f>
        <v>75</v>
      </c>
      <c r="Q275">
        <v>1.6</v>
      </c>
      <c r="R275">
        <f>IF(Table1[[#This Row],[rating]]="",2.6,Table1[[#This Row],[rating]])</f>
        <v>1.6</v>
      </c>
      <c r="S275">
        <v>1</v>
      </c>
      <c r="T275" t="str">
        <f>TRIM(CLEAN(Table1[[#This Row],[is_active]]))</f>
        <v>1</v>
      </c>
      <c r="U27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75" s="11" t="str">
        <f>TRIM(IF(Table1[[#This Row],[is_active3]]="Unknown","TRUE",Table1[[#This Row],[is_active3]]))</f>
        <v>TRUE</v>
      </c>
      <c r="W275">
        <v>0.97</v>
      </c>
      <c r="X275">
        <f>IF(Table1[[#This Row],[client_satisfaction]]&gt;1,Table1[[#This Row],[client_satisfaction]]/100,Table1[[#This Row],[client_satisfaction]])</f>
        <v>0.97</v>
      </c>
      <c r="Y275">
        <f>IF(Table1[[#This Row],[client_satisfaction2]]=0,0.75,Table1[[#This Row],[client_satisfaction2]])</f>
        <v>0.97</v>
      </c>
    </row>
    <row r="276" spans="1:25" x14ac:dyDescent="0.25">
      <c r="A276" t="s">
        <v>632</v>
      </c>
      <c r="B276" t="s">
        <v>633</v>
      </c>
      <c r="C276" t="str">
        <f>PROPER(TRIM(SUBSTITUTE(SUBSTITUTE(SUBSTITUTE(Table1[[#This Row],[name]],"Ms. ",""),"Mr. ",""),"Mrs. ","")))</f>
        <v>William Gaines</v>
      </c>
      <c r="D276" t="s">
        <v>97</v>
      </c>
      <c r="E2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76">
        <v>59</v>
      </c>
      <c r="G276" t="str">
        <f>TRIM(IF(Table1[[#This Row],[age]]="","Unknown",Table1[[#This Row],[age]]))</f>
        <v>59</v>
      </c>
      <c r="H276" t="s">
        <v>135</v>
      </c>
      <c r="I276" t="s">
        <v>136</v>
      </c>
      <c r="J276" t="s">
        <v>35</v>
      </c>
      <c r="K276">
        <v>21</v>
      </c>
      <c r="L276" s="10" t="str">
        <f>TRIM(IF(Table1[[#This Row],[years_of_experience]]="","Unknown",Table1[[#This Row],[years_of_experience]]))</f>
        <v>21</v>
      </c>
      <c r="M276">
        <v>100</v>
      </c>
      <c r="N276">
        <f>IF(Table1[[#This Row],[hourly_rate (USD)]]="",MEDIAN(Table1[hourly_rate (USD)]),Table1[[#This Row],[hourly_rate (USD)]])</f>
        <v>100</v>
      </c>
      <c r="O276" t="str">
        <f>TRIM(CLEAN(Table1[[#This Row],[Updated hourly_rate (USD)]]))</f>
        <v>100</v>
      </c>
      <c r="P276" t="str">
        <f>SUBSTITUTE(SUBSTITUTE(Table1[[#This Row],[Formatted hourly rate]],"USD ",""),"$","")</f>
        <v>100</v>
      </c>
      <c r="Q276">
        <v>0</v>
      </c>
      <c r="R276">
        <f>IF(Table1[[#This Row],[rating]]="",2.6,Table1[[#This Row],[rating]])</f>
        <v>0</v>
      </c>
      <c r="T276" t="str">
        <f>TRIM(CLEAN(Table1[[#This Row],[is_active]]))</f>
        <v/>
      </c>
      <c r="U27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76" s="11" t="str">
        <f>TRIM(IF(Table1[[#This Row],[is_active3]]="Unknown","TRUE",Table1[[#This Row],[is_active3]]))</f>
        <v>TRUE</v>
      </c>
      <c r="W276">
        <v>0.7</v>
      </c>
      <c r="X276">
        <f>IF(Table1[[#This Row],[client_satisfaction]]&gt;1,Table1[[#This Row],[client_satisfaction]]/100,Table1[[#This Row],[client_satisfaction]])</f>
        <v>0.7</v>
      </c>
      <c r="Y276">
        <f>IF(Table1[[#This Row],[client_satisfaction2]]=0,0.75,Table1[[#This Row],[client_satisfaction2]])</f>
        <v>0.7</v>
      </c>
    </row>
    <row r="277" spans="1:25" x14ac:dyDescent="0.25">
      <c r="A277" t="s">
        <v>634</v>
      </c>
      <c r="B277" t="s">
        <v>635</v>
      </c>
      <c r="C277" t="str">
        <f>PROPER(TRIM(SUBSTITUTE(SUBSTITUTE(SUBSTITUTE(Table1[[#This Row],[name]],"Ms. ",""),"Mr. ",""),"Mrs. ","")))</f>
        <v>Haley Yates</v>
      </c>
      <c r="D277" t="s">
        <v>20</v>
      </c>
      <c r="E2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77">
        <v>26</v>
      </c>
      <c r="G277" t="str">
        <f>TRIM(IF(Table1[[#This Row],[age]]="","Unknown",Table1[[#This Row],[age]]))</f>
        <v>26</v>
      </c>
      <c r="H277" t="s">
        <v>175</v>
      </c>
      <c r="I277" t="s">
        <v>176</v>
      </c>
      <c r="J277" t="s">
        <v>73</v>
      </c>
      <c r="K277">
        <v>4</v>
      </c>
      <c r="L277" s="10" t="str">
        <f>TRIM(IF(Table1[[#This Row],[years_of_experience]]="","Unknown",Table1[[#This Row],[years_of_experience]]))</f>
        <v>4</v>
      </c>
      <c r="M277" t="s">
        <v>24</v>
      </c>
      <c r="N277" t="str">
        <f>IF(Table1[[#This Row],[hourly_rate (USD)]]="",MEDIAN(Table1[hourly_rate (USD)]),Table1[[#This Row],[hourly_rate (USD)]])</f>
        <v>USD 100</v>
      </c>
      <c r="O277" t="str">
        <f>TRIM(CLEAN(Table1[[#This Row],[Updated hourly_rate (USD)]]))</f>
        <v>USD 100</v>
      </c>
      <c r="P277" t="str">
        <f>SUBSTITUTE(SUBSTITUTE(Table1[[#This Row],[Formatted hourly rate]],"USD ",""),"$","")</f>
        <v>100</v>
      </c>
      <c r="Q277">
        <v>3.6</v>
      </c>
      <c r="R277">
        <f>IF(Table1[[#This Row],[rating]]="",2.6,Table1[[#This Row],[rating]])</f>
        <v>3.6</v>
      </c>
      <c r="S277" t="s">
        <v>159</v>
      </c>
      <c r="T277" t="str">
        <f>TRIM(CLEAN(Table1[[#This Row],[is_active]]))</f>
        <v>no</v>
      </c>
      <c r="U27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77" s="11" t="str">
        <f>TRIM(IF(Table1[[#This Row],[is_active3]]="Unknown","TRUE",Table1[[#This Row],[is_active3]]))</f>
        <v>FALSE</v>
      </c>
      <c r="W277">
        <v>0.81</v>
      </c>
      <c r="X277">
        <f>IF(Table1[[#This Row],[client_satisfaction]]&gt;1,Table1[[#This Row],[client_satisfaction]]/100,Table1[[#This Row],[client_satisfaction]])</f>
        <v>0.81</v>
      </c>
      <c r="Y277">
        <f>IF(Table1[[#This Row],[client_satisfaction2]]=0,0.75,Table1[[#This Row],[client_satisfaction2]])</f>
        <v>0.81</v>
      </c>
    </row>
    <row r="278" spans="1:25" x14ac:dyDescent="0.25">
      <c r="A278" t="s">
        <v>636</v>
      </c>
      <c r="B278" t="s">
        <v>637</v>
      </c>
      <c r="C278" t="str">
        <f>PROPER(TRIM(SUBSTITUTE(SUBSTITUTE(SUBSTITUTE(Table1[[#This Row],[name]],"Ms. ",""),"Mr. ",""),"Mrs. ","")))</f>
        <v>Richard Mcguire</v>
      </c>
      <c r="D278" t="s">
        <v>61</v>
      </c>
      <c r="E2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78">
        <v>44</v>
      </c>
      <c r="G278" t="str">
        <f>TRIM(IF(Table1[[#This Row],[age]]="","Unknown",Table1[[#This Row],[age]]))</f>
        <v>44</v>
      </c>
      <c r="H278" t="s">
        <v>124</v>
      </c>
      <c r="I278" t="s">
        <v>125</v>
      </c>
      <c r="J278" t="s">
        <v>114</v>
      </c>
      <c r="K278">
        <v>18</v>
      </c>
      <c r="L278" s="10" t="str">
        <f>TRIM(IF(Table1[[#This Row],[years_of_experience]]="","Unknown",Table1[[#This Row],[years_of_experience]]))</f>
        <v>18</v>
      </c>
      <c r="M278">
        <v>20</v>
      </c>
      <c r="N278">
        <f>IF(Table1[[#This Row],[hourly_rate (USD)]]="",MEDIAN(Table1[hourly_rate (USD)]),Table1[[#This Row],[hourly_rate (USD)]])</f>
        <v>20</v>
      </c>
      <c r="O278" t="str">
        <f>TRIM(CLEAN(Table1[[#This Row],[Updated hourly_rate (USD)]]))</f>
        <v>20</v>
      </c>
      <c r="P278" t="str">
        <f>SUBSTITUTE(SUBSTITUTE(Table1[[#This Row],[Formatted hourly rate]],"USD ",""),"$","")</f>
        <v>20</v>
      </c>
      <c r="Q278">
        <v>4.7</v>
      </c>
      <c r="R278">
        <f>IF(Table1[[#This Row],[rating]]="",2.6,Table1[[#This Row],[rating]])</f>
        <v>4.7</v>
      </c>
      <c r="S278">
        <v>1</v>
      </c>
      <c r="T278" t="str">
        <f>TRIM(CLEAN(Table1[[#This Row],[is_active]]))</f>
        <v>1</v>
      </c>
      <c r="U27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78" s="11" t="str">
        <f>TRIM(IF(Table1[[#This Row],[is_active3]]="Unknown","TRUE",Table1[[#This Row],[is_active3]]))</f>
        <v>TRUE</v>
      </c>
      <c r="W278">
        <v>0.88</v>
      </c>
      <c r="X278">
        <f>IF(Table1[[#This Row],[client_satisfaction]]&gt;1,Table1[[#This Row],[client_satisfaction]]/100,Table1[[#This Row],[client_satisfaction]])</f>
        <v>0.88</v>
      </c>
      <c r="Y278">
        <f>IF(Table1[[#This Row],[client_satisfaction2]]=0,0.75,Table1[[#This Row],[client_satisfaction2]])</f>
        <v>0.88</v>
      </c>
    </row>
    <row r="279" spans="1:25" x14ac:dyDescent="0.25">
      <c r="A279" t="s">
        <v>638</v>
      </c>
      <c r="B279" t="s">
        <v>639</v>
      </c>
      <c r="C279" t="str">
        <f>PROPER(TRIM(SUBSTITUTE(SUBSTITUTE(SUBSTITUTE(Table1[[#This Row],[name]],"Ms. ",""),"Mr. ",""),"Mrs. ","")))</f>
        <v>Stephanie Fisher</v>
      </c>
      <c r="D279" t="s">
        <v>77</v>
      </c>
      <c r="E2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79">
        <v>31</v>
      </c>
      <c r="G279" t="str">
        <f>TRIM(IF(Table1[[#This Row],[age]]="","Unknown",Table1[[#This Row],[age]]))</f>
        <v>31</v>
      </c>
      <c r="H279" t="s">
        <v>153</v>
      </c>
      <c r="I279" t="s">
        <v>154</v>
      </c>
      <c r="J279" t="s">
        <v>73</v>
      </c>
      <c r="K279">
        <v>12</v>
      </c>
      <c r="L279" s="10" t="str">
        <f>TRIM(IF(Table1[[#This Row],[years_of_experience]]="","Unknown",Table1[[#This Row],[years_of_experience]]))</f>
        <v>12</v>
      </c>
      <c r="M279" t="s">
        <v>36</v>
      </c>
      <c r="N279" t="str">
        <f>IF(Table1[[#This Row],[hourly_rate (USD)]]="",MEDIAN(Table1[hourly_rate (USD)]),Table1[[#This Row],[hourly_rate (USD)]])</f>
        <v>$40</v>
      </c>
      <c r="O279" t="str">
        <f>TRIM(CLEAN(Table1[[#This Row],[Updated hourly_rate (USD)]]))</f>
        <v>$40</v>
      </c>
      <c r="P279" t="str">
        <f>SUBSTITUTE(SUBSTITUTE(Table1[[#This Row],[Formatted hourly rate]],"USD ",""),"$","")</f>
        <v>40</v>
      </c>
      <c r="R279">
        <f>IF(Table1[[#This Row],[rating]]="",2.6,Table1[[#This Row],[rating]])</f>
        <v>2.6</v>
      </c>
      <c r="S279">
        <v>1</v>
      </c>
      <c r="T279" t="str">
        <f>TRIM(CLEAN(Table1[[#This Row],[is_active]]))</f>
        <v>1</v>
      </c>
      <c r="U27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79" s="11" t="str">
        <f>TRIM(IF(Table1[[#This Row],[is_active3]]="Unknown","TRUE",Table1[[#This Row],[is_active3]]))</f>
        <v>TRUE</v>
      </c>
      <c r="W279">
        <v>1</v>
      </c>
      <c r="X279">
        <f>IF(Table1[[#This Row],[client_satisfaction]]&gt;1,Table1[[#This Row],[client_satisfaction]]/100,Table1[[#This Row],[client_satisfaction]])</f>
        <v>1</v>
      </c>
      <c r="Y279">
        <f>IF(Table1[[#This Row],[client_satisfaction2]]=0,0.75,Table1[[#This Row],[client_satisfaction2]])</f>
        <v>1</v>
      </c>
    </row>
    <row r="280" spans="1:25" x14ac:dyDescent="0.25">
      <c r="A280" t="s">
        <v>640</v>
      </c>
      <c r="B280" t="s">
        <v>641</v>
      </c>
      <c r="C280" t="str">
        <f>PROPER(TRIM(SUBSTITUTE(SUBSTITUTE(SUBSTITUTE(Table1[[#This Row],[name]],"Ms. ",""),"Mr. ",""),"Mrs. ","")))</f>
        <v>Anthony Goodwin Dds</v>
      </c>
      <c r="D280" t="s">
        <v>27</v>
      </c>
      <c r="E2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80">
        <v>60</v>
      </c>
      <c r="G280" t="str">
        <f>TRIM(IF(Table1[[#This Row],[age]]="","Unknown",Table1[[#This Row],[age]]))</f>
        <v>60</v>
      </c>
      <c r="H280" t="s">
        <v>62</v>
      </c>
      <c r="I280" t="s">
        <v>63</v>
      </c>
      <c r="J280" t="s">
        <v>51</v>
      </c>
      <c r="K280">
        <v>6</v>
      </c>
      <c r="L280" s="10" t="str">
        <f>TRIM(IF(Table1[[#This Row],[years_of_experience]]="","Unknown",Table1[[#This Row],[years_of_experience]]))</f>
        <v>6</v>
      </c>
      <c r="N280">
        <f>IF(Table1[[#This Row],[hourly_rate (USD)]]="",MEDIAN(Table1[hourly_rate (USD)]),Table1[[#This Row],[hourly_rate (USD)]])</f>
        <v>50</v>
      </c>
      <c r="O280" t="str">
        <f>TRIM(CLEAN(Table1[[#This Row],[Updated hourly_rate (USD)]]))</f>
        <v>50</v>
      </c>
      <c r="P280" t="str">
        <f>SUBSTITUTE(SUBSTITUTE(Table1[[#This Row],[Formatted hourly rate]],"USD ",""),"$","")</f>
        <v>50</v>
      </c>
      <c r="Q280">
        <v>3.2</v>
      </c>
      <c r="R280">
        <f>IF(Table1[[#This Row],[rating]]="",2.6,Table1[[#This Row],[rating]])</f>
        <v>3.2</v>
      </c>
      <c r="S280">
        <v>0</v>
      </c>
      <c r="T280" t="str">
        <f>TRIM(CLEAN(Table1[[#This Row],[is_active]]))</f>
        <v>0</v>
      </c>
      <c r="U28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80" s="11" t="str">
        <f>TRIM(IF(Table1[[#This Row],[is_active3]]="Unknown","TRUE",Table1[[#This Row],[is_active3]]))</f>
        <v>FALSE</v>
      </c>
      <c r="W280">
        <v>95</v>
      </c>
      <c r="X280">
        <f>IF(Table1[[#This Row],[client_satisfaction]]&gt;1,Table1[[#This Row],[client_satisfaction]]/100,Table1[[#This Row],[client_satisfaction]])</f>
        <v>0.95</v>
      </c>
      <c r="Y280">
        <f>IF(Table1[[#This Row],[client_satisfaction2]]=0,0.75,Table1[[#This Row],[client_satisfaction2]])</f>
        <v>0.95</v>
      </c>
    </row>
    <row r="281" spans="1:25" x14ac:dyDescent="0.25">
      <c r="A281" t="s">
        <v>642</v>
      </c>
      <c r="B281" t="s">
        <v>643</v>
      </c>
      <c r="C281" t="str">
        <f>PROPER(TRIM(SUBSTITUTE(SUBSTITUTE(SUBSTITUTE(Table1[[#This Row],[name]],"Ms. ",""),"Mr. ",""),"Mrs. ","")))</f>
        <v>Meagan Walters</v>
      </c>
      <c r="D281" t="s">
        <v>39</v>
      </c>
      <c r="E2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81">
        <v>23</v>
      </c>
      <c r="G281" t="str">
        <f>TRIM(IF(Table1[[#This Row],[age]]="","Unknown",Table1[[#This Row],[age]]))</f>
        <v>23</v>
      </c>
      <c r="H281" t="s">
        <v>67</v>
      </c>
      <c r="I281" t="s">
        <v>22</v>
      </c>
      <c r="J281" t="s">
        <v>17</v>
      </c>
      <c r="K281">
        <v>4</v>
      </c>
      <c r="L281" s="10" t="str">
        <f>TRIM(IF(Table1[[#This Row],[years_of_experience]]="","Unknown",Table1[[#This Row],[years_of_experience]]))</f>
        <v>4</v>
      </c>
      <c r="M281" t="s">
        <v>314</v>
      </c>
      <c r="N281" t="str">
        <f>IF(Table1[[#This Row],[hourly_rate (USD)]]="",MEDIAN(Table1[hourly_rate (USD)]),Table1[[#This Row],[hourly_rate (USD)]])</f>
        <v>USD 20</v>
      </c>
      <c r="O281" t="str">
        <f>TRIM(CLEAN(Table1[[#This Row],[Updated hourly_rate (USD)]]))</f>
        <v>USD 20</v>
      </c>
      <c r="P281" t="str">
        <f>SUBSTITUTE(SUBSTITUTE(Table1[[#This Row],[Formatted hourly rate]],"USD ",""),"$","")</f>
        <v>20</v>
      </c>
      <c r="R281">
        <f>IF(Table1[[#This Row],[rating]]="",2.6,Table1[[#This Row],[rating]])</f>
        <v>2.6</v>
      </c>
      <c r="S281">
        <v>0</v>
      </c>
      <c r="T281" t="str">
        <f>TRIM(CLEAN(Table1[[#This Row],[is_active]]))</f>
        <v>0</v>
      </c>
      <c r="U28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81" s="11" t="str">
        <f>TRIM(IF(Table1[[#This Row],[is_active3]]="Unknown","TRUE",Table1[[#This Row],[is_active3]]))</f>
        <v>FALSE</v>
      </c>
      <c r="W281">
        <v>0.71</v>
      </c>
      <c r="X281">
        <f>IF(Table1[[#This Row],[client_satisfaction]]&gt;1,Table1[[#This Row],[client_satisfaction]]/100,Table1[[#This Row],[client_satisfaction]])</f>
        <v>0.71</v>
      </c>
      <c r="Y281">
        <f>IF(Table1[[#This Row],[client_satisfaction2]]=0,0.75,Table1[[#This Row],[client_satisfaction2]])</f>
        <v>0.71</v>
      </c>
    </row>
    <row r="282" spans="1:25" x14ac:dyDescent="0.25">
      <c r="A282" t="s">
        <v>644</v>
      </c>
      <c r="B282" t="s">
        <v>645</v>
      </c>
      <c r="C282" t="str">
        <f>PROPER(TRIM(SUBSTITUTE(SUBSTITUTE(SUBSTITUTE(Table1[[#This Row],[name]],"Ms. ",""),"Mr. ",""),"Mrs. ","")))</f>
        <v>David Powell</v>
      </c>
      <c r="D282" t="s">
        <v>92</v>
      </c>
      <c r="E2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82">
        <v>42</v>
      </c>
      <c r="G282" t="str">
        <f>TRIM(IF(Table1[[#This Row],[age]]="","Unknown",Table1[[#This Row],[age]]))</f>
        <v>42</v>
      </c>
      <c r="H282" t="s">
        <v>49</v>
      </c>
      <c r="I282" t="s">
        <v>50</v>
      </c>
      <c r="J282" t="s">
        <v>73</v>
      </c>
      <c r="K282">
        <v>13</v>
      </c>
      <c r="L282" s="10" t="str">
        <f>TRIM(IF(Table1[[#This Row],[years_of_experience]]="","Unknown",Table1[[#This Row],[years_of_experience]]))</f>
        <v>13</v>
      </c>
      <c r="M282" t="s">
        <v>121</v>
      </c>
      <c r="N282" t="str">
        <f>IF(Table1[[#This Row],[hourly_rate (USD)]]="",MEDIAN(Table1[hourly_rate (USD)]),Table1[[#This Row],[hourly_rate (USD)]])</f>
        <v>$20</v>
      </c>
      <c r="O282" t="str">
        <f>TRIM(CLEAN(Table1[[#This Row],[Updated hourly_rate (USD)]]))</f>
        <v>$20</v>
      </c>
      <c r="P282" t="str">
        <f>SUBSTITUTE(SUBSTITUTE(Table1[[#This Row],[Formatted hourly rate]],"USD ",""),"$","")</f>
        <v>20</v>
      </c>
      <c r="Q282">
        <v>4.7</v>
      </c>
      <c r="R282">
        <f>IF(Table1[[#This Row],[rating]]="",2.6,Table1[[#This Row],[rating]])</f>
        <v>4.7</v>
      </c>
      <c r="S282" t="s">
        <v>31</v>
      </c>
      <c r="T282" t="str">
        <f>TRIM(CLEAN(Table1[[#This Row],[is_active]]))</f>
        <v>N</v>
      </c>
      <c r="U28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82" s="11" t="str">
        <f>TRIM(IF(Table1[[#This Row],[is_active3]]="Unknown","TRUE",Table1[[#This Row],[is_active3]]))</f>
        <v>FALSE</v>
      </c>
      <c r="W282">
        <v>0.85</v>
      </c>
      <c r="X282">
        <f>IF(Table1[[#This Row],[client_satisfaction]]&gt;1,Table1[[#This Row],[client_satisfaction]]/100,Table1[[#This Row],[client_satisfaction]])</f>
        <v>0.85</v>
      </c>
      <c r="Y282">
        <f>IF(Table1[[#This Row],[client_satisfaction2]]=0,0.75,Table1[[#This Row],[client_satisfaction2]])</f>
        <v>0.85</v>
      </c>
    </row>
    <row r="283" spans="1:25" x14ac:dyDescent="0.25">
      <c r="A283" t="s">
        <v>646</v>
      </c>
      <c r="B283" t="s">
        <v>647</v>
      </c>
      <c r="C283" t="str">
        <f>PROPER(TRIM(SUBSTITUTE(SUBSTITUTE(SUBSTITUTE(Table1[[#This Row],[name]],"Ms. ",""),"Mr. ",""),"Mrs. ","")))</f>
        <v>Kelly Jones</v>
      </c>
      <c r="D283" t="s">
        <v>14</v>
      </c>
      <c r="E2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83">
        <v>48</v>
      </c>
      <c r="G283" t="str">
        <f>TRIM(IF(Table1[[#This Row],[age]]="","Unknown",Table1[[#This Row],[age]]))</f>
        <v>48</v>
      </c>
      <c r="H283" t="s">
        <v>93</v>
      </c>
      <c r="I283" t="s">
        <v>94</v>
      </c>
      <c r="J283" t="s">
        <v>23</v>
      </c>
      <c r="K283">
        <v>6</v>
      </c>
      <c r="L283" s="10" t="str">
        <f>TRIM(IF(Table1[[#This Row],[years_of_experience]]="","Unknown",Table1[[#This Row],[years_of_experience]]))</f>
        <v>6</v>
      </c>
      <c r="M283">
        <v>30</v>
      </c>
      <c r="N283">
        <f>IF(Table1[[#This Row],[hourly_rate (USD)]]="",MEDIAN(Table1[hourly_rate (USD)]),Table1[[#This Row],[hourly_rate (USD)]])</f>
        <v>30</v>
      </c>
      <c r="O283" t="str">
        <f>TRIM(CLEAN(Table1[[#This Row],[Updated hourly_rate (USD)]]))</f>
        <v>30</v>
      </c>
      <c r="P283" t="str">
        <f>SUBSTITUTE(SUBSTITUTE(Table1[[#This Row],[Formatted hourly rate]],"USD ",""),"$","")</f>
        <v>30</v>
      </c>
      <c r="R283">
        <f>IF(Table1[[#This Row],[rating]]="",2.6,Table1[[#This Row],[rating]])</f>
        <v>2.6</v>
      </c>
      <c r="S283" t="s">
        <v>31</v>
      </c>
      <c r="T283" t="str">
        <f>TRIM(CLEAN(Table1[[#This Row],[is_active]]))</f>
        <v>N</v>
      </c>
      <c r="U2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83" s="11" t="str">
        <f>TRIM(IF(Table1[[#This Row],[is_active3]]="Unknown","TRUE",Table1[[#This Row],[is_active3]]))</f>
        <v>FALSE</v>
      </c>
      <c r="W283">
        <v>0.96</v>
      </c>
      <c r="X283">
        <f>IF(Table1[[#This Row],[client_satisfaction]]&gt;1,Table1[[#This Row],[client_satisfaction]]/100,Table1[[#This Row],[client_satisfaction]])</f>
        <v>0.96</v>
      </c>
      <c r="Y283">
        <f>IF(Table1[[#This Row],[client_satisfaction2]]=0,0.75,Table1[[#This Row],[client_satisfaction2]])</f>
        <v>0.96</v>
      </c>
    </row>
    <row r="284" spans="1:25" x14ac:dyDescent="0.25">
      <c r="A284" t="s">
        <v>648</v>
      </c>
      <c r="B284" t="s">
        <v>649</v>
      </c>
      <c r="C284" t="str">
        <f>PROPER(TRIM(SUBSTITUTE(SUBSTITUTE(SUBSTITUTE(Table1[[#This Row],[name]],"Ms. ",""),"Mr. ",""),"Mrs. ","")))</f>
        <v>Dr. Michael Aguilar</v>
      </c>
      <c r="D284" t="s">
        <v>48</v>
      </c>
      <c r="E2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84">
        <v>42</v>
      </c>
      <c r="G284" t="str">
        <f>TRIM(IF(Table1[[#This Row],[age]]="","Unknown",Table1[[#This Row],[age]]))</f>
        <v>42</v>
      </c>
      <c r="H284" t="s">
        <v>42</v>
      </c>
      <c r="I284" t="s">
        <v>43</v>
      </c>
      <c r="J284" t="s">
        <v>30</v>
      </c>
      <c r="K284">
        <v>10</v>
      </c>
      <c r="L284" s="10" t="str">
        <f>TRIM(IF(Table1[[#This Row],[years_of_experience]]="","Unknown",Table1[[#This Row],[years_of_experience]]))</f>
        <v>10</v>
      </c>
      <c r="M284" t="s">
        <v>314</v>
      </c>
      <c r="N284" t="str">
        <f>IF(Table1[[#This Row],[hourly_rate (USD)]]="",MEDIAN(Table1[hourly_rate (USD)]),Table1[[#This Row],[hourly_rate (USD)]])</f>
        <v>USD 20</v>
      </c>
      <c r="O284" t="str">
        <f>TRIM(CLEAN(Table1[[#This Row],[Updated hourly_rate (USD)]]))</f>
        <v>USD 20</v>
      </c>
      <c r="P284" t="str">
        <f>SUBSTITUTE(SUBSTITUTE(Table1[[#This Row],[Formatted hourly rate]],"USD ",""),"$","")</f>
        <v>20</v>
      </c>
      <c r="Q284">
        <v>2.4</v>
      </c>
      <c r="R284">
        <f>IF(Table1[[#This Row],[rating]]="",2.6,Table1[[#This Row],[rating]])</f>
        <v>2.4</v>
      </c>
      <c r="S284" t="s">
        <v>74</v>
      </c>
      <c r="T284" t="str">
        <f>TRIM(CLEAN(Table1[[#This Row],[is_active]]))</f>
        <v>Y</v>
      </c>
      <c r="U28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84" s="11" t="str">
        <f>TRIM(IF(Table1[[#This Row],[is_active3]]="Unknown","TRUE",Table1[[#This Row],[is_active3]]))</f>
        <v>TRUE</v>
      </c>
      <c r="W284">
        <v>0.92</v>
      </c>
      <c r="X284">
        <f>IF(Table1[[#This Row],[client_satisfaction]]&gt;1,Table1[[#This Row],[client_satisfaction]]/100,Table1[[#This Row],[client_satisfaction]])</f>
        <v>0.92</v>
      </c>
      <c r="Y284">
        <f>IF(Table1[[#This Row],[client_satisfaction2]]=0,0.75,Table1[[#This Row],[client_satisfaction2]])</f>
        <v>0.92</v>
      </c>
    </row>
    <row r="285" spans="1:25" x14ac:dyDescent="0.25">
      <c r="A285" t="s">
        <v>650</v>
      </c>
      <c r="B285" t="s">
        <v>651</v>
      </c>
      <c r="C285" t="str">
        <f>PROPER(TRIM(SUBSTITUTE(SUBSTITUTE(SUBSTITUTE(Table1[[#This Row],[name]],"Ms. ",""),"Mr. ",""),"Mrs. ","")))</f>
        <v>Alex Novak</v>
      </c>
      <c r="D285" t="s">
        <v>92</v>
      </c>
      <c r="E2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85">
        <v>52</v>
      </c>
      <c r="G285" t="str">
        <f>TRIM(IF(Table1[[#This Row],[age]]="","Unknown",Table1[[#This Row],[age]]))</f>
        <v>52</v>
      </c>
      <c r="H285" t="s">
        <v>112</v>
      </c>
      <c r="I285" t="s">
        <v>113</v>
      </c>
      <c r="J285" t="s">
        <v>78</v>
      </c>
      <c r="K285">
        <v>20</v>
      </c>
      <c r="L285" s="10" t="str">
        <f>TRIM(IF(Table1[[#This Row],[years_of_experience]]="","Unknown",Table1[[#This Row],[years_of_experience]]))</f>
        <v>20</v>
      </c>
      <c r="M285">
        <v>50</v>
      </c>
      <c r="N285">
        <f>IF(Table1[[#This Row],[hourly_rate (USD)]]="",MEDIAN(Table1[hourly_rate (USD)]),Table1[[#This Row],[hourly_rate (USD)]])</f>
        <v>50</v>
      </c>
      <c r="O285" t="str">
        <f>TRIM(CLEAN(Table1[[#This Row],[Updated hourly_rate (USD)]]))</f>
        <v>50</v>
      </c>
      <c r="P285" t="str">
        <f>SUBSTITUTE(SUBSTITUTE(Table1[[#This Row],[Formatted hourly rate]],"USD ",""),"$","")</f>
        <v>50</v>
      </c>
      <c r="R285">
        <f>IF(Table1[[#This Row],[rating]]="",2.6,Table1[[#This Row],[rating]])</f>
        <v>2.6</v>
      </c>
      <c r="S285" t="b">
        <v>0</v>
      </c>
      <c r="T285" t="str">
        <f>TRIM(CLEAN(Table1[[#This Row],[is_active]]))</f>
        <v>FALSE</v>
      </c>
      <c r="U28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85" s="11" t="str">
        <f>TRIM(IF(Table1[[#This Row],[is_active3]]="Unknown","TRUE",Table1[[#This Row],[is_active3]]))</f>
        <v>TRUE</v>
      </c>
      <c r="W285">
        <v>0.79</v>
      </c>
      <c r="X285">
        <f>IF(Table1[[#This Row],[client_satisfaction]]&gt;1,Table1[[#This Row],[client_satisfaction]]/100,Table1[[#This Row],[client_satisfaction]])</f>
        <v>0.79</v>
      </c>
      <c r="Y285">
        <f>IF(Table1[[#This Row],[client_satisfaction2]]=0,0.75,Table1[[#This Row],[client_satisfaction2]])</f>
        <v>0.79</v>
      </c>
    </row>
    <row r="286" spans="1:25" x14ac:dyDescent="0.25">
      <c r="A286" t="s">
        <v>652</v>
      </c>
      <c r="B286" t="s">
        <v>653</v>
      </c>
      <c r="C286" t="str">
        <f>PROPER(TRIM(SUBSTITUTE(SUBSTITUTE(SUBSTITUTE(Table1[[#This Row],[name]],"Ms. ",""),"Mr. ",""),"Mrs. ","")))</f>
        <v>Ann Contreras</v>
      </c>
      <c r="D286" t="s">
        <v>39</v>
      </c>
      <c r="E2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86">
        <v>55</v>
      </c>
      <c r="G286" t="str">
        <f>TRIM(IF(Table1[[#This Row],[age]]="","Unknown",Table1[[#This Row],[age]]))</f>
        <v>55</v>
      </c>
      <c r="H286" t="s">
        <v>85</v>
      </c>
      <c r="I286" t="s">
        <v>86</v>
      </c>
      <c r="J286" t="s">
        <v>35</v>
      </c>
      <c r="K286">
        <v>20</v>
      </c>
      <c r="L286" s="10" t="str">
        <f>TRIM(IF(Table1[[#This Row],[years_of_experience]]="","Unknown",Table1[[#This Row],[years_of_experience]]))</f>
        <v>20</v>
      </c>
      <c r="M286">
        <v>75</v>
      </c>
      <c r="N286">
        <f>IF(Table1[[#This Row],[hourly_rate (USD)]]="",MEDIAN(Table1[hourly_rate (USD)]),Table1[[#This Row],[hourly_rate (USD)]])</f>
        <v>75</v>
      </c>
      <c r="O286" t="str">
        <f>TRIM(CLEAN(Table1[[#This Row],[Updated hourly_rate (USD)]]))</f>
        <v>75</v>
      </c>
      <c r="P286" t="str">
        <f>SUBSTITUTE(SUBSTITUTE(Table1[[#This Row],[Formatted hourly rate]],"USD ",""),"$","")</f>
        <v>75</v>
      </c>
      <c r="Q286">
        <v>2.9</v>
      </c>
      <c r="R286">
        <f>IF(Table1[[#This Row],[rating]]="",2.6,Table1[[#This Row],[rating]])</f>
        <v>2.9</v>
      </c>
      <c r="S286" t="b">
        <v>0</v>
      </c>
      <c r="T286" t="str">
        <f>TRIM(CLEAN(Table1[[#This Row],[is_active]]))</f>
        <v>FALSE</v>
      </c>
      <c r="U28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86" s="11" t="str">
        <f>TRIM(IF(Table1[[#This Row],[is_active3]]="Unknown","TRUE",Table1[[#This Row],[is_active3]]))</f>
        <v>TRUE</v>
      </c>
      <c r="X286">
        <f>IF(Table1[[#This Row],[client_satisfaction]]&gt;1,Table1[[#This Row],[client_satisfaction]]/100,Table1[[#This Row],[client_satisfaction]])</f>
        <v>0</v>
      </c>
      <c r="Y286">
        <f>IF(Table1[[#This Row],[client_satisfaction2]]=0,0.75,Table1[[#This Row],[client_satisfaction2]])</f>
        <v>0.75</v>
      </c>
    </row>
    <row r="287" spans="1:25" x14ac:dyDescent="0.25">
      <c r="A287" t="s">
        <v>654</v>
      </c>
      <c r="B287" t="s">
        <v>655</v>
      </c>
      <c r="C287" t="str">
        <f>PROPER(TRIM(SUBSTITUTE(SUBSTITUTE(SUBSTITUTE(Table1[[#This Row],[name]],"Ms. ",""),"Mr. ",""),"Mrs. ","")))</f>
        <v>Mary Reed</v>
      </c>
      <c r="D287" t="s">
        <v>14</v>
      </c>
      <c r="E2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87">
        <v>58</v>
      </c>
      <c r="G287" t="str">
        <f>TRIM(IF(Table1[[#This Row],[age]]="","Unknown",Table1[[#This Row],[age]]))</f>
        <v>58</v>
      </c>
      <c r="H287" t="s">
        <v>153</v>
      </c>
      <c r="I287" t="s">
        <v>154</v>
      </c>
      <c r="J287" t="s">
        <v>78</v>
      </c>
      <c r="K287">
        <v>11</v>
      </c>
      <c r="L287" s="10" t="str">
        <f>TRIM(IF(Table1[[#This Row],[years_of_experience]]="","Unknown",Table1[[#This Row],[years_of_experience]]))</f>
        <v>11</v>
      </c>
      <c r="M287">
        <v>50</v>
      </c>
      <c r="N287">
        <f>IF(Table1[[#This Row],[hourly_rate (USD)]]="",MEDIAN(Table1[hourly_rate (USD)]),Table1[[#This Row],[hourly_rate (USD)]])</f>
        <v>50</v>
      </c>
      <c r="O287" t="str">
        <f>TRIM(CLEAN(Table1[[#This Row],[Updated hourly_rate (USD)]]))</f>
        <v>50</v>
      </c>
      <c r="P287" t="str">
        <f>SUBSTITUTE(SUBSTITUTE(Table1[[#This Row],[Formatted hourly rate]],"USD ",""),"$","")</f>
        <v>50</v>
      </c>
      <c r="Q287">
        <v>0</v>
      </c>
      <c r="R287">
        <f>IF(Table1[[#This Row],[rating]]="",2.6,Table1[[#This Row],[rating]])</f>
        <v>0</v>
      </c>
      <c r="S287">
        <v>0</v>
      </c>
      <c r="T287" t="str">
        <f>TRIM(CLEAN(Table1[[#This Row],[is_active]]))</f>
        <v>0</v>
      </c>
      <c r="U28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87" s="11" t="str">
        <f>TRIM(IF(Table1[[#This Row],[is_active3]]="Unknown","TRUE",Table1[[#This Row],[is_active3]]))</f>
        <v>FALSE</v>
      </c>
      <c r="X287">
        <f>IF(Table1[[#This Row],[client_satisfaction]]&gt;1,Table1[[#This Row],[client_satisfaction]]/100,Table1[[#This Row],[client_satisfaction]])</f>
        <v>0</v>
      </c>
      <c r="Y287">
        <f>IF(Table1[[#This Row],[client_satisfaction2]]=0,0.75,Table1[[#This Row],[client_satisfaction2]])</f>
        <v>0.75</v>
      </c>
    </row>
    <row r="288" spans="1:25" x14ac:dyDescent="0.25">
      <c r="A288" t="s">
        <v>656</v>
      </c>
      <c r="B288" t="s">
        <v>657</v>
      </c>
      <c r="C288" t="str">
        <f>PROPER(TRIM(SUBSTITUTE(SUBSTITUTE(SUBSTITUTE(Table1[[#This Row],[name]],"Ms. ",""),"Mr. ",""),"Mrs. ","")))</f>
        <v>Lauren Ross</v>
      </c>
      <c r="D288" t="s">
        <v>20</v>
      </c>
      <c r="E2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88">
        <v>46</v>
      </c>
      <c r="G288" t="str">
        <f>TRIM(IF(Table1[[#This Row],[age]]="","Unknown",Table1[[#This Row],[age]]))</f>
        <v>46</v>
      </c>
      <c r="H288" t="s">
        <v>112</v>
      </c>
      <c r="I288" t="s">
        <v>113</v>
      </c>
      <c r="J288" t="s">
        <v>114</v>
      </c>
      <c r="K288">
        <v>12</v>
      </c>
      <c r="L288" s="10" t="str">
        <f>TRIM(IF(Table1[[#This Row],[years_of_experience]]="","Unknown",Table1[[#This Row],[years_of_experience]]))</f>
        <v>12</v>
      </c>
      <c r="M288">
        <v>20</v>
      </c>
      <c r="N288">
        <f>IF(Table1[[#This Row],[hourly_rate (USD)]]="",MEDIAN(Table1[hourly_rate (USD)]),Table1[[#This Row],[hourly_rate (USD)]])</f>
        <v>20</v>
      </c>
      <c r="O288" t="str">
        <f>TRIM(CLEAN(Table1[[#This Row],[Updated hourly_rate (USD)]]))</f>
        <v>20</v>
      </c>
      <c r="P288" t="str">
        <f>SUBSTITUTE(SUBSTITUTE(Table1[[#This Row],[Formatted hourly rate]],"USD ",""),"$","")</f>
        <v>20</v>
      </c>
      <c r="Q288">
        <v>0</v>
      </c>
      <c r="R288">
        <f>IF(Table1[[#This Row],[rating]]="",2.6,Table1[[#This Row],[rating]])</f>
        <v>0</v>
      </c>
      <c r="S288" t="b">
        <v>0</v>
      </c>
      <c r="T288" t="str">
        <f>TRIM(CLEAN(Table1[[#This Row],[is_active]]))</f>
        <v>FALSE</v>
      </c>
      <c r="U28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88" s="11" t="str">
        <f>TRIM(IF(Table1[[#This Row],[is_active3]]="Unknown","TRUE",Table1[[#This Row],[is_active3]]))</f>
        <v>TRUE</v>
      </c>
      <c r="W288">
        <v>0.89</v>
      </c>
      <c r="X288">
        <f>IF(Table1[[#This Row],[client_satisfaction]]&gt;1,Table1[[#This Row],[client_satisfaction]]/100,Table1[[#This Row],[client_satisfaction]])</f>
        <v>0.89</v>
      </c>
      <c r="Y288">
        <f>IF(Table1[[#This Row],[client_satisfaction2]]=0,0.75,Table1[[#This Row],[client_satisfaction2]])</f>
        <v>0.89</v>
      </c>
    </row>
    <row r="289" spans="1:25" x14ac:dyDescent="0.25">
      <c r="A289" t="s">
        <v>658</v>
      </c>
      <c r="B289" t="s">
        <v>659</v>
      </c>
      <c r="C289" t="str">
        <f>PROPER(TRIM(SUBSTITUTE(SUBSTITUTE(SUBSTITUTE(Table1[[#This Row],[name]],"Ms. ",""),"Mr. ",""),"Mrs. ","")))</f>
        <v>Candice Wise</v>
      </c>
      <c r="D289" t="s">
        <v>20</v>
      </c>
      <c r="E2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89">
        <v>45</v>
      </c>
      <c r="G289" t="str">
        <f>TRIM(IF(Table1[[#This Row],[age]]="","Unknown",Table1[[#This Row],[age]]))</f>
        <v>45</v>
      </c>
      <c r="H289" t="s">
        <v>190</v>
      </c>
      <c r="I289" t="s">
        <v>72</v>
      </c>
      <c r="J289" t="s">
        <v>114</v>
      </c>
      <c r="K289">
        <v>1</v>
      </c>
      <c r="L289" s="10" t="str">
        <f>TRIM(IF(Table1[[#This Row],[years_of_experience]]="","Unknown",Table1[[#This Row],[years_of_experience]]))</f>
        <v>1</v>
      </c>
      <c r="M289">
        <v>100</v>
      </c>
      <c r="N289">
        <f>IF(Table1[[#This Row],[hourly_rate (USD)]]="",MEDIAN(Table1[hourly_rate (USD)]),Table1[[#This Row],[hourly_rate (USD)]])</f>
        <v>100</v>
      </c>
      <c r="O289" t="str">
        <f>TRIM(CLEAN(Table1[[#This Row],[Updated hourly_rate (USD)]]))</f>
        <v>100</v>
      </c>
      <c r="P289" t="str">
        <f>SUBSTITUTE(SUBSTITUTE(Table1[[#This Row],[Formatted hourly rate]],"USD ",""),"$","")</f>
        <v>100</v>
      </c>
      <c r="Q289">
        <v>1.5</v>
      </c>
      <c r="R289">
        <f>IF(Table1[[#This Row],[rating]]="",2.6,Table1[[#This Row],[rating]])</f>
        <v>1.5</v>
      </c>
      <c r="S289">
        <v>1</v>
      </c>
      <c r="T289" t="str">
        <f>TRIM(CLEAN(Table1[[#This Row],[is_active]]))</f>
        <v>1</v>
      </c>
      <c r="U28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89" s="11" t="str">
        <f>TRIM(IF(Table1[[#This Row],[is_active3]]="Unknown","TRUE",Table1[[#This Row],[is_active3]]))</f>
        <v>TRUE</v>
      </c>
      <c r="W289">
        <v>1</v>
      </c>
      <c r="X289">
        <f>IF(Table1[[#This Row],[client_satisfaction]]&gt;1,Table1[[#This Row],[client_satisfaction]]/100,Table1[[#This Row],[client_satisfaction]])</f>
        <v>1</v>
      </c>
      <c r="Y289">
        <f>IF(Table1[[#This Row],[client_satisfaction2]]=0,0.75,Table1[[#This Row],[client_satisfaction2]])</f>
        <v>1</v>
      </c>
    </row>
    <row r="290" spans="1:25" x14ac:dyDescent="0.25">
      <c r="A290" t="s">
        <v>660</v>
      </c>
      <c r="B290" t="s">
        <v>661</v>
      </c>
      <c r="C290" t="str">
        <f>PROPER(TRIM(SUBSTITUTE(SUBSTITUTE(SUBSTITUTE(Table1[[#This Row],[name]],"Ms. ",""),"Mr. ",""),"Mrs. ","")))</f>
        <v>Joyce Humphrey</v>
      </c>
      <c r="D290" t="s">
        <v>20</v>
      </c>
      <c r="E2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90">
        <v>56</v>
      </c>
      <c r="G290" t="str">
        <f>TRIM(IF(Table1[[#This Row],[age]]="","Unknown",Table1[[#This Row],[age]]))</f>
        <v>56</v>
      </c>
      <c r="H290" t="s">
        <v>93</v>
      </c>
      <c r="I290" t="s">
        <v>94</v>
      </c>
      <c r="J290" t="s">
        <v>114</v>
      </c>
      <c r="K290">
        <v>2</v>
      </c>
      <c r="L290" s="10" t="str">
        <f>TRIM(IF(Table1[[#This Row],[years_of_experience]]="","Unknown",Table1[[#This Row],[years_of_experience]]))</f>
        <v>2</v>
      </c>
      <c r="M290">
        <v>30</v>
      </c>
      <c r="N290">
        <f>IF(Table1[[#This Row],[hourly_rate (USD)]]="",MEDIAN(Table1[hourly_rate (USD)]),Table1[[#This Row],[hourly_rate (USD)]])</f>
        <v>30</v>
      </c>
      <c r="O290" t="str">
        <f>TRIM(CLEAN(Table1[[#This Row],[Updated hourly_rate (USD)]]))</f>
        <v>30</v>
      </c>
      <c r="P290" t="str">
        <f>SUBSTITUTE(SUBSTITUTE(Table1[[#This Row],[Formatted hourly rate]],"USD ",""),"$","")</f>
        <v>30</v>
      </c>
      <c r="Q290">
        <v>1.9</v>
      </c>
      <c r="R290">
        <f>IF(Table1[[#This Row],[rating]]="",2.6,Table1[[#This Row],[rating]])</f>
        <v>1.9</v>
      </c>
      <c r="S290">
        <v>1</v>
      </c>
      <c r="T290" t="str">
        <f>TRIM(CLEAN(Table1[[#This Row],[is_active]]))</f>
        <v>1</v>
      </c>
      <c r="U29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90" s="11" t="str">
        <f>TRIM(IF(Table1[[#This Row],[is_active3]]="Unknown","TRUE",Table1[[#This Row],[is_active3]]))</f>
        <v>TRUE</v>
      </c>
      <c r="W290">
        <v>0.81</v>
      </c>
      <c r="X290">
        <f>IF(Table1[[#This Row],[client_satisfaction]]&gt;1,Table1[[#This Row],[client_satisfaction]]/100,Table1[[#This Row],[client_satisfaction]])</f>
        <v>0.81</v>
      </c>
      <c r="Y290">
        <f>IF(Table1[[#This Row],[client_satisfaction2]]=0,0.75,Table1[[#This Row],[client_satisfaction2]])</f>
        <v>0.81</v>
      </c>
    </row>
    <row r="291" spans="1:25" x14ac:dyDescent="0.25">
      <c r="A291" t="s">
        <v>662</v>
      </c>
      <c r="B291" t="s">
        <v>663</v>
      </c>
      <c r="C291" t="str">
        <f>PROPER(TRIM(SUBSTITUTE(SUBSTITUTE(SUBSTITUTE(Table1[[#This Row],[name]],"Ms. ",""),"Mr. ",""),"Mrs. ","")))</f>
        <v>James Carr</v>
      </c>
      <c r="D291" t="s">
        <v>27</v>
      </c>
      <c r="E2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91">
        <v>44</v>
      </c>
      <c r="G291" t="str">
        <f>TRIM(IF(Table1[[#This Row],[age]]="","Unknown",Table1[[#This Row],[age]]))</f>
        <v>44</v>
      </c>
      <c r="H291" t="s">
        <v>67</v>
      </c>
      <c r="I291" t="s">
        <v>22</v>
      </c>
      <c r="J291" t="s">
        <v>17</v>
      </c>
      <c r="K291">
        <v>13</v>
      </c>
      <c r="L291" s="10" t="str">
        <f>TRIM(IF(Table1[[#This Row],[years_of_experience]]="","Unknown",Table1[[#This Row],[years_of_experience]]))</f>
        <v>13</v>
      </c>
      <c r="M291">
        <v>100</v>
      </c>
      <c r="N291">
        <f>IF(Table1[[#This Row],[hourly_rate (USD)]]="",MEDIAN(Table1[hourly_rate (USD)]),Table1[[#This Row],[hourly_rate (USD)]])</f>
        <v>100</v>
      </c>
      <c r="O291" t="str">
        <f>TRIM(CLEAN(Table1[[#This Row],[Updated hourly_rate (USD)]]))</f>
        <v>100</v>
      </c>
      <c r="P291" t="str">
        <f>SUBSTITUTE(SUBSTITUTE(Table1[[#This Row],[Formatted hourly rate]],"USD ",""),"$","")</f>
        <v>100</v>
      </c>
      <c r="Q291">
        <v>3.1</v>
      </c>
      <c r="R291">
        <f>IF(Table1[[#This Row],[rating]]="",2.6,Table1[[#This Row],[rating]])</f>
        <v>3.1</v>
      </c>
      <c r="S291" t="s">
        <v>74</v>
      </c>
      <c r="T291" t="str">
        <f>TRIM(CLEAN(Table1[[#This Row],[is_active]]))</f>
        <v>Y</v>
      </c>
      <c r="U29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91" s="11" t="str">
        <f>TRIM(IF(Table1[[#This Row],[is_active3]]="Unknown","TRUE",Table1[[#This Row],[is_active3]]))</f>
        <v>TRUE</v>
      </c>
      <c r="W291">
        <v>95</v>
      </c>
      <c r="X291">
        <f>IF(Table1[[#This Row],[client_satisfaction]]&gt;1,Table1[[#This Row],[client_satisfaction]]/100,Table1[[#This Row],[client_satisfaction]])</f>
        <v>0.95</v>
      </c>
      <c r="Y291">
        <f>IF(Table1[[#This Row],[client_satisfaction2]]=0,0.75,Table1[[#This Row],[client_satisfaction2]])</f>
        <v>0.95</v>
      </c>
    </row>
    <row r="292" spans="1:25" x14ac:dyDescent="0.25">
      <c r="A292" t="s">
        <v>664</v>
      </c>
      <c r="B292" t="s">
        <v>665</v>
      </c>
      <c r="C292" t="str">
        <f>PROPER(TRIM(SUBSTITUTE(SUBSTITUTE(SUBSTITUTE(Table1[[#This Row],[name]],"Ms. ",""),"Mr. ",""),"Mrs. ","")))</f>
        <v>Joseph Mendoza</v>
      </c>
      <c r="D292" t="s">
        <v>97</v>
      </c>
      <c r="E2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92">
        <v>46</v>
      </c>
      <c r="G292" t="str">
        <f>TRIM(IF(Table1[[#This Row],[age]]="","Unknown",Table1[[#This Row],[age]]))</f>
        <v>46</v>
      </c>
      <c r="H292" t="s">
        <v>49</v>
      </c>
      <c r="I292" t="s">
        <v>50</v>
      </c>
      <c r="J292" t="s">
        <v>73</v>
      </c>
      <c r="K292">
        <v>0</v>
      </c>
      <c r="L292" s="10" t="str">
        <f>TRIM(IF(Table1[[#This Row],[years_of_experience]]="","Unknown",Table1[[#This Row],[years_of_experience]]))</f>
        <v>0</v>
      </c>
      <c r="N292">
        <f>IF(Table1[[#This Row],[hourly_rate (USD)]]="",MEDIAN(Table1[hourly_rate (USD)]),Table1[[#This Row],[hourly_rate (USD)]])</f>
        <v>50</v>
      </c>
      <c r="O292" t="str">
        <f>TRIM(CLEAN(Table1[[#This Row],[Updated hourly_rate (USD)]]))</f>
        <v>50</v>
      </c>
      <c r="P292" t="str">
        <f>SUBSTITUTE(SUBSTITUTE(Table1[[#This Row],[Formatted hourly rate]],"USD ",""),"$","")</f>
        <v>50</v>
      </c>
      <c r="Q292">
        <v>1.8</v>
      </c>
      <c r="R292">
        <f>IF(Table1[[#This Row],[rating]]="",2.6,Table1[[#This Row],[rating]])</f>
        <v>1.8</v>
      </c>
      <c r="S292" t="s">
        <v>31</v>
      </c>
      <c r="T292" t="str">
        <f>TRIM(CLEAN(Table1[[#This Row],[is_active]]))</f>
        <v>N</v>
      </c>
      <c r="U29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92" s="11" t="str">
        <f>TRIM(IF(Table1[[#This Row],[is_active3]]="Unknown","TRUE",Table1[[#This Row],[is_active3]]))</f>
        <v>FALSE</v>
      </c>
      <c r="W292">
        <v>0.88</v>
      </c>
      <c r="X292">
        <f>IF(Table1[[#This Row],[client_satisfaction]]&gt;1,Table1[[#This Row],[client_satisfaction]]/100,Table1[[#This Row],[client_satisfaction]])</f>
        <v>0.88</v>
      </c>
      <c r="Y292">
        <f>IF(Table1[[#This Row],[client_satisfaction2]]=0,0.75,Table1[[#This Row],[client_satisfaction2]])</f>
        <v>0.88</v>
      </c>
    </row>
    <row r="293" spans="1:25" x14ac:dyDescent="0.25">
      <c r="A293" t="s">
        <v>666</v>
      </c>
      <c r="B293" t="s">
        <v>667</v>
      </c>
      <c r="C293" t="str">
        <f>PROPER(TRIM(SUBSTITUTE(SUBSTITUTE(SUBSTITUTE(Table1[[#This Row],[name]],"Ms. ",""),"Mr. ",""),"Mrs. ","")))</f>
        <v>Cathy Baldwin</v>
      </c>
      <c r="D293" t="s">
        <v>77</v>
      </c>
      <c r="E2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93">
        <v>27</v>
      </c>
      <c r="G293" t="str">
        <f>TRIM(IF(Table1[[#This Row],[age]]="","Unknown",Table1[[#This Row],[age]]))</f>
        <v>27</v>
      </c>
      <c r="H293" t="s">
        <v>85</v>
      </c>
      <c r="I293" t="s">
        <v>86</v>
      </c>
      <c r="J293" t="s">
        <v>35</v>
      </c>
      <c r="K293">
        <v>7</v>
      </c>
      <c r="L293" s="10" t="str">
        <f>TRIM(IF(Table1[[#This Row],[years_of_experience]]="","Unknown",Table1[[#This Row],[years_of_experience]]))</f>
        <v>7</v>
      </c>
      <c r="M293">
        <v>30</v>
      </c>
      <c r="N293">
        <f>IF(Table1[[#This Row],[hourly_rate (USD)]]="",MEDIAN(Table1[hourly_rate (USD)]),Table1[[#This Row],[hourly_rate (USD)]])</f>
        <v>30</v>
      </c>
      <c r="O293" t="str">
        <f>TRIM(CLEAN(Table1[[#This Row],[Updated hourly_rate (USD)]]))</f>
        <v>30</v>
      </c>
      <c r="P293" t="str">
        <f>SUBSTITUTE(SUBSTITUTE(Table1[[#This Row],[Formatted hourly rate]],"USD ",""),"$","")</f>
        <v>30</v>
      </c>
      <c r="Q293">
        <v>2.4</v>
      </c>
      <c r="R293">
        <f>IF(Table1[[#This Row],[rating]]="",2.6,Table1[[#This Row],[rating]])</f>
        <v>2.4</v>
      </c>
      <c r="S293" t="s">
        <v>68</v>
      </c>
      <c r="T293" t="str">
        <f>TRIM(CLEAN(Table1[[#This Row],[is_active]]))</f>
        <v>yes</v>
      </c>
      <c r="U2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93" s="11" t="str">
        <f>TRIM(IF(Table1[[#This Row],[is_active3]]="Unknown","TRUE",Table1[[#This Row],[is_active3]]))</f>
        <v>TRUE</v>
      </c>
      <c r="W293">
        <v>0.66</v>
      </c>
      <c r="X293">
        <f>IF(Table1[[#This Row],[client_satisfaction]]&gt;1,Table1[[#This Row],[client_satisfaction]]/100,Table1[[#This Row],[client_satisfaction]])</f>
        <v>0.66</v>
      </c>
      <c r="Y293">
        <f>IF(Table1[[#This Row],[client_satisfaction2]]=0,0.75,Table1[[#This Row],[client_satisfaction2]])</f>
        <v>0.66</v>
      </c>
    </row>
    <row r="294" spans="1:25" x14ac:dyDescent="0.25">
      <c r="A294" t="s">
        <v>668</v>
      </c>
      <c r="B294" t="s">
        <v>669</v>
      </c>
      <c r="C294" t="str">
        <f>PROPER(TRIM(SUBSTITUTE(SUBSTITUTE(SUBSTITUTE(Table1[[#This Row],[name]],"Ms. ",""),"Mr. ",""),"Mrs. ","")))</f>
        <v>Christine Hart</v>
      </c>
      <c r="D294" t="s">
        <v>20</v>
      </c>
      <c r="E2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94">
        <v>49</v>
      </c>
      <c r="G294" t="str">
        <f>TRIM(IF(Table1[[#This Row],[age]]="","Unknown",Table1[[#This Row],[age]]))</f>
        <v>49</v>
      </c>
      <c r="H294" t="s">
        <v>93</v>
      </c>
      <c r="I294" t="s">
        <v>94</v>
      </c>
      <c r="J294" t="s">
        <v>17</v>
      </c>
      <c r="K294">
        <v>13</v>
      </c>
      <c r="L294" s="10" t="str">
        <f>TRIM(IF(Table1[[#This Row],[years_of_experience]]="","Unknown",Table1[[#This Row],[years_of_experience]]))</f>
        <v>13</v>
      </c>
      <c r="M294">
        <v>100</v>
      </c>
      <c r="N294">
        <f>IF(Table1[[#This Row],[hourly_rate (USD)]]="",MEDIAN(Table1[hourly_rate (USD)]),Table1[[#This Row],[hourly_rate (USD)]])</f>
        <v>100</v>
      </c>
      <c r="O294" t="str">
        <f>TRIM(CLEAN(Table1[[#This Row],[Updated hourly_rate (USD)]]))</f>
        <v>100</v>
      </c>
      <c r="P294" t="str">
        <f>SUBSTITUTE(SUBSTITUTE(Table1[[#This Row],[Formatted hourly rate]],"USD ",""),"$","")</f>
        <v>100</v>
      </c>
      <c r="Q294">
        <v>4.2</v>
      </c>
      <c r="R294">
        <f>IF(Table1[[#This Row],[rating]]="",2.6,Table1[[#This Row],[rating]])</f>
        <v>4.2</v>
      </c>
      <c r="S294">
        <v>1</v>
      </c>
      <c r="T294" t="str">
        <f>TRIM(CLEAN(Table1[[#This Row],[is_active]]))</f>
        <v>1</v>
      </c>
      <c r="U29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94" s="11" t="str">
        <f>TRIM(IF(Table1[[#This Row],[is_active3]]="Unknown","TRUE",Table1[[#This Row],[is_active3]]))</f>
        <v>TRUE</v>
      </c>
      <c r="W294">
        <v>0.84</v>
      </c>
      <c r="X294">
        <f>IF(Table1[[#This Row],[client_satisfaction]]&gt;1,Table1[[#This Row],[client_satisfaction]]/100,Table1[[#This Row],[client_satisfaction]])</f>
        <v>0.84</v>
      </c>
      <c r="Y294">
        <f>IF(Table1[[#This Row],[client_satisfaction2]]=0,0.75,Table1[[#This Row],[client_satisfaction2]])</f>
        <v>0.84</v>
      </c>
    </row>
    <row r="295" spans="1:25" x14ac:dyDescent="0.25">
      <c r="A295" t="s">
        <v>670</v>
      </c>
      <c r="B295" t="s">
        <v>671</v>
      </c>
      <c r="C295" t="str">
        <f>PROPER(TRIM(SUBSTITUTE(SUBSTITUTE(SUBSTITUTE(Table1[[#This Row],[name]],"Ms. ",""),"Mr. ",""),"Mrs. ","")))</f>
        <v>Mike Stanley</v>
      </c>
      <c r="D295" t="s">
        <v>97</v>
      </c>
      <c r="E2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95">
        <v>53</v>
      </c>
      <c r="G295" t="str">
        <f>TRIM(IF(Table1[[#This Row],[age]]="","Unknown",Table1[[#This Row],[age]]))</f>
        <v>53</v>
      </c>
      <c r="H295" t="s">
        <v>179</v>
      </c>
      <c r="I295" t="s">
        <v>72</v>
      </c>
      <c r="J295" t="s">
        <v>35</v>
      </c>
      <c r="K295">
        <v>21</v>
      </c>
      <c r="L295" s="10" t="str">
        <f>TRIM(IF(Table1[[#This Row],[years_of_experience]]="","Unknown",Table1[[#This Row],[years_of_experience]]))</f>
        <v>21</v>
      </c>
      <c r="M295" t="s">
        <v>64</v>
      </c>
      <c r="N295" t="str">
        <f>IF(Table1[[#This Row],[hourly_rate (USD)]]="",MEDIAN(Table1[hourly_rate (USD)]),Table1[[#This Row],[hourly_rate (USD)]])</f>
        <v>$50</v>
      </c>
      <c r="O295" t="str">
        <f>TRIM(CLEAN(Table1[[#This Row],[Updated hourly_rate (USD)]]))</f>
        <v>$50</v>
      </c>
      <c r="P295" t="str">
        <f>SUBSTITUTE(SUBSTITUTE(Table1[[#This Row],[Formatted hourly rate]],"USD ",""),"$","")</f>
        <v>50</v>
      </c>
      <c r="Q295">
        <v>1.4</v>
      </c>
      <c r="R295">
        <f>IF(Table1[[#This Row],[rating]]="",2.6,Table1[[#This Row],[rating]])</f>
        <v>1.4</v>
      </c>
      <c r="S295" t="s">
        <v>31</v>
      </c>
      <c r="T295" t="str">
        <f>TRIM(CLEAN(Table1[[#This Row],[is_active]]))</f>
        <v>N</v>
      </c>
      <c r="U29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295" s="11" t="str">
        <f>TRIM(IF(Table1[[#This Row],[is_active3]]="Unknown","TRUE",Table1[[#This Row],[is_active3]]))</f>
        <v>FALSE</v>
      </c>
      <c r="X295">
        <f>IF(Table1[[#This Row],[client_satisfaction]]&gt;1,Table1[[#This Row],[client_satisfaction]]/100,Table1[[#This Row],[client_satisfaction]])</f>
        <v>0</v>
      </c>
      <c r="Y295">
        <f>IF(Table1[[#This Row],[client_satisfaction2]]=0,0.75,Table1[[#This Row],[client_satisfaction2]])</f>
        <v>0.75</v>
      </c>
    </row>
    <row r="296" spans="1:25" x14ac:dyDescent="0.25">
      <c r="A296" t="s">
        <v>672</v>
      </c>
      <c r="B296" t="s">
        <v>673</v>
      </c>
      <c r="C296" t="str">
        <f>PROPER(TRIM(SUBSTITUTE(SUBSTITUTE(SUBSTITUTE(Table1[[#This Row],[name]],"Ms. ",""),"Mr. ",""),"Mrs. ","")))</f>
        <v>Jeffrey Edwards</v>
      </c>
      <c r="D296" t="s">
        <v>97</v>
      </c>
      <c r="E2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96">
        <v>56</v>
      </c>
      <c r="G296" t="str">
        <f>TRIM(IF(Table1[[#This Row],[age]]="","Unknown",Table1[[#This Row],[age]]))</f>
        <v>56</v>
      </c>
      <c r="H296" t="s">
        <v>21</v>
      </c>
      <c r="I296" t="s">
        <v>22</v>
      </c>
      <c r="J296" t="s">
        <v>35</v>
      </c>
      <c r="K296">
        <v>19</v>
      </c>
      <c r="L296" s="10" t="str">
        <f>TRIM(IF(Table1[[#This Row],[years_of_experience]]="","Unknown",Table1[[#This Row],[years_of_experience]]))</f>
        <v>19</v>
      </c>
      <c r="M296">
        <v>40</v>
      </c>
      <c r="N296">
        <f>IF(Table1[[#This Row],[hourly_rate (USD)]]="",MEDIAN(Table1[hourly_rate (USD)]),Table1[[#This Row],[hourly_rate (USD)]])</f>
        <v>40</v>
      </c>
      <c r="O296" t="str">
        <f>TRIM(CLEAN(Table1[[#This Row],[Updated hourly_rate (USD)]]))</f>
        <v>40</v>
      </c>
      <c r="P296" t="str">
        <f>SUBSTITUTE(SUBSTITUTE(Table1[[#This Row],[Formatted hourly rate]],"USD ",""),"$","")</f>
        <v>40</v>
      </c>
      <c r="Q296">
        <v>1.2</v>
      </c>
      <c r="R296">
        <f>IF(Table1[[#This Row],[rating]]="",2.6,Table1[[#This Row],[rating]])</f>
        <v>1.2</v>
      </c>
      <c r="S296" t="s">
        <v>74</v>
      </c>
      <c r="T296" t="str">
        <f>TRIM(CLEAN(Table1[[#This Row],[is_active]]))</f>
        <v>Y</v>
      </c>
      <c r="U2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96" s="11" t="str">
        <f>TRIM(IF(Table1[[#This Row],[is_active3]]="Unknown","TRUE",Table1[[#This Row],[is_active3]]))</f>
        <v>TRUE</v>
      </c>
      <c r="W296">
        <v>0.82</v>
      </c>
      <c r="X296">
        <f>IF(Table1[[#This Row],[client_satisfaction]]&gt;1,Table1[[#This Row],[client_satisfaction]]/100,Table1[[#This Row],[client_satisfaction]])</f>
        <v>0.82</v>
      </c>
      <c r="Y296">
        <f>IF(Table1[[#This Row],[client_satisfaction2]]=0,0.75,Table1[[#This Row],[client_satisfaction2]])</f>
        <v>0.82</v>
      </c>
    </row>
    <row r="297" spans="1:25" x14ac:dyDescent="0.25">
      <c r="A297" t="s">
        <v>674</v>
      </c>
      <c r="B297" t="s">
        <v>675</v>
      </c>
      <c r="C297" t="str">
        <f>PROPER(TRIM(SUBSTITUTE(SUBSTITUTE(SUBSTITUTE(Table1[[#This Row],[name]],"Ms. ",""),"Mr. ",""),"Mrs. ","")))</f>
        <v>Amy Lee</v>
      </c>
      <c r="D297" t="s">
        <v>20</v>
      </c>
      <c r="E2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297">
        <v>56</v>
      </c>
      <c r="G297" t="str">
        <f>TRIM(IF(Table1[[#This Row],[age]]="","Unknown",Table1[[#This Row],[age]]))</f>
        <v>56</v>
      </c>
      <c r="H297" t="s">
        <v>67</v>
      </c>
      <c r="I297" t="s">
        <v>22</v>
      </c>
      <c r="J297" t="s">
        <v>89</v>
      </c>
      <c r="K297">
        <v>34</v>
      </c>
      <c r="L297" s="10" t="str">
        <f>TRIM(IF(Table1[[#This Row],[years_of_experience]]="","Unknown",Table1[[#This Row],[years_of_experience]]))</f>
        <v>34</v>
      </c>
      <c r="N297">
        <f>IF(Table1[[#This Row],[hourly_rate (USD)]]="",MEDIAN(Table1[hourly_rate (USD)]),Table1[[#This Row],[hourly_rate (USD)]])</f>
        <v>50</v>
      </c>
      <c r="O297" t="str">
        <f>TRIM(CLEAN(Table1[[#This Row],[Updated hourly_rate (USD)]]))</f>
        <v>50</v>
      </c>
      <c r="P297" t="str">
        <f>SUBSTITUTE(SUBSTITUTE(Table1[[#This Row],[Formatted hourly rate]],"USD ",""),"$","")</f>
        <v>50</v>
      </c>
      <c r="Q297">
        <v>2.1</v>
      </c>
      <c r="R297">
        <f>IF(Table1[[#This Row],[rating]]="",2.6,Table1[[#This Row],[rating]])</f>
        <v>2.1</v>
      </c>
      <c r="S297" t="s">
        <v>68</v>
      </c>
      <c r="T297" t="str">
        <f>TRIM(CLEAN(Table1[[#This Row],[is_active]]))</f>
        <v>yes</v>
      </c>
      <c r="U29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297" s="11" t="str">
        <f>TRIM(IF(Table1[[#This Row],[is_active3]]="Unknown","TRUE",Table1[[#This Row],[is_active3]]))</f>
        <v>TRUE</v>
      </c>
      <c r="W297">
        <v>0.84</v>
      </c>
      <c r="X297">
        <f>IF(Table1[[#This Row],[client_satisfaction]]&gt;1,Table1[[#This Row],[client_satisfaction]]/100,Table1[[#This Row],[client_satisfaction]])</f>
        <v>0.84</v>
      </c>
      <c r="Y297">
        <f>IF(Table1[[#This Row],[client_satisfaction2]]=0,0.75,Table1[[#This Row],[client_satisfaction2]])</f>
        <v>0.84</v>
      </c>
    </row>
    <row r="298" spans="1:25" x14ac:dyDescent="0.25">
      <c r="A298" t="s">
        <v>676</v>
      </c>
      <c r="B298" t="s">
        <v>677</v>
      </c>
      <c r="C298" t="str">
        <f>PROPER(TRIM(SUBSTITUTE(SUBSTITUTE(SUBSTITUTE(Table1[[#This Row],[name]],"Ms. ",""),"Mr. ",""),"Mrs. ","")))</f>
        <v>Mark Thompson</v>
      </c>
      <c r="D298" t="s">
        <v>61</v>
      </c>
      <c r="E2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98">
        <v>38</v>
      </c>
      <c r="G298" t="str">
        <f>TRIM(IF(Table1[[#This Row],[age]]="","Unknown",Table1[[#This Row],[age]]))</f>
        <v>38</v>
      </c>
      <c r="H298" t="s">
        <v>153</v>
      </c>
      <c r="I298" t="s">
        <v>154</v>
      </c>
      <c r="J298" t="s">
        <v>51</v>
      </c>
      <c r="K298">
        <v>3</v>
      </c>
      <c r="L298" s="10" t="str">
        <f>TRIM(IF(Table1[[#This Row],[years_of_experience]]="","Unknown",Table1[[#This Row],[years_of_experience]]))</f>
        <v>3</v>
      </c>
      <c r="M298">
        <v>100</v>
      </c>
      <c r="N298">
        <f>IF(Table1[[#This Row],[hourly_rate (USD)]]="",MEDIAN(Table1[hourly_rate (USD)]),Table1[[#This Row],[hourly_rate (USD)]])</f>
        <v>100</v>
      </c>
      <c r="O298" t="str">
        <f>TRIM(CLEAN(Table1[[#This Row],[Updated hourly_rate (USD)]]))</f>
        <v>100</v>
      </c>
      <c r="P298" t="str">
        <f>SUBSTITUTE(SUBSTITUTE(Table1[[#This Row],[Formatted hourly rate]],"USD ",""),"$","")</f>
        <v>100</v>
      </c>
      <c r="Q298">
        <v>1.4</v>
      </c>
      <c r="R298">
        <f>IF(Table1[[#This Row],[rating]]="",2.6,Table1[[#This Row],[rating]])</f>
        <v>1.4</v>
      </c>
      <c r="S298" t="b">
        <v>0</v>
      </c>
      <c r="T298" t="str">
        <f>TRIM(CLEAN(Table1[[#This Row],[is_active]]))</f>
        <v>FALSE</v>
      </c>
      <c r="U29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98" s="11" t="str">
        <f>TRIM(IF(Table1[[#This Row],[is_active3]]="Unknown","TRUE",Table1[[#This Row],[is_active3]]))</f>
        <v>TRUE</v>
      </c>
      <c r="W298">
        <v>0.73</v>
      </c>
      <c r="X298">
        <f>IF(Table1[[#This Row],[client_satisfaction]]&gt;1,Table1[[#This Row],[client_satisfaction]]/100,Table1[[#This Row],[client_satisfaction]])</f>
        <v>0.73</v>
      </c>
      <c r="Y298">
        <f>IF(Table1[[#This Row],[client_satisfaction2]]=0,0.75,Table1[[#This Row],[client_satisfaction2]])</f>
        <v>0.73</v>
      </c>
    </row>
    <row r="299" spans="1:25" x14ac:dyDescent="0.25">
      <c r="A299" t="s">
        <v>678</v>
      </c>
      <c r="B299" t="s">
        <v>679</v>
      </c>
      <c r="C299" t="str">
        <f>PROPER(TRIM(SUBSTITUTE(SUBSTITUTE(SUBSTITUTE(Table1[[#This Row],[name]],"Ms. ",""),"Mr. ",""),"Mrs. ","")))</f>
        <v>Alex Wilson</v>
      </c>
      <c r="D299" t="s">
        <v>92</v>
      </c>
      <c r="E2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299">
        <v>20</v>
      </c>
      <c r="G299" t="str">
        <f>TRIM(IF(Table1[[#This Row],[age]]="","Unknown",Table1[[#This Row],[age]]))</f>
        <v>20</v>
      </c>
      <c r="H299" t="s">
        <v>112</v>
      </c>
      <c r="I299" t="s">
        <v>113</v>
      </c>
      <c r="J299" t="s">
        <v>23</v>
      </c>
      <c r="K299">
        <v>0</v>
      </c>
      <c r="L299" s="10" t="str">
        <f>TRIM(IF(Table1[[#This Row],[years_of_experience]]="","Unknown",Table1[[#This Row],[years_of_experience]]))</f>
        <v>0</v>
      </c>
      <c r="M299">
        <v>30</v>
      </c>
      <c r="N299">
        <f>IF(Table1[[#This Row],[hourly_rate (USD)]]="",MEDIAN(Table1[hourly_rate (USD)]),Table1[[#This Row],[hourly_rate (USD)]])</f>
        <v>30</v>
      </c>
      <c r="O299" t="str">
        <f>TRIM(CLEAN(Table1[[#This Row],[Updated hourly_rate (USD)]]))</f>
        <v>30</v>
      </c>
      <c r="P299" t="str">
        <f>SUBSTITUTE(SUBSTITUTE(Table1[[#This Row],[Formatted hourly rate]],"USD ",""),"$","")</f>
        <v>30</v>
      </c>
      <c r="Q299">
        <v>3.8</v>
      </c>
      <c r="R299">
        <f>IF(Table1[[#This Row],[rating]]="",2.6,Table1[[#This Row],[rating]])</f>
        <v>3.8</v>
      </c>
      <c r="T299" t="str">
        <f>TRIM(CLEAN(Table1[[#This Row],[is_active]]))</f>
        <v/>
      </c>
      <c r="U29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299" s="11" t="str">
        <f>TRIM(IF(Table1[[#This Row],[is_active3]]="Unknown","TRUE",Table1[[#This Row],[is_active3]]))</f>
        <v>TRUE</v>
      </c>
      <c r="W299">
        <v>0.93</v>
      </c>
      <c r="X299">
        <f>IF(Table1[[#This Row],[client_satisfaction]]&gt;1,Table1[[#This Row],[client_satisfaction]]/100,Table1[[#This Row],[client_satisfaction]])</f>
        <v>0.93</v>
      </c>
      <c r="Y299">
        <f>IF(Table1[[#This Row],[client_satisfaction2]]=0,0.75,Table1[[#This Row],[client_satisfaction2]])</f>
        <v>0.93</v>
      </c>
    </row>
    <row r="300" spans="1:25" x14ac:dyDescent="0.25">
      <c r="A300" t="s">
        <v>680</v>
      </c>
      <c r="B300" t="s">
        <v>681</v>
      </c>
      <c r="C300" t="str">
        <f>PROPER(TRIM(SUBSTITUTE(SUBSTITUTE(SUBSTITUTE(Table1[[#This Row],[name]],"Ms. ",""),"Mr. ",""),"Mrs. ","")))</f>
        <v>Nancy Mendez</v>
      </c>
      <c r="D300" t="s">
        <v>39</v>
      </c>
      <c r="E3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00">
        <v>38</v>
      </c>
      <c r="G300" t="str">
        <f>TRIM(IF(Table1[[#This Row],[age]]="","Unknown",Table1[[#This Row],[age]]))</f>
        <v>38</v>
      </c>
      <c r="H300" t="s">
        <v>128</v>
      </c>
      <c r="I300" t="s">
        <v>22</v>
      </c>
      <c r="J300" t="s">
        <v>114</v>
      </c>
      <c r="K300">
        <v>20</v>
      </c>
      <c r="L300" s="10" t="str">
        <f>TRIM(IF(Table1[[#This Row],[years_of_experience]]="","Unknown",Table1[[#This Row],[years_of_experience]]))</f>
        <v>20</v>
      </c>
      <c r="M300">
        <v>50</v>
      </c>
      <c r="N300">
        <f>IF(Table1[[#This Row],[hourly_rate (USD)]]="",MEDIAN(Table1[hourly_rate (USD)]),Table1[[#This Row],[hourly_rate (USD)]])</f>
        <v>50</v>
      </c>
      <c r="O300" t="str">
        <f>TRIM(CLEAN(Table1[[#This Row],[Updated hourly_rate (USD)]]))</f>
        <v>50</v>
      </c>
      <c r="P300" t="str">
        <f>SUBSTITUTE(SUBSTITUTE(Table1[[#This Row],[Formatted hourly rate]],"USD ",""),"$","")</f>
        <v>50</v>
      </c>
      <c r="Q300">
        <v>0</v>
      </c>
      <c r="R300">
        <f>IF(Table1[[#This Row],[rating]]="",2.6,Table1[[#This Row],[rating]])</f>
        <v>0</v>
      </c>
      <c r="T300" t="str">
        <f>TRIM(CLEAN(Table1[[#This Row],[is_active]]))</f>
        <v/>
      </c>
      <c r="U30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00" s="11" t="str">
        <f>TRIM(IF(Table1[[#This Row],[is_active3]]="Unknown","TRUE",Table1[[#This Row],[is_active3]]))</f>
        <v>TRUE</v>
      </c>
      <c r="W300">
        <v>0.64</v>
      </c>
      <c r="X300">
        <f>IF(Table1[[#This Row],[client_satisfaction]]&gt;1,Table1[[#This Row],[client_satisfaction]]/100,Table1[[#This Row],[client_satisfaction]])</f>
        <v>0.64</v>
      </c>
      <c r="Y300">
        <f>IF(Table1[[#This Row],[client_satisfaction2]]=0,0.75,Table1[[#This Row],[client_satisfaction2]])</f>
        <v>0.64</v>
      </c>
    </row>
    <row r="301" spans="1:25" x14ac:dyDescent="0.25">
      <c r="A301" t="s">
        <v>682</v>
      </c>
      <c r="B301" t="s">
        <v>683</v>
      </c>
      <c r="C301" t="str">
        <f>PROPER(TRIM(SUBSTITUTE(SUBSTITUTE(SUBSTITUTE(Table1[[#This Row],[name]],"Ms. ",""),"Mr. ",""),"Mrs. ","")))</f>
        <v>Beth Crane</v>
      </c>
      <c r="D301" t="s">
        <v>14</v>
      </c>
      <c r="E3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301" t="str">
        <f>TRIM(IF(Table1[[#This Row],[age]]="","Unknown",Table1[[#This Row],[age]]))</f>
        <v>Unknown</v>
      </c>
      <c r="H301" t="s">
        <v>42</v>
      </c>
      <c r="I301" t="s">
        <v>43</v>
      </c>
      <c r="J301" t="s">
        <v>23</v>
      </c>
      <c r="K301">
        <v>6</v>
      </c>
      <c r="L301" s="10" t="str">
        <f>TRIM(IF(Table1[[#This Row],[years_of_experience]]="","Unknown",Table1[[#This Row],[years_of_experience]]))</f>
        <v>6</v>
      </c>
      <c r="M301">
        <v>40</v>
      </c>
      <c r="N301">
        <f>IF(Table1[[#This Row],[hourly_rate (USD)]]="",MEDIAN(Table1[hourly_rate (USD)]),Table1[[#This Row],[hourly_rate (USD)]])</f>
        <v>40</v>
      </c>
      <c r="O301" t="str">
        <f>TRIM(CLEAN(Table1[[#This Row],[Updated hourly_rate (USD)]]))</f>
        <v>40</v>
      </c>
      <c r="P301" t="str">
        <f>SUBSTITUTE(SUBSTITUTE(Table1[[#This Row],[Formatted hourly rate]],"USD ",""),"$","")</f>
        <v>40</v>
      </c>
      <c r="Q301">
        <v>3.5</v>
      </c>
      <c r="R301">
        <f>IF(Table1[[#This Row],[rating]]="",2.6,Table1[[#This Row],[rating]])</f>
        <v>3.5</v>
      </c>
      <c r="S301">
        <v>0</v>
      </c>
      <c r="T301" t="str">
        <f>TRIM(CLEAN(Table1[[#This Row],[is_active]]))</f>
        <v>0</v>
      </c>
      <c r="U30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01" s="11" t="str">
        <f>TRIM(IF(Table1[[#This Row],[is_active3]]="Unknown","TRUE",Table1[[#This Row],[is_active3]]))</f>
        <v>FALSE</v>
      </c>
      <c r="W301">
        <v>0.76</v>
      </c>
      <c r="X301">
        <f>IF(Table1[[#This Row],[client_satisfaction]]&gt;1,Table1[[#This Row],[client_satisfaction]]/100,Table1[[#This Row],[client_satisfaction]])</f>
        <v>0.76</v>
      </c>
      <c r="Y301">
        <f>IF(Table1[[#This Row],[client_satisfaction2]]=0,0.75,Table1[[#This Row],[client_satisfaction2]])</f>
        <v>0.76</v>
      </c>
    </row>
    <row r="302" spans="1:25" x14ac:dyDescent="0.25">
      <c r="A302" t="s">
        <v>684</v>
      </c>
      <c r="B302" t="s">
        <v>685</v>
      </c>
      <c r="C302" t="str">
        <f>PROPER(TRIM(SUBSTITUTE(SUBSTITUTE(SUBSTITUTE(Table1[[#This Row],[name]],"Ms. ",""),"Mr. ",""),"Mrs. ","")))</f>
        <v>Miguel Rogers</v>
      </c>
      <c r="D302" t="s">
        <v>61</v>
      </c>
      <c r="E3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02">
        <v>46</v>
      </c>
      <c r="G302" t="str">
        <f>TRIM(IF(Table1[[#This Row],[age]]="","Unknown",Table1[[#This Row],[age]]))</f>
        <v>46</v>
      </c>
      <c r="H302" t="s">
        <v>93</v>
      </c>
      <c r="I302" t="s">
        <v>94</v>
      </c>
      <c r="J302" t="s">
        <v>114</v>
      </c>
      <c r="K302">
        <v>13</v>
      </c>
      <c r="L302" s="10" t="str">
        <f>TRIM(IF(Table1[[#This Row],[years_of_experience]]="","Unknown",Table1[[#This Row],[years_of_experience]]))</f>
        <v>13</v>
      </c>
      <c r="M302" t="s">
        <v>229</v>
      </c>
      <c r="N302" t="str">
        <f>IF(Table1[[#This Row],[hourly_rate (USD)]]="",MEDIAN(Table1[hourly_rate (USD)]),Table1[[#This Row],[hourly_rate (USD)]])</f>
        <v>$100</v>
      </c>
      <c r="O302" t="str">
        <f>TRIM(CLEAN(Table1[[#This Row],[Updated hourly_rate (USD)]]))</f>
        <v>$100</v>
      </c>
      <c r="P302" t="str">
        <f>SUBSTITUTE(SUBSTITUTE(Table1[[#This Row],[Formatted hourly rate]],"USD ",""),"$","")</f>
        <v>100</v>
      </c>
      <c r="Q302">
        <v>0</v>
      </c>
      <c r="R302">
        <f>IF(Table1[[#This Row],[rating]]="",2.6,Table1[[#This Row],[rating]])</f>
        <v>0</v>
      </c>
      <c r="S302" t="s">
        <v>74</v>
      </c>
      <c r="T302" t="str">
        <f>TRIM(CLEAN(Table1[[#This Row],[is_active]]))</f>
        <v>Y</v>
      </c>
      <c r="U30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02" s="11" t="str">
        <f>TRIM(IF(Table1[[#This Row],[is_active3]]="Unknown","TRUE",Table1[[#This Row],[is_active3]]))</f>
        <v>TRUE</v>
      </c>
      <c r="W302">
        <v>0.97</v>
      </c>
      <c r="X302">
        <f>IF(Table1[[#This Row],[client_satisfaction]]&gt;1,Table1[[#This Row],[client_satisfaction]]/100,Table1[[#This Row],[client_satisfaction]])</f>
        <v>0.97</v>
      </c>
      <c r="Y302">
        <f>IF(Table1[[#This Row],[client_satisfaction2]]=0,0.75,Table1[[#This Row],[client_satisfaction2]])</f>
        <v>0.97</v>
      </c>
    </row>
    <row r="303" spans="1:25" x14ac:dyDescent="0.25">
      <c r="A303" t="s">
        <v>686</v>
      </c>
      <c r="B303" t="s">
        <v>687</v>
      </c>
      <c r="C303" t="str">
        <f>PROPER(TRIM(SUBSTITUTE(SUBSTITUTE(SUBSTITUTE(Table1[[#This Row],[name]],"Ms. ",""),"Mr. ",""),"Mrs. ","")))</f>
        <v>Thomas Robles</v>
      </c>
      <c r="D303" t="s">
        <v>97</v>
      </c>
      <c r="E3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03">
        <v>36</v>
      </c>
      <c r="G303" t="str">
        <f>TRIM(IF(Table1[[#This Row],[age]]="","Unknown",Table1[[#This Row],[age]]))</f>
        <v>36</v>
      </c>
      <c r="H303" t="s">
        <v>153</v>
      </c>
      <c r="I303" t="s">
        <v>154</v>
      </c>
      <c r="J303" t="s">
        <v>51</v>
      </c>
      <c r="K303">
        <v>9</v>
      </c>
      <c r="L303" s="10" t="str">
        <f>TRIM(IF(Table1[[#This Row],[years_of_experience]]="","Unknown",Table1[[#This Row],[years_of_experience]]))</f>
        <v>9</v>
      </c>
      <c r="M303">
        <v>75</v>
      </c>
      <c r="N303">
        <f>IF(Table1[[#This Row],[hourly_rate (USD)]]="",MEDIAN(Table1[hourly_rate (USD)]),Table1[[#This Row],[hourly_rate (USD)]])</f>
        <v>75</v>
      </c>
      <c r="O303" t="str">
        <f>TRIM(CLEAN(Table1[[#This Row],[Updated hourly_rate (USD)]]))</f>
        <v>75</v>
      </c>
      <c r="P303" t="str">
        <f>SUBSTITUTE(SUBSTITUTE(Table1[[#This Row],[Formatted hourly rate]],"USD ",""),"$","")</f>
        <v>75</v>
      </c>
      <c r="Q303">
        <v>2.2000000000000002</v>
      </c>
      <c r="R303">
        <f>IF(Table1[[#This Row],[rating]]="",2.6,Table1[[#This Row],[rating]])</f>
        <v>2.2000000000000002</v>
      </c>
      <c r="S303">
        <v>0</v>
      </c>
      <c r="T303" t="str">
        <f>TRIM(CLEAN(Table1[[#This Row],[is_active]]))</f>
        <v>0</v>
      </c>
      <c r="U30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03" s="11" t="str">
        <f>TRIM(IF(Table1[[#This Row],[is_active3]]="Unknown","TRUE",Table1[[#This Row],[is_active3]]))</f>
        <v>FALSE</v>
      </c>
      <c r="W303">
        <v>0.95</v>
      </c>
      <c r="X303">
        <f>IF(Table1[[#This Row],[client_satisfaction]]&gt;1,Table1[[#This Row],[client_satisfaction]]/100,Table1[[#This Row],[client_satisfaction]])</f>
        <v>0.95</v>
      </c>
      <c r="Y303">
        <f>IF(Table1[[#This Row],[client_satisfaction2]]=0,0.75,Table1[[#This Row],[client_satisfaction2]])</f>
        <v>0.95</v>
      </c>
    </row>
    <row r="304" spans="1:25" x14ac:dyDescent="0.25">
      <c r="A304" t="s">
        <v>688</v>
      </c>
      <c r="B304" t="s">
        <v>689</v>
      </c>
      <c r="C304" t="str">
        <f>PROPER(TRIM(SUBSTITUTE(SUBSTITUTE(SUBSTITUTE(Table1[[#This Row],[name]],"Ms. ",""),"Mr. ",""),"Mrs. ","")))</f>
        <v>Joel Brown Iii</v>
      </c>
      <c r="D304" t="s">
        <v>97</v>
      </c>
      <c r="E3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04">
        <v>33</v>
      </c>
      <c r="G304" t="str">
        <f>TRIM(IF(Table1[[#This Row],[age]]="","Unknown",Table1[[#This Row],[age]]))</f>
        <v>33</v>
      </c>
      <c r="H304" t="s">
        <v>124</v>
      </c>
      <c r="I304" t="s">
        <v>125</v>
      </c>
      <c r="J304" t="s">
        <v>35</v>
      </c>
      <c r="K304">
        <v>2</v>
      </c>
      <c r="L304" s="10" t="str">
        <f>TRIM(IF(Table1[[#This Row],[years_of_experience]]="","Unknown",Table1[[#This Row],[years_of_experience]]))</f>
        <v>2</v>
      </c>
      <c r="M304">
        <v>75</v>
      </c>
      <c r="N304">
        <f>IF(Table1[[#This Row],[hourly_rate (USD)]]="",MEDIAN(Table1[hourly_rate (USD)]),Table1[[#This Row],[hourly_rate (USD)]])</f>
        <v>75</v>
      </c>
      <c r="O304" t="str">
        <f>TRIM(CLEAN(Table1[[#This Row],[Updated hourly_rate (USD)]]))</f>
        <v>75</v>
      </c>
      <c r="P304" t="str">
        <f>SUBSTITUTE(SUBSTITUTE(Table1[[#This Row],[Formatted hourly rate]],"USD ",""),"$","")</f>
        <v>75</v>
      </c>
      <c r="Q304">
        <v>2.5</v>
      </c>
      <c r="R304">
        <f>IF(Table1[[#This Row],[rating]]="",2.6,Table1[[#This Row],[rating]])</f>
        <v>2.5</v>
      </c>
      <c r="S304" t="b">
        <v>0</v>
      </c>
      <c r="T304" t="str">
        <f>TRIM(CLEAN(Table1[[#This Row],[is_active]]))</f>
        <v>FALSE</v>
      </c>
      <c r="U30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04" s="11" t="str">
        <f>TRIM(IF(Table1[[#This Row],[is_active3]]="Unknown","TRUE",Table1[[#This Row],[is_active3]]))</f>
        <v>TRUE</v>
      </c>
      <c r="W304">
        <v>0.65</v>
      </c>
      <c r="X304">
        <f>IF(Table1[[#This Row],[client_satisfaction]]&gt;1,Table1[[#This Row],[client_satisfaction]]/100,Table1[[#This Row],[client_satisfaction]])</f>
        <v>0.65</v>
      </c>
      <c r="Y304">
        <f>IF(Table1[[#This Row],[client_satisfaction2]]=0,0.75,Table1[[#This Row],[client_satisfaction2]])</f>
        <v>0.65</v>
      </c>
    </row>
    <row r="305" spans="1:25" x14ac:dyDescent="0.25">
      <c r="A305" t="s">
        <v>690</v>
      </c>
      <c r="B305" t="s">
        <v>691</v>
      </c>
      <c r="C305" t="str">
        <f>PROPER(TRIM(SUBSTITUTE(SUBSTITUTE(SUBSTITUTE(Table1[[#This Row],[name]],"Ms. ",""),"Mr. ",""),"Mrs. ","")))</f>
        <v>Olivia Schultz</v>
      </c>
      <c r="D305" t="s">
        <v>34</v>
      </c>
      <c r="E3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05">
        <v>37</v>
      </c>
      <c r="G305" t="str">
        <f>TRIM(IF(Table1[[#This Row],[age]]="","Unknown",Table1[[#This Row],[age]]))</f>
        <v>37</v>
      </c>
      <c r="H305" t="s">
        <v>128</v>
      </c>
      <c r="I305" t="s">
        <v>22</v>
      </c>
      <c r="J305" t="s">
        <v>30</v>
      </c>
      <c r="K305">
        <v>0</v>
      </c>
      <c r="L305" s="10" t="str">
        <f>TRIM(IF(Table1[[#This Row],[years_of_experience]]="","Unknown",Table1[[#This Row],[years_of_experience]]))</f>
        <v>0</v>
      </c>
      <c r="M305" t="s">
        <v>98</v>
      </c>
      <c r="N305" t="str">
        <f>IF(Table1[[#This Row],[hourly_rate (USD)]]="",MEDIAN(Table1[hourly_rate (USD)]),Table1[[#This Row],[hourly_rate (USD)]])</f>
        <v>USD 50</v>
      </c>
      <c r="O305" t="str">
        <f>TRIM(CLEAN(Table1[[#This Row],[Updated hourly_rate (USD)]]))</f>
        <v>USD 50</v>
      </c>
      <c r="P305" t="str">
        <f>SUBSTITUTE(SUBSTITUTE(Table1[[#This Row],[Formatted hourly rate]],"USD ",""),"$","")</f>
        <v>50</v>
      </c>
      <c r="Q305">
        <v>4.7</v>
      </c>
      <c r="R305">
        <f>IF(Table1[[#This Row],[rating]]="",2.6,Table1[[#This Row],[rating]])</f>
        <v>4.7</v>
      </c>
      <c r="S305">
        <v>0</v>
      </c>
      <c r="T305" t="str">
        <f>TRIM(CLEAN(Table1[[#This Row],[is_active]]))</f>
        <v>0</v>
      </c>
      <c r="U30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05" s="11" t="str">
        <f>TRIM(IF(Table1[[#This Row],[is_active3]]="Unknown","TRUE",Table1[[#This Row],[is_active3]]))</f>
        <v>FALSE</v>
      </c>
      <c r="W305">
        <v>0.77</v>
      </c>
      <c r="X305">
        <f>IF(Table1[[#This Row],[client_satisfaction]]&gt;1,Table1[[#This Row],[client_satisfaction]]/100,Table1[[#This Row],[client_satisfaction]])</f>
        <v>0.77</v>
      </c>
      <c r="Y305">
        <f>IF(Table1[[#This Row],[client_satisfaction2]]=0,0.75,Table1[[#This Row],[client_satisfaction2]])</f>
        <v>0.77</v>
      </c>
    </row>
    <row r="306" spans="1:25" x14ac:dyDescent="0.25">
      <c r="A306" t="s">
        <v>692</v>
      </c>
      <c r="B306" t="s">
        <v>693</v>
      </c>
      <c r="C306" t="str">
        <f>PROPER(TRIM(SUBSTITUTE(SUBSTITUTE(SUBSTITUTE(Table1[[#This Row],[name]],"Ms. ",""),"Mr. ",""),"Mrs. ","")))</f>
        <v>Clayton Pena</v>
      </c>
      <c r="D306" t="s">
        <v>97</v>
      </c>
      <c r="E3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06">
        <v>20</v>
      </c>
      <c r="G306" t="str">
        <f>TRIM(IF(Table1[[#This Row],[age]]="","Unknown",Table1[[#This Row],[age]]))</f>
        <v>20</v>
      </c>
      <c r="H306" t="s">
        <v>139</v>
      </c>
      <c r="I306" t="s">
        <v>140</v>
      </c>
      <c r="J306" t="s">
        <v>51</v>
      </c>
      <c r="K306">
        <v>0</v>
      </c>
      <c r="L306" s="10" t="str">
        <f>TRIM(IF(Table1[[#This Row],[years_of_experience]]="","Unknown",Table1[[#This Row],[years_of_experience]]))</f>
        <v>0</v>
      </c>
      <c r="M306">
        <v>20</v>
      </c>
      <c r="N306">
        <f>IF(Table1[[#This Row],[hourly_rate (USD)]]="",MEDIAN(Table1[hourly_rate (USD)]),Table1[[#This Row],[hourly_rate (USD)]])</f>
        <v>20</v>
      </c>
      <c r="O306" t="str">
        <f>TRIM(CLEAN(Table1[[#This Row],[Updated hourly_rate (USD)]]))</f>
        <v>20</v>
      </c>
      <c r="P306" t="str">
        <f>SUBSTITUTE(SUBSTITUTE(Table1[[#This Row],[Formatted hourly rate]],"USD ",""),"$","")</f>
        <v>20</v>
      </c>
      <c r="Q306">
        <v>3.9</v>
      </c>
      <c r="R306">
        <f>IF(Table1[[#This Row],[rating]]="",2.6,Table1[[#This Row],[rating]])</f>
        <v>3.9</v>
      </c>
      <c r="S306" t="b">
        <v>0</v>
      </c>
      <c r="T306" t="str">
        <f>TRIM(CLEAN(Table1[[#This Row],[is_active]]))</f>
        <v>FALSE</v>
      </c>
      <c r="U30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06" s="11" t="str">
        <f>TRIM(IF(Table1[[#This Row],[is_active3]]="Unknown","TRUE",Table1[[#This Row],[is_active3]]))</f>
        <v>TRUE</v>
      </c>
      <c r="X306">
        <f>IF(Table1[[#This Row],[client_satisfaction]]&gt;1,Table1[[#This Row],[client_satisfaction]]/100,Table1[[#This Row],[client_satisfaction]])</f>
        <v>0</v>
      </c>
      <c r="Y306">
        <f>IF(Table1[[#This Row],[client_satisfaction2]]=0,0.75,Table1[[#This Row],[client_satisfaction2]])</f>
        <v>0.75</v>
      </c>
    </row>
    <row r="307" spans="1:25" x14ac:dyDescent="0.25">
      <c r="A307" t="s">
        <v>694</v>
      </c>
      <c r="B307" t="s">
        <v>695</v>
      </c>
      <c r="C307" t="str">
        <f>PROPER(TRIM(SUBSTITUTE(SUBSTITUTE(SUBSTITUTE(Table1[[#This Row],[name]],"Ms. ",""),"Mr. ",""),"Mrs. ","")))</f>
        <v>Ashley Salazar</v>
      </c>
      <c r="D307" t="s">
        <v>20</v>
      </c>
      <c r="E3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07">
        <v>48</v>
      </c>
      <c r="G307" t="str">
        <f>TRIM(IF(Table1[[#This Row],[age]]="","Unknown",Table1[[#This Row],[age]]))</f>
        <v>48</v>
      </c>
      <c r="H307" t="s">
        <v>175</v>
      </c>
      <c r="I307" t="s">
        <v>176</v>
      </c>
      <c r="J307" t="s">
        <v>51</v>
      </c>
      <c r="K307">
        <v>2</v>
      </c>
      <c r="L307" s="10" t="str">
        <f>TRIM(IF(Table1[[#This Row],[years_of_experience]]="","Unknown",Table1[[#This Row],[years_of_experience]]))</f>
        <v>2</v>
      </c>
      <c r="M307">
        <v>75</v>
      </c>
      <c r="N307">
        <f>IF(Table1[[#This Row],[hourly_rate (USD)]]="",MEDIAN(Table1[hourly_rate (USD)]),Table1[[#This Row],[hourly_rate (USD)]])</f>
        <v>75</v>
      </c>
      <c r="O307" t="str">
        <f>TRIM(CLEAN(Table1[[#This Row],[Updated hourly_rate (USD)]]))</f>
        <v>75</v>
      </c>
      <c r="P307" t="str">
        <f>SUBSTITUTE(SUBSTITUTE(Table1[[#This Row],[Formatted hourly rate]],"USD ",""),"$","")</f>
        <v>75</v>
      </c>
      <c r="Q307">
        <v>1.6</v>
      </c>
      <c r="R307">
        <f>IF(Table1[[#This Row],[rating]]="",2.6,Table1[[#This Row],[rating]])</f>
        <v>1.6</v>
      </c>
      <c r="S307" t="s">
        <v>31</v>
      </c>
      <c r="T307" t="str">
        <f>TRIM(CLEAN(Table1[[#This Row],[is_active]]))</f>
        <v>N</v>
      </c>
      <c r="U30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07" s="11" t="str">
        <f>TRIM(IF(Table1[[#This Row],[is_active3]]="Unknown","TRUE",Table1[[#This Row],[is_active3]]))</f>
        <v>FALSE</v>
      </c>
      <c r="W307">
        <v>0.67</v>
      </c>
      <c r="X307">
        <f>IF(Table1[[#This Row],[client_satisfaction]]&gt;1,Table1[[#This Row],[client_satisfaction]]/100,Table1[[#This Row],[client_satisfaction]])</f>
        <v>0.67</v>
      </c>
      <c r="Y307">
        <f>IF(Table1[[#This Row],[client_satisfaction2]]=0,0.75,Table1[[#This Row],[client_satisfaction2]])</f>
        <v>0.67</v>
      </c>
    </row>
    <row r="308" spans="1:25" x14ac:dyDescent="0.25">
      <c r="A308" t="s">
        <v>696</v>
      </c>
      <c r="B308" t="s">
        <v>697</v>
      </c>
      <c r="C308" t="str">
        <f>PROPER(TRIM(SUBSTITUTE(SUBSTITUTE(SUBSTITUTE(Table1[[#This Row],[name]],"Ms. ",""),"Mr. ",""),"Mrs. ","")))</f>
        <v>Robert Lucas</v>
      </c>
      <c r="D308" t="s">
        <v>27</v>
      </c>
      <c r="E3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08">
        <v>27</v>
      </c>
      <c r="G308" t="str">
        <f>TRIM(IF(Table1[[#This Row],[age]]="","Unknown",Table1[[#This Row],[age]]))</f>
        <v>27</v>
      </c>
      <c r="H308" t="s">
        <v>135</v>
      </c>
      <c r="I308" t="s">
        <v>136</v>
      </c>
      <c r="J308" t="s">
        <v>78</v>
      </c>
      <c r="K308">
        <v>2</v>
      </c>
      <c r="L308" s="10" t="str">
        <f>TRIM(IF(Table1[[#This Row],[years_of_experience]]="","Unknown",Table1[[#This Row],[years_of_experience]]))</f>
        <v>2</v>
      </c>
      <c r="M308" t="s">
        <v>64</v>
      </c>
      <c r="N308" t="str">
        <f>IF(Table1[[#This Row],[hourly_rate (USD)]]="",MEDIAN(Table1[hourly_rate (USD)]),Table1[[#This Row],[hourly_rate (USD)]])</f>
        <v>$50</v>
      </c>
      <c r="O308" t="str">
        <f>TRIM(CLEAN(Table1[[#This Row],[Updated hourly_rate (USD)]]))</f>
        <v>$50</v>
      </c>
      <c r="P308" t="str">
        <f>SUBSTITUTE(SUBSTITUTE(Table1[[#This Row],[Formatted hourly rate]],"USD ",""),"$","")</f>
        <v>50</v>
      </c>
      <c r="R308">
        <f>IF(Table1[[#This Row],[rating]]="",2.6,Table1[[#This Row],[rating]])</f>
        <v>2.6</v>
      </c>
      <c r="S308">
        <v>0</v>
      </c>
      <c r="T308" t="str">
        <f>TRIM(CLEAN(Table1[[#This Row],[is_active]]))</f>
        <v>0</v>
      </c>
      <c r="U30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08" s="11" t="str">
        <f>TRIM(IF(Table1[[#This Row],[is_active3]]="Unknown","TRUE",Table1[[#This Row],[is_active3]]))</f>
        <v>FALSE</v>
      </c>
      <c r="W308">
        <v>0.84</v>
      </c>
      <c r="X308">
        <f>IF(Table1[[#This Row],[client_satisfaction]]&gt;1,Table1[[#This Row],[client_satisfaction]]/100,Table1[[#This Row],[client_satisfaction]])</f>
        <v>0.84</v>
      </c>
      <c r="Y308">
        <f>IF(Table1[[#This Row],[client_satisfaction2]]=0,0.75,Table1[[#This Row],[client_satisfaction2]])</f>
        <v>0.84</v>
      </c>
    </row>
    <row r="309" spans="1:25" x14ac:dyDescent="0.25">
      <c r="A309" t="s">
        <v>698</v>
      </c>
      <c r="B309" t="s">
        <v>699</v>
      </c>
      <c r="C309" t="str">
        <f>PROPER(TRIM(SUBSTITUTE(SUBSTITUTE(SUBSTITUTE(Table1[[#This Row],[name]],"Ms. ",""),"Mr. ",""),"Mrs. ","")))</f>
        <v>David Cox</v>
      </c>
      <c r="D309" t="s">
        <v>92</v>
      </c>
      <c r="E3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09">
        <v>34</v>
      </c>
      <c r="G309" t="str">
        <f>TRIM(IF(Table1[[#This Row],[age]]="","Unknown",Table1[[#This Row],[age]]))</f>
        <v>34</v>
      </c>
      <c r="H309" t="s">
        <v>112</v>
      </c>
      <c r="I309" t="s">
        <v>113</v>
      </c>
      <c r="J309" t="s">
        <v>23</v>
      </c>
      <c r="K309">
        <v>1</v>
      </c>
      <c r="L309" s="10" t="str">
        <f>TRIM(IF(Table1[[#This Row],[years_of_experience]]="","Unknown",Table1[[#This Row],[years_of_experience]]))</f>
        <v>1</v>
      </c>
      <c r="M309">
        <v>30</v>
      </c>
      <c r="N309">
        <f>IF(Table1[[#This Row],[hourly_rate (USD)]]="",MEDIAN(Table1[hourly_rate (USD)]),Table1[[#This Row],[hourly_rate (USD)]])</f>
        <v>30</v>
      </c>
      <c r="O309" t="str">
        <f>TRIM(CLEAN(Table1[[#This Row],[Updated hourly_rate (USD)]]))</f>
        <v>30</v>
      </c>
      <c r="P309" t="str">
        <f>SUBSTITUTE(SUBSTITUTE(Table1[[#This Row],[Formatted hourly rate]],"USD ",""),"$","")</f>
        <v>30</v>
      </c>
      <c r="Q309">
        <v>3.6</v>
      </c>
      <c r="R309">
        <f>IF(Table1[[#This Row],[rating]]="",2.6,Table1[[#This Row],[rating]])</f>
        <v>3.6</v>
      </c>
      <c r="S309">
        <v>1</v>
      </c>
      <c r="T309" t="str">
        <f>TRIM(CLEAN(Table1[[#This Row],[is_active]]))</f>
        <v>1</v>
      </c>
      <c r="U30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09" s="11" t="str">
        <f>TRIM(IF(Table1[[#This Row],[is_active3]]="Unknown","TRUE",Table1[[#This Row],[is_active3]]))</f>
        <v>TRUE</v>
      </c>
      <c r="W309">
        <v>0.87</v>
      </c>
      <c r="X309">
        <f>IF(Table1[[#This Row],[client_satisfaction]]&gt;1,Table1[[#This Row],[client_satisfaction]]/100,Table1[[#This Row],[client_satisfaction]])</f>
        <v>0.87</v>
      </c>
      <c r="Y309">
        <f>IF(Table1[[#This Row],[client_satisfaction2]]=0,0.75,Table1[[#This Row],[client_satisfaction2]])</f>
        <v>0.87</v>
      </c>
    </row>
    <row r="310" spans="1:25" x14ac:dyDescent="0.25">
      <c r="A310" t="s">
        <v>700</v>
      </c>
      <c r="B310" t="s">
        <v>701</v>
      </c>
      <c r="C310" t="str">
        <f>PROPER(TRIM(SUBSTITUTE(SUBSTITUTE(SUBSTITUTE(Table1[[#This Row],[name]],"Ms. ",""),"Mr. ",""),"Mrs. ","")))</f>
        <v>Christian Campbell</v>
      </c>
      <c r="D310" t="s">
        <v>97</v>
      </c>
      <c r="E3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10">
        <v>55</v>
      </c>
      <c r="G310" t="str">
        <f>TRIM(IF(Table1[[#This Row],[age]]="","Unknown",Table1[[#This Row],[age]]))</f>
        <v>55</v>
      </c>
      <c r="H310" t="s">
        <v>107</v>
      </c>
      <c r="I310" t="s">
        <v>108</v>
      </c>
      <c r="J310" t="s">
        <v>114</v>
      </c>
      <c r="K310">
        <v>14</v>
      </c>
      <c r="L310" s="10" t="str">
        <f>TRIM(IF(Table1[[#This Row],[years_of_experience]]="","Unknown",Table1[[#This Row],[years_of_experience]]))</f>
        <v>14</v>
      </c>
      <c r="M310" t="s">
        <v>109</v>
      </c>
      <c r="N310" t="str">
        <f>IF(Table1[[#This Row],[hourly_rate (USD)]]="",MEDIAN(Table1[hourly_rate (USD)]),Table1[[#This Row],[hourly_rate (USD)]])</f>
        <v>USD 30</v>
      </c>
      <c r="O310" t="str">
        <f>TRIM(CLEAN(Table1[[#This Row],[Updated hourly_rate (USD)]]))</f>
        <v>USD 30</v>
      </c>
      <c r="P310" t="str">
        <f>SUBSTITUTE(SUBSTITUTE(Table1[[#This Row],[Formatted hourly rate]],"USD ",""),"$","")</f>
        <v>30</v>
      </c>
      <c r="Q310">
        <v>1.2</v>
      </c>
      <c r="R310">
        <f>IF(Table1[[#This Row],[rating]]="",2.6,Table1[[#This Row],[rating]])</f>
        <v>1.2</v>
      </c>
      <c r="S310" t="s">
        <v>68</v>
      </c>
      <c r="T310" t="str">
        <f>TRIM(CLEAN(Table1[[#This Row],[is_active]]))</f>
        <v>yes</v>
      </c>
      <c r="U31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10" s="11" t="str">
        <f>TRIM(IF(Table1[[#This Row],[is_active3]]="Unknown","TRUE",Table1[[#This Row],[is_active3]]))</f>
        <v>TRUE</v>
      </c>
      <c r="W310">
        <v>0.91</v>
      </c>
      <c r="X310">
        <f>IF(Table1[[#This Row],[client_satisfaction]]&gt;1,Table1[[#This Row],[client_satisfaction]]/100,Table1[[#This Row],[client_satisfaction]])</f>
        <v>0.91</v>
      </c>
      <c r="Y310">
        <f>IF(Table1[[#This Row],[client_satisfaction2]]=0,0.75,Table1[[#This Row],[client_satisfaction2]])</f>
        <v>0.91</v>
      </c>
    </row>
    <row r="311" spans="1:25" x14ac:dyDescent="0.25">
      <c r="A311" t="s">
        <v>702</v>
      </c>
      <c r="B311" t="s">
        <v>703</v>
      </c>
      <c r="C311" t="str">
        <f>PROPER(TRIM(SUBSTITUTE(SUBSTITUTE(SUBSTITUTE(Table1[[#This Row],[name]],"Ms. ",""),"Mr. ",""),"Mrs. ","")))</f>
        <v>Angela Ward</v>
      </c>
      <c r="D311" t="s">
        <v>34</v>
      </c>
      <c r="E3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11">
        <v>44</v>
      </c>
      <c r="G311" t="str">
        <f>TRIM(IF(Table1[[#This Row],[age]]="","Unknown",Table1[[#This Row],[age]]))</f>
        <v>44</v>
      </c>
      <c r="H311" t="s">
        <v>153</v>
      </c>
      <c r="I311" t="s">
        <v>154</v>
      </c>
      <c r="J311" t="s">
        <v>114</v>
      </c>
      <c r="K311">
        <v>14</v>
      </c>
      <c r="L311" s="10" t="str">
        <f>TRIM(IF(Table1[[#This Row],[years_of_experience]]="","Unknown",Table1[[#This Row],[years_of_experience]]))</f>
        <v>14</v>
      </c>
      <c r="M311" t="s">
        <v>52</v>
      </c>
      <c r="N311" t="str">
        <f>IF(Table1[[#This Row],[hourly_rate (USD)]]="",MEDIAN(Table1[hourly_rate (USD)]),Table1[[#This Row],[hourly_rate (USD)]])</f>
        <v>USD 75</v>
      </c>
      <c r="O311" t="str">
        <f>TRIM(CLEAN(Table1[[#This Row],[Updated hourly_rate (USD)]]))</f>
        <v>USD 75</v>
      </c>
      <c r="P311" t="str">
        <f>SUBSTITUTE(SUBSTITUTE(Table1[[#This Row],[Formatted hourly rate]],"USD ",""),"$","")</f>
        <v>75</v>
      </c>
      <c r="Q311">
        <v>3</v>
      </c>
      <c r="R311">
        <f>IF(Table1[[#This Row],[rating]]="",2.6,Table1[[#This Row],[rating]])</f>
        <v>3</v>
      </c>
      <c r="S311">
        <v>0</v>
      </c>
      <c r="T311" t="str">
        <f>TRIM(CLEAN(Table1[[#This Row],[is_active]]))</f>
        <v>0</v>
      </c>
      <c r="U31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11" s="11" t="str">
        <f>TRIM(IF(Table1[[#This Row],[is_active3]]="Unknown","TRUE",Table1[[#This Row],[is_active3]]))</f>
        <v>FALSE</v>
      </c>
      <c r="W311">
        <v>0.78</v>
      </c>
      <c r="X311">
        <f>IF(Table1[[#This Row],[client_satisfaction]]&gt;1,Table1[[#This Row],[client_satisfaction]]/100,Table1[[#This Row],[client_satisfaction]])</f>
        <v>0.78</v>
      </c>
      <c r="Y311">
        <f>IF(Table1[[#This Row],[client_satisfaction2]]=0,0.75,Table1[[#This Row],[client_satisfaction2]])</f>
        <v>0.78</v>
      </c>
    </row>
    <row r="312" spans="1:25" x14ac:dyDescent="0.25">
      <c r="A312" t="s">
        <v>704</v>
      </c>
      <c r="B312" t="s">
        <v>705</v>
      </c>
      <c r="C312" t="str">
        <f>PROPER(TRIM(SUBSTITUTE(SUBSTITUTE(SUBSTITUTE(Table1[[#This Row],[name]],"Ms. ",""),"Mr. ",""),"Mrs. ","")))</f>
        <v>Lucas Chen</v>
      </c>
      <c r="D312" t="s">
        <v>27</v>
      </c>
      <c r="E3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12">
        <v>31</v>
      </c>
      <c r="G312" t="str">
        <f>TRIM(IF(Table1[[#This Row],[age]]="","Unknown",Table1[[#This Row],[age]]))</f>
        <v>31</v>
      </c>
      <c r="H312" t="s">
        <v>42</v>
      </c>
      <c r="I312" t="s">
        <v>43</v>
      </c>
      <c r="J312" t="s">
        <v>73</v>
      </c>
      <c r="K312">
        <v>2</v>
      </c>
      <c r="L312" s="10" t="str">
        <f>TRIM(IF(Table1[[#This Row],[years_of_experience]]="","Unknown",Table1[[#This Row],[years_of_experience]]))</f>
        <v>2</v>
      </c>
      <c r="M312">
        <v>50</v>
      </c>
      <c r="N312">
        <f>IF(Table1[[#This Row],[hourly_rate (USD)]]="",MEDIAN(Table1[hourly_rate (USD)]),Table1[[#This Row],[hourly_rate (USD)]])</f>
        <v>50</v>
      </c>
      <c r="O312" t="str">
        <f>TRIM(CLEAN(Table1[[#This Row],[Updated hourly_rate (USD)]]))</f>
        <v>50</v>
      </c>
      <c r="P312" t="str">
        <f>SUBSTITUTE(SUBSTITUTE(Table1[[#This Row],[Formatted hourly rate]],"USD ",""),"$","")</f>
        <v>50</v>
      </c>
      <c r="Q312">
        <v>3.9</v>
      </c>
      <c r="R312">
        <f>IF(Table1[[#This Row],[rating]]="",2.6,Table1[[#This Row],[rating]])</f>
        <v>3.9</v>
      </c>
      <c r="S312">
        <v>0</v>
      </c>
      <c r="T312" t="str">
        <f>TRIM(CLEAN(Table1[[#This Row],[is_active]]))</f>
        <v>0</v>
      </c>
      <c r="U31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12" s="11" t="str">
        <f>TRIM(IF(Table1[[#This Row],[is_active3]]="Unknown","TRUE",Table1[[#This Row],[is_active3]]))</f>
        <v>FALSE</v>
      </c>
      <c r="X312">
        <f>IF(Table1[[#This Row],[client_satisfaction]]&gt;1,Table1[[#This Row],[client_satisfaction]]/100,Table1[[#This Row],[client_satisfaction]])</f>
        <v>0</v>
      </c>
      <c r="Y312">
        <f>IF(Table1[[#This Row],[client_satisfaction2]]=0,0.75,Table1[[#This Row],[client_satisfaction2]])</f>
        <v>0.75</v>
      </c>
    </row>
    <row r="313" spans="1:25" x14ac:dyDescent="0.25">
      <c r="A313" t="s">
        <v>706</v>
      </c>
      <c r="B313" t="s">
        <v>707</v>
      </c>
      <c r="C313" t="str">
        <f>PROPER(TRIM(SUBSTITUTE(SUBSTITUTE(SUBSTITUTE(Table1[[#This Row],[name]],"Ms. ",""),"Mr. ",""),"Mrs. ","")))</f>
        <v>Ruben Nelson</v>
      </c>
      <c r="D313" t="s">
        <v>48</v>
      </c>
      <c r="E3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13">
        <v>34</v>
      </c>
      <c r="G313" t="str">
        <f>TRIM(IF(Table1[[#This Row],[age]]="","Unknown",Table1[[#This Row],[age]]))</f>
        <v>34</v>
      </c>
      <c r="H313" t="s">
        <v>21</v>
      </c>
      <c r="I313" t="s">
        <v>22</v>
      </c>
      <c r="J313" t="s">
        <v>89</v>
      </c>
      <c r="K313">
        <v>1</v>
      </c>
      <c r="L313" s="10" t="str">
        <f>TRIM(IF(Table1[[#This Row],[years_of_experience]]="","Unknown",Table1[[#This Row],[years_of_experience]]))</f>
        <v>1</v>
      </c>
      <c r="M313">
        <v>40</v>
      </c>
      <c r="N313">
        <f>IF(Table1[[#This Row],[hourly_rate (USD)]]="",MEDIAN(Table1[hourly_rate (USD)]),Table1[[#This Row],[hourly_rate (USD)]])</f>
        <v>40</v>
      </c>
      <c r="O313" t="str">
        <f>TRIM(CLEAN(Table1[[#This Row],[Updated hourly_rate (USD)]]))</f>
        <v>40</v>
      </c>
      <c r="P313" t="str">
        <f>SUBSTITUTE(SUBSTITUTE(Table1[[#This Row],[Formatted hourly rate]],"USD ",""),"$","")</f>
        <v>40</v>
      </c>
      <c r="Q313">
        <v>1.7</v>
      </c>
      <c r="R313">
        <f>IF(Table1[[#This Row],[rating]]="",2.6,Table1[[#This Row],[rating]])</f>
        <v>1.7</v>
      </c>
      <c r="T313" t="str">
        <f>TRIM(CLEAN(Table1[[#This Row],[is_active]]))</f>
        <v/>
      </c>
      <c r="U31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13" s="11" t="str">
        <f>TRIM(IF(Table1[[#This Row],[is_active3]]="Unknown","TRUE",Table1[[#This Row],[is_active3]]))</f>
        <v>TRUE</v>
      </c>
      <c r="W313">
        <v>74</v>
      </c>
      <c r="X313">
        <f>IF(Table1[[#This Row],[client_satisfaction]]&gt;1,Table1[[#This Row],[client_satisfaction]]/100,Table1[[#This Row],[client_satisfaction]])</f>
        <v>0.74</v>
      </c>
      <c r="Y313">
        <f>IF(Table1[[#This Row],[client_satisfaction2]]=0,0.75,Table1[[#This Row],[client_satisfaction2]])</f>
        <v>0.74</v>
      </c>
    </row>
    <row r="314" spans="1:25" x14ac:dyDescent="0.25">
      <c r="A314" t="s">
        <v>708</v>
      </c>
      <c r="B314" t="s">
        <v>709</v>
      </c>
      <c r="C314" t="str">
        <f>PROPER(TRIM(SUBSTITUTE(SUBSTITUTE(SUBSTITUTE(Table1[[#This Row],[name]],"Ms. ",""),"Mr. ",""),"Mrs. ","")))</f>
        <v>Brenda Briggs</v>
      </c>
      <c r="D314" t="s">
        <v>34</v>
      </c>
      <c r="E3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14">
        <v>47</v>
      </c>
      <c r="G314" t="str">
        <f>TRIM(IF(Table1[[#This Row],[age]]="","Unknown",Table1[[#This Row],[age]]))</f>
        <v>47</v>
      </c>
      <c r="H314" t="s">
        <v>107</v>
      </c>
      <c r="I314" t="s">
        <v>108</v>
      </c>
      <c r="J314" t="s">
        <v>89</v>
      </c>
      <c r="K314">
        <v>13</v>
      </c>
      <c r="L314" s="10" t="str">
        <f>TRIM(IF(Table1[[#This Row],[years_of_experience]]="","Unknown",Table1[[#This Row],[years_of_experience]]))</f>
        <v>13</v>
      </c>
      <c r="M314">
        <v>20</v>
      </c>
      <c r="N314">
        <f>IF(Table1[[#This Row],[hourly_rate (USD)]]="",MEDIAN(Table1[hourly_rate (USD)]),Table1[[#This Row],[hourly_rate (USD)]])</f>
        <v>20</v>
      </c>
      <c r="O314" t="str">
        <f>TRIM(CLEAN(Table1[[#This Row],[Updated hourly_rate (USD)]]))</f>
        <v>20</v>
      </c>
      <c r="P314" t="str">
        <f>SUBSTITUTE(SUBSTITUTE(Table1[[#This Row],[Formatted hourly rate]],"USD ",""),"$","")</f>
        <v>20</v>
      </c>
      <c r="Q314">
        <v>4.5</v>
      </c>
      <c r="R314">
        <f>IF(Table1[[#This Row],[rating]]="",2.6,Table1[[#This Row],[rating]])</f>
        <v>4.5</v>
      </c>
      <c r="T314" t="str">
        <f>TRIM(CLEAN(Table1[[#This Row],[is_active]]))</f>
        <v/>
      </c>
      <c r="U31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14" s="11" t="str">
        <f>TRIM(IF(Table1[[#This Row],[is_active3]]="Unknown","TRUE",Table1[[#This Row],[is_active3]]))</f>
        <v>TRUE</v>
      </c>
      <c r="W314">
        <v>0.91</v>
      </c>
      <c r="X314">
        <f>IF(Table1[[#This Row],[client_satisfaction]]&gt;1,Table1[[#This Row],[client_satisfaction]]/100,Table1[[#This Row],[client_satisfaction]])</f>
        <v>0.91</v>
      </c>
      <c r="Y314">
        <f>IF(Table1[[#This Row],[client_satisfaction2]]=0,0.75,Table1[[#This Row],[client_satisfaction2]])</f>
        <v>0.91</v>
      </c>
    </row>
    <row r="315" spans="1:25" x14ac:dyDescent="0.25">
      <c r="A315" t="s">
        <v>710</v>
      </c>
      <c r="B315" t="s">
        <v>711</v>
      </c>
      <c r="C315" t="str">
        <f>PROPER(TRIM(SUBSTITUTE(SUBSTITUTE(SUBSTITUTE(Table1[[#This Row],[name]],"Ms. ",""),"Mr. ",""),"Mrs. ","")))</f>
        <v>Ronald Smith</v>
      </c>
      <c r="D315" t="s">
        <v>48</v>
      </c>
      <c r="E3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15">
        <v>50</v>
      </c>
      <c r="G315" t="str">
        <f>TRIM(IF(Table1[[#This Row],[age]]="","Unknown",Table1[[#This Row],[age]]))</f>
        <v>50</v>
      </c>
      <c r="H315" t="s">
        <v>58</v>
      </c>
      <c r="I315" t="s">
        <v>22</v>
      </c>
      <c r="J315" t="s">
        <v>30</v>
      </c>
      <c r="K315">
        <v>23</v>
      </c>
      <c r="L315" s="10" t="str">
        <f>TRIM(IF(Table1[[#This Row],[years_of_experience]]="","Unknown",Table1[[#This Row],[years_of_experience]]))</f>
        <v>23</v>
      </c>
      <c r="M315" t="s">
        <v>36</v>
      </c>
      <c r="N315" t="str">
        <f>IF(Table1[[#This Row],[hourly_rate (USD)]]="",MEDIAN(Table1[hourly_rate (USD)]),Table1[[#This Row],[hourly_rate (USD)]])</f>
        <v>$40</v>
      </c>
      <c r="O315" t="str">
        <f>TRIM(CLEAN(Table1[[#This Row],[Updated hourly_rate (USD)]]))</f>
        <v>$40</v>
      </c>
      <c r="P315" t="str">
        <f>SUBSTITUTE(SUBSTITUTE(Table1[[#This Row],[Formatted hourly rate]],"USD ",""),"$","")</f>
        <v>40</v>
      </c>
      <c r="Q315">
        <v>3.6</v>
      </c>
      <c r="R315">
        <f>IF(Table1[[#This Row],[rating]]="",2.6,Table1[[#This Row],[rating]])</f>
        <v>3.6</v>
      </c>
      <c r="S315" t="b">
        <v>1</v>
      </c>
      <c r="T315" t="str">
        <f>TRIM(CLEAN(Table1[[#This Row],[is_active]]))</f>
        <v>TRUE</v>
      </c>
      <c r="U31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15" s="11" t="str">
        <f>TRIM(IF(Table1[[#This Row],[is_active3]]="Unknown","TRUE",Table1[[#This Row],[is_active3]]))</f>
        <v>TRUE</v>
      </c>
      <c r="W315">
        <v>0.71</v>
      </c>
      <c r="X315">
        <f>IF(Table1[[#This Row],[client_satisfaction]]&gt;1,Table1[[#This Row],[client_satisfaction]]/100,Table1[[#This Row],[client_satisfaction]])</f>
        <v>0.71</v>
      </c>
      <c r="Y315">
        <f>IF(Table1[[#This Row],[client_satisfaction2]]=0,0.75,Table1[[#This Row],[client_satisfaction2]])</f>
        <v>0.71</v>
      </c>
    </row>
    <row r="316" spans="1:25" x14ac:dyDescent="0.25">
      <c r="A316" t="s">
        <v>712</v>
      </c>
      <c r="B316" t="s">
        <v>713</v>
      </c>
      <c r="C316" t="str">
        <f>PROPER(TRIM(SUBSTITUTE(SUBSTITUTE(SUBSTITUTE(Table1[[#This Row],[name]],"Ms. ",""),"Mr. ",""),"Mrs. ","")))</f>
        <v>Dakota Giles</v>
      </c>
      <c r="D316" t="s">
        <v>92</v>
      </c>
      <c r="E3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16">
        <v>39</v>
      </c>
      <c r="G316" t="str">
        <f>TRIM(IF(Table1[[#This Row],[age]]="","Unknown",Table1[[#This Row],[age]]))</f>
        <v>39</v>
      </c>
      <c r="H316" t="s">
        <v>28</v>
      </c>
      <c r="I316" t="s">
        <v>29</v>
      </c>
      <c r="J316" t="s">
        <v>78</v>
      </c>
      <c r="L316" s="10" t="str">
        <f>TRIM(IF(Table1[[#This Row],[years_of_experience]]="","Unknown",Table1[[#This Row],[years_of_experience]]))</f>
        <v>Unknown</v>
      </c>
      <c r="M316" t="s">
        <v>52</v>
      </c>
      <c r="N316" t="str">
        <f>IF(Table1[[#This Row],[hourly_rate (USD)]]="",MEDIAN(Table1[hourly_rate (USD)]),Table1[[#This Row],[hourly_rate (USD)]])</f>
        <v>USD 75</v>
      </c>
      <c r="O316" t="str">
        <f>TRIM(CLEAN(Table1[[#This Row],[Updated hourly_rate (USD)]]))</f>
        <v>USD 75</v>
      </c>
      <c r="P316" t="str">
        <f>SUBSTITUTE(SUBSTITUTE(Table1[[#This Row],[Formatted hourly rate]],"USD ",""),"$","")</f>
        <v>75</v>
      </c>
      <c r="Q316">
        <v>3.6</v>
      </c>
      <c r="R316">
        <f>IF(Table1[[#This Row],[rating]]="",2.6,Table1[[#This Row],[rating]])</f>
        <v>3.6</v>
      </c>
      <c r="S316" t="s">
        <v>74</v>
      </c>
      <c r="T316" t="str">
        <f>TRIM(CLEAN(Table1[[#This Row],[is_active]]))</f>
        <v>Y</v>
      </c>
      <c r="U31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16" s="11" t="str">
        <f>TRIM(IF(Table1[[#This Row],[is_active3]]="Unknown","TRUE",Table1[[#This Row],[is_active3]]))</f>
        <v>TRUE</v>
      </c>
      <c r="W316">
        <v>0.87</v>
      </c>
      <c r="X316">
        <f>IF(Table1[[#This Row],[client_satisfaction]]&gt;1,Table1[[#This Row],[client_satisfaction]]/100,Table1[[#This Row],[client_satisfaction]])</f>
        <v>0.87</v>
      </c>
      <c r="Y316">
        <f>IF(Table1[[#This Row],[client_satisfaction2]]=0,0.75,Table1[[#This Row],[client_satisfaction2]])</f>
        <v>0.87</v>
      </c>
    </row>
    <row r="317" spans="1:25" x14ac:dyDescent="0.25">
      <c r="A317" t="s">
        <v>714</v>
      </c>
      <c r="B317" t="s">
        <v>715</v>
      </c>
      <c r="C317" t="str">
        <f>PROPER(TRIM(SUBSTITUTE(SUBSTITUTE(SUBSTITUTE(Table1[[#This Row],[name]],"Ms. ",""),"Mr. ",""),"Mrs. ","")))</f>
        <v>Angela Castillo</v>
      </c>
      <c r="D317" t="s">
        <v>20</v>
      </c>
      <c r="E3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17">
        <v>26</v>
      </c>
      <c r="G317" t="str">
        <f>TRIM(IF(Table1[[#This Row],[age]]="","Unknown",Table1[[#This Row],[age]]))</f>
        <v>26</v>
      </c>
      <c r="H317" t="s">
        <v>71</v>
      </c>
      <c r="I317" t="s">
        <v>72</v>
      </c>
      <c r="J317" t="s">
        <v>17</v>
      </c>
      <c r="K317">
        <v>3</v>
      </c>
      <c r="L317" s="10" t="str">
        <f>TRIM(IF(Table1[[#This Row],[years_of_experience]]="","Unknown",Table1[[#This Row],[years_of_experience]]))</f>
        <v>3</v>
      </c>
      <c r="M317" t="s">
        <v>24</v>
      </c>
      <c r="N317" t="str">
        <f>IF(Table1[[#This Row],[hourly_rate (USD)]]="",MEDIAN(Table1[hourly_rate (USD)]),Table1[[#This Row],[hourly_rate (USD)]])</f>
        <v>USD 100</v>
      </c>
      <c r="O317" t="str">
        <f>TRIM(CLEAN(Table1[[#This Row],[Updated hourly_rate (USD)]]))</f>
        <v>USD 100</v>
      </c>
      <c r="P317" t="str">
        <f>SUBSTITUTE(SUBSTITUTE(Table1[[#This Row],[Formatted hourly rate]],"USD ",""),"$","")</f>
        <v>100</v>
      </c>
      <c r="Q317">
        <v>2.8</v>
      </c>
      <c r="R317">
        <f>IF(Table1[[#This Row],[rating]]="",2.6,Table1[[#This Row],[rating]])</f>
        <v>2.8</v>
      </c>
      <c r="S317">
        <v>1</v>
      </c>
      <c r="T317" t="str">
        <f>TRIM(CLEAN(Table1[[#This Row],[is_active]]))</f>
        <v>1</v>
      </c>
      <c r="U31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17" s="11" t="str">
        <f>TRIM(IF(Table1[[#This Row],[is_active3]]="Unknown","TRUE",Table1[[#This Row],[is_active3]]))</f>
        <v>TRUE</v>
      </c>
      <c r="W317">
        <v>0.61</v>
      </c>
      <c r="X317">
        <f>IF(Table1[[#This Row],[client_satisfaction]]&gt;1,Table1[[#This Row],[client_satisfaction]]/100,Table1[[#This Row],[client_satisfaction]])</f>
        <v>0.61</v>
      </c>
      <c r="Y317">
        <f>IF(Table1[[#This Row],[client_satisfaction2]]=0,0.75,Table1[[#This Row],[client_satisfaction2]])</f>
        <v>0.61</v>
      </c>
    </row>
    <row r="318" spans="1:25" x14ac:dyDescent="0.25">
      <c r="A318" t="s">
        <v>716</v>
      </c>
      <c r="B318" t="s">
        <v>717</v>
      </c>
      <c r="C318" t="str">
        <f>PROPER(TRIM(SUBSTITUTE(SUBSTITUTE(SUBSTITUTE(Table1[[#This Row],[name]],"Ms. ",""),"Mr. ",""),"Mrs. ","")))</f>
        <v>Allen Lee</v>
      </c>
      <c r="D318" t="s">
        <v>92</v>
      </c>
      <c r="E3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318" t="str">
        <f>TRIM(IF(Table1[[#This Row],[age]]="","Unknown",Table1[[#This Row],[age]]))</f>
        <v>Unknown</v>
      </c>
      <c r="H318" t="s">
        <v>42</v>
      </c>
      <c r="I318" t="s">
        <v>43</v>
      </c>
      <c r="J318" t="s">
        <v>89</v>
      </c>
      <c r="K318">
        <v>0</v>
      </c>
      <c r="L318" s="10" t="str">
        <f>TRIM(IF(Table1[[#This Row],[years_of_experience]]="","Unknown",Table1[[#This Row],[years_of_experience]]))</f>
        <v>0</v>
      </c>
      <c r="M318" t="s">
        <v>229</v>
      </c>
      <c r="N318" t="str">
        <f>IF(Table1[[#This Row],[hourly_rate (USD)]]="",MEDIAN(Table1[hourly_rate (USD)]),Table1[[#This Row],[hourly_rate (USD)]])</f>
        <v>$100</v>
      </c>
      <c r="O318" t="str">
        <f>TRIM(CLEAN(Table1[[#This Row],[Updated hourly_rate (USD)]]))</f>
        <v>$100</v>
      </c>
      <c r="P318" t="str">
        <f>SUBSTITUTE(SUBSTITUTE(Table1[[#This Row],[Formatted hourly rate]],"USD ",""),"$","")</f>
        <v>100</v>
      </c>
      <c r="Q318">
        <v>5</v>
      </c>
      <c r="R318">
        <f>IF(Table1[[#This Row],[rating]]="",2.6,Table1[[#This Row],[rating]])</f>
        <v>5</v>
      </c>
      <c r="S318" t="s">
        <v>31</v>
      </c>
      <c r="T318" t="str">
        <f>TRIM(CLEAN(Table1[[#This Row],[is_active]]))</f>
        <v>N</v>
      </c>
      <c r="U3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18" s="11" t="str">
        <f>TRIM(IF(Table1[[#This Row],[is_active3]]="Unknown","TRUE",Table1[[#This Row],[is_active3]]))</f>
        <v>FALSE</v>
      </c>
      <c r="X318">
        <f>IF(Table1[[#This Row],[client_satisfaction]]&gt;1,Table1[[#This Row],[client_satisfaction]]/100,Table1[[#This Row],[client_satisfaction]])</f>
        <v>0</v>
      </c>
      <c r="Y318">
        <f>IF(Table1[[#This Row],[client_satisfaction2]]=0,0.75,Table1[[#This Row],[client_satisfaction2]])</f>
        <v>0.75</v>
      </c>
    </row>
    <row r="319" spans="1:25" x14ac:dyDescent="0.25">
      <c r="A319" t="s">
        <v>718</v>
      </c>
      <c r="B319" t="s">
        <v>719</v>
      </c>
      <c r="C319" t="str">
        <f>PROPER(TRIM(SUBSTITUTE(SUBSTITUTE(SUBSTITUTE(Table1[[#This Row],[name]],"Ms. ",""),"Mr. ",""),"Mrs. ","")))</f>
        <v>Michael Rogers</v>
      </c>
      <c r="D319" t="s">
        <v>27</v>
      </c>
      <c r="E3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19">
        <v>32</v>
      </c>
      <c r="G319" t="str">
        <f>TRIM(IF(Table1[[#This Row],[age]]="","Unknown",Table1[[#This Row],[age]]))</f>
        <v>32</v>
      </c>
      <c r="H319" t="s">
        <v>28</v>
      </c>
      <c r="I319" t="s">
        <v>29</v>
      </c>
      <c r="J319" t="s">
        <v>30</v>
      </c>
      <c r="K319">
        <v>0</v>
      </c>
      <c r="L319" s="10" t="str">
        <f>TRIM(IF(Table1[[#This Row],[years_of_experience]]="","Unknown",Table1[[#This Row],[years_of_experience]]))</f>
        <v>0</v>
      </c>
      <c r="M319">
        <v>100</v>
      </c>
      <c r="N319">
        <f>IF(Table1[[#This Row],[hourly_rate (USD)]]="",MEDIAN(Table1[hourly_rate (USD)]),Table1[[#This Row],[hourly_rate (USD)]])</f>
        <v>100</v>
      </c>
      <c r="O319" t="str">
        <f>TRIM(CLEAN(Table1[[#This Row],[Updated hourly_rate (USD)]]))</f>
        <v>100</v>
      </c>
      <c r="P319" t="str">
        <f>SUBSTITUTE(SUBSTITUTE(Table1[[#This Row],[Formatted hourly rate]],"USD ",""),"$","")</f>
        <v>100</v>
      </c>
      <c r="Q319">
        <v>1.4</v>
      </c>
      <c r="R319">
        <f>IF(Table1[[#This Row],[rating]]="",2.6,Table1[[#This Row],[rating]])</f>
        <v>1.4</v>
      </c>
      <c r="S319">
        <v>1</v>
      </c>
      <c r="T319" t="str">
        <f>TRIM(CLEAN(Table1[[#This Row],[is_active]]))</f>
        <v>1</v>
      </c>
      <c r="U31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19" s="11" t="str">
        <f>TRIM(IF(Table1[[#This Row],[is_active3]]="Unknown","TRUE",Table1[[#This Row],[is_active3]]))</f>
        <v>TRUE</v>
      </c>
      <c r="W319">
        <v>0.81</v>
      </c>
      <c r="X319">
        <f>IF(Table1[[#This Row],[client_satisfaction]]&gt;1,Table1[[#This Row],[client_satisfaction]]/100,Table1[[#This Row],[client_satisfaction]])</f>
        <v>0.81</v>
      </c>
      <c r="Y319">
        <f>IF(Table1[[#This Row],[client_satisfaction2]]=0,0.75,Table1[[#This Row],[client_satisfaction2]])</f>
        <v>0.81</v>
      </c>
    </row>
    <row r="320" spans="1:25" x14ac:dyDescent="0.25">
      <c r="A320" t="s">
        <v>720</v>
      </c>
      <c r="B320" t="s">
        <v>721</v>
      </c>
      <c r="C320" t="str">
        <f>PROPER(TRIM(SUBSTITUTE(SUBSTITUTE(SUBSTITUTE(Table1[[#This Row],[name]],"Ms. ",""),"Mr. ",""),"Mrs. ","")))</f>
        <v>Danielle Costa</v>
      </c>
      <c r="D320" t="s">
        <v>77</v>
      </c>
      <c r="E3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20">
        <v>55</v>
      </c>
      <c r="G320" t="str">
        <f>TRIM(IF(Table1[[#This Row],[age]]="","Unknown",Table1[[#This Row],[age]]))</f>
        <v>55</v>
      </c>
      <c r="H320" t="s">
        <v>124</v>
      </c>
      <c r="I320" t="s">
        <v>125</v>
      </c>
      <c r="J320" t="s">
        <v>51</v>
      </c>
      <c r="K320">
        <v>17</v>
      </c>
      <c r="L320" s="10" t="str">
        <f>TRIM(IF(Table1[[#This Row],[years_of_experience]]="","Unknown",Table1[[#This Row],[years_of_experience]]))</f>
        <v>17</v>
      </c>
      <c r="M320">
        <v>30</v>
      </c>
      <c r="N320">
        <f>IF(Table1[[#This Row],[hourly_rate (USD)]]="",MEDIAN(Table1[hourly_rate (USD)]),Table1[[#This Row],[hourly_rate (USD)]])</f>
        <v>30</v>
      </c>
      <c r="O320" t="str">
        <f>TRIM(CLEAN(Table1[[#This Row],[Updated hourly_rate (USD)]]))</f>
        <v>30</v>
      </c>
      <c r="P320" t="str">
        <f>SUBSTITUTE(SUBSTITUTE(Table1[[#This Row],[Formatted hourly rate]],"USD ",""),"$","")</f>
        <v>30</v>
      </c>
      <c r="R320">
        <f>IF(Table1[[#This Row],[rating]]="",2.6,Table1[[#This Row],[rating]])</f>
        <v>2.6</v>
      </c>
      <c r="T320" t="str">
        <f>TRIM(CLEAN(Table1[[#This Row],[is_active]]))</f>
        <v/>
      </c>
      <c r="U32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20" s="11" t="str">
        <f>TRIM(IF(Table1[[#This Row],[is_active3]]="Unknown","TRUE",Table1[[#This Row],[is_active3]]))</f>
        <v>TRUE</v>
      </c>
      <c r="X320">
        <f>IF(Table1[[#This Row],[client_satisfaction]]&gt;1,Table1[[#This Row],[client_satisfaction]]/100,Table1[[#This Row],[client_satisfaction]])</f>
        <v>0</v>
      </c>
      <c r="Y320">
        <f>IF(Table1[[#This Row],[client_satisfaction2]]=0,0.75,Table1[[#This Row],[client_satisfaction2]])</f>
        <v>0.75</v>
      </c>
    </row>
    <row r="321" spans="1:25" x14ac:dyDescent="0.25">
      <c r="A321" t="s">
        <v>722</v>
      </c>
      <c r="B321" t="s">
        <v>723</v>
      </c>
      <c r="C321" t="str">
        <f>PROPER(TRIM(SUBSTITUTE(SUBSTITUTE(SUBSTITUTE(Table1[[#This Row],[name]],"Ms. ",""),"Mr. ",""),"Mrs. ","")))</f>
        <v>William Nunez</v>
      </c>
      <c r="D321" t="s">
        <v>92</v>
      </c>
      <c r="E3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21">
        <v>32</v>
      </c>
      <c r="G321" t="str">
        <f>TRIM(IF(Table1[[#This Row],[age]]="","Unknown",Table1[[#This Row],[age]]))</f>
        <v>32</v>
      </c>
      <c r="H321" t="s">
        <v>71</v>
      </c>
      <c r="I321" t="s">
        <v>72</v>
      </c>
      <c r="J321" t="s">
        <v>114</v>
      </c>
      <c r="K321">
        <v>9</v>
      </c>
      <c r="L321" s="10" t="str">
        <f>TRIM(IF(Table1[[#This Row],[years_of_experience]]="","Unknown",Table1[[#This Row],[years_of_experience]]))</f>
        <v>9</v>
      </c>
      <c r="M321" t="s">
        <v>55</v>
      </c>
      <c r="N321" t="str">
        <f>IF(Table1[[#This Row],[hourly_rate (USD)]]="",MEDIAN(Table1[hourly_rate (USD)]),Table1[[#This Row],[hourly_rate (USD)]])</f>
        <v>USD 40</v>
      </c>
      <c r="O321" t="str">
        <f>TRIM(CLEAN(Table1[[#This Row],[Updated hourly_rate (USD)]]))</f>
        <v>USD 40</v>
      </c>
      <c r="P321" t="str">
        <f>SUBSTITUTE(SUBSTITUTE(Table1[[#This Row],[Formatted hourly rate]],"USD ",""),"$","")</f>
        <v>40</v>
      </c>
      <c r="Q321">
        <v>4.5999999999999996</v>
      </c>
      <c r="R321">
        <f>IF(Table1[[#This Row],[rating]]="",2.6,Table1[[#This Row],[rating]])</f>
        <v>4.5999999999999996</v>
      </c>
      <c r="S321">
        <v>1</v>
      </c>
      <c r="T321" t="str">
        <f>TRIM(CLEAN(Table1[[#This Row],[is_active]]))</f>
        <v>1</v>
      </c>
      <c r="U3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21" s="11" t="str">
        <f>TRIM(IF(Table1[[#This Row],[is_active3]]="Unknown","TRUE",Table1[[#This Row],[is_active3]]))</f>
        <v>TRUE</v>
      </c>
      <c r="W321">
        <v>0.84</v>
      </c>
      <c r="X321">
        <f>IF(Table1[[#This Row],[client_satisfaction]]&gt;1,Table1[[#This Row],[client_satisfaction]]/100,Table1[[#This Row],[client_satisfaction]])</f>
        <v>0.84</v>
      </c>
      <c r="Y321">
        <f>IF(Table1[[#This Row],[client_satisfaction2]]=0,0.75,Table1[[#This Row],[client_satisfaction2]])</f>
        <v>0.84</v>
      </c>
    </row>
    <row r="322" spans="1:25" x14ac:dyDescent="0.25">
      <c r="A322" t="s">
        <v>724</v>
      </c>
      <c r="B322" t="s">
        <v>725</v>
      </c>
      <c r="C322" t="str">
        <f>PROPER(TRIM(SUBSTITUTE(SUBSTITUTE(SUBSTITUTE(Table1[[#This Row],[name]],"Ms. ",""),"Mr. ",""),"Mrs. ","")))</f>
        <v>Christopher Riggs</v>
      </c>
      <c r="D322" t="s">
        <v>48</v>
      </c>
      <c r="E3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22">
        <v>30</v>
      </c>
      <c r="G322" t="str">
        <f>TRIM(IF(Table1[[#This Row],[age]]="","Unknown",Table1[[#This Row],[age]]))</f>
        <v>30</v>
      </c>
      <c r="H322" t="s">
        <v>112</v>
      </c>
      <c r="I322" t="s">
        <v>113</v>
      </c>
      <c r="J322" t="s">
        <v>17</v>
      </c>
      <c r="K322">
        <v>4</v>
      </c>
      <c r="L322" s="10" t="str">
        <f>TRIM(IF(Table1[[#This Row],[years_of_experience]]="","Unknown",Table1[[#This Row],[years_of_experience]]))</f>
        <v>4</v>
      </c>
      <c r="M322" t="s">
        <v>121</v>
      </c>
      <c r="N322" t="str">
        <f>IF(Table1[[#This Row],[hourly_rate (USD)]]="",MEDIAN(Table1[hourly_rate (USD)]),Table1[[#This Row],[hourly_rate (USD)]])</f>
        <v>$20</v>
      </c>
      <c r="O322" t="str">
        <f>TRIM(CLEAN(Table1[[#This Row],[Updated hourly_rate (USD)]]))</f>
        <v>$20</v>
      </c>
      <c r="P322" t="str">
        <f>SUBSTITUTE(SUBSTITUTE(Table1[[#This Row],[Formatted hourly rate]],"USD ",""),"$","")</f>
        <v>20</v>
      </c>
      <c r="Q322">
        <v>3.3</v>
      </c>
      <c r="R322">
        <f>IF(Table1[[#This Row],[rating]]="",2.6,Table1[[#This Row],[rating]])</f>
        <v>3.3</v>
      </c>
      <c r="S322" t="s">
        <v>159</v>
      </c>
      <c r="T322" t="str">
        <f>TRIM(CLEAN(Table1[[#This Row],[is_active]]))</f>
        <v>no</v>
      </c>
      <c r="U32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22" s="11" t="str">
        <f>TRIM(IF(Table1[[#This Row],[is_active3]]="Unknown","TRUE",Table1[[#This Row],[is_active3]]))</f>
        <v>FALSE</v>
      </c>
      <c r="X322">
        <f>IF(Table1[[#This Row],[client_satisfaction]]&gt;1,Table1[[#This Row],[client_satisfaction]]/100,Table1[[#This Row],[client_satisfaction]])</f>
        <v>0</v>
      </c>
      <c r="Y322">
        <f>IF(Table1[[#This Row],[client_satisfaction2]]=0,0.75,Table1[[#This Row],[client_satisfaction2]])</f>
        <v>0.75</v>
      </c>
    </row>
    <row r="323" spans="1:25" x14ac:dyDescent="0.25">
      <c r="A323" t="s">
        <v>726</v>
      </c>
      <c r="B323" t="s">
        <v>727</v>
      </c>
      <c r="C323" t="str">
        <f>PROPER(TRIM(SUBSTITUTE(SUBSTITUTE(SUBSTITUTE(Table1[[#This Row],[name]],"Ms. ",""),"Mr. ",""),"Mrs. ","")))</f>
        <v>Kathryn Myers</v>
      </c>
      <c r="D323" t="s">
        <v>39</v>
      </c>
      <c r="E3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23">
        <v>37</v>
      </c>
      <c r="G323" t="str">
        <f>TRIM(IF(Table1[[#This Row],[age]]="","Unknown",Table1[[#This Row],[age]]))</f>
        <v>37</v>
      </c>
      <c r="H323" t="s">
        <v>128</v>
      </c>
      <c r="I323" t="s">
        <v>22</v>
      </c>
      <c r="J323" t="s">
        <v>78</v>
      </c>
      <c r="K323">
        <v>0</v>
      </c>
      <c r="L323" s="10" t="str">
        <f>TRIM(IF(Table1[[#This Row],[years_of_experience]]="","Unknown",Table1[[#This Row],[years_of_experience]]))</f>
        <v>0</v>
      </c>
      <c r="M323" t="s">
        <v>36</v>
      </c>
      <c r="N323" t="str">
        <f>IF(Table1[[#This Row],[hourly_rate (USD)]]="",MEDIAN(Table1[hourly_rate (USD)]),Table1[[#This Row],[hourly_rate (USD)]])</f>
        <v>$40</v>
      </c>
      <c r="O323" t="str">
        <f>TRIM(CLEAN(Table1[[#This Row],[Updated hourly_rate (USD)]]))</f>
        <v>$40</v>
      </c>
      <c r="P323" t="str">
        <f>SUBSTITUTE(SUBSTITUTE(Table1[[#This Row],[Formatted hourly rate]],"USD ",""),"$","")</f>
        <v>40</v>
      </c>
      <c r="Q323">
        <v>3.7</v>
      </c>
      <c r="R323">
        <f>IF(Table1[[#This Row],[rating]]="",2.6,Table1[[#This Row],[rating]])</f>
        <v>3.7</v>
      </c>
      <c r="S323">
        <v>1</v>
      </c>
      <c r="T323" t="str">
        <f>TRIM(CLEAN(Table1[[#This Row],[is_active]]))</f>
        <v>1</v>
      </c>
      <c r="U32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23" s="11" t="str">
        <f>TRIM(IF(Table1[[#This Row],[is_active3]]="Unknown","TRUE",Table1[[#This Row],[is_active3]]))</f>
        <v>TRUE</v>
      </c>
      <c r="X323">
        <f>IF(Table1[[#This Row],[client_satisfaction]]&gt;1,Table1[[#This Row],[client_satisfaction]]/100,Table1[[#This Row],[client_satisfaction]])</f>
        <v>0</v>
      </c>
      <c r="Y323">
        <f>IF(Table1[[#This Row],[client_satisfaction2]]=0,0.75,Table1[[#This Row],[client_satisfaction2]])</f>
        <v>0.75</v>
      </c>
    </row>
    <row r="324" spans="1:25" x14ac:dyDescent="0.25">
      <c r="A324" t="s">
        <v>728</v>
      </c>
      <c r="B324" t="s">
        <v>729</v>
      </c>
      <c r="C324" t="str">
        <f>PROPER(TRIM(SUBSTITUTE(SUBSTITUTE(SUBSTITUTE(Table1[[#This Row],[name]],"Ms. ",""),"Mr. ",""),"Mrs. ","")))</f>
        <v>Robert Walls</v>
      </c>
      <c r="D324" t="s">
        <v>92</v>
      </c>
      <c r="E3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24">
        <v>52</v>
      </c>
      <c r="G324" t="str">
        <f>TRIM(IF(Table1[[#This Row],[age]]="","Unknown",Table1[[#This Row],[age]]))</f>
        <v>52</v>
      </c>
      <c r="H324" t="s">
        <v>107</v>
      </c>
      <c r="I324" t="s">
        <v>108</v>
      </c>
      <c r="J324" t="s">
        <v>30</v>
      </c>
      <c r="K324">
        <v>33</v>
      </c>
      <c r="L324" s="10" t="str">
        <f>TRIM(IF(Table1[[#This Row],[years_of_experience]]="","Unknown",Table1[[#This Row],[years_of_experience]]))</f>
        <v>33</v>
      </c>
      <c r="N324">
        <f>IF(Table1[[#This Row],[hourly_rate (USD)]]="",MEDIAN(Table1[hourly_rate (USD)]),Table1[[#This Row],[hourly_rate (USD)]])</f>
        <v>50</v>
      </c>
      <c r="O324" t="str">
        <f>TRIM(CLEAN(Table1[[#This Row],[Updated hourly_rate (USD)]]))</f>
        <v>50</v>
      </c>
      <c r="P324" t="str">
        <f>SUBSTITUTE(SUBSTITUTE(Table1[[#This Row],[Formatted hourly rate]],"USD ",""),"$","")</f>
        <v>50</v>
      </c>
      <c r="Q324">
        <v>0</v>
      </c>
      <c r="R324">
        <f>IF(Table1[[#This Row],[rating]]="",2.6,Table1[[#This Row],[rating]])</f>
        <v>0</v>
      </c>
      <c r="S324">
        <v>1</v>
      </c>
      <c r="T324" t="str">
        <f>TRIM(CLEAN(Table1[[#This Row],[is_active]]))</f>
        <v>1</v>
      </c>
      <c r="U32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24" s="11" t="str">
        <f>TRIM(IF(Table1[[#This Row],[is_active3]]="Unknown","TRUE",Table1[[#This Row],[is_active3]]))</f>
        <v>TRUE</v>
      </c>
      <c r="W324">
        <v>0.6</v>
      </c>
      <c r="X324">
        <f>IF(Table1[[#This Row],[client_satisfaction]]&gt;1,Table1[[#This Row],[client_satisfaction]]/100,Table1[[#This Row],[client_satisfaction]])</f>
        <v>0.6</v>
      </c>
      <c r="Y324">
        <f>IF(Table1[[#This Row],[client_satisfaction2]]=0,0.75,Table1[[#This Row],[client_satisfaction2]])</f>
        <v>0.6</v>
      </c>
    </row>
    <row r="325" spans="1:25" x14ac:dyDescent="0.25">
      <c r="A325" t="s">
        <v>730</v>
      </c>
      <c r="B325" t="s">
        <v>731</v>
      </c>
      <c r="C325" t="str">
        <f>PROPER(TRIM(SUBSTITUTE(SUBSTITUTE(SUBSTITUTE(Table1[[#This Row],[name]],"Ms. ",""),"Mr. ",""),"Mrs. ","")))</f>
        <v>Justin Johnson</v>
      </c>
      <c r="D325" t="s">
        <v>97</v>
      </c>
      <c r="E3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25">
        <v>48</v>
      </c>
      <c r="G325" t="str">
        <f>TRIM(IF(Table1[[#This Row],[age]]="","Unknown",Table1[[#This Row],[age]]))</f>
        <v>48</v>
      </c>
      <c r="H325" t="s">
        <v>93</v>
      </c>
      <c r="I325" t="s">
        <v>94</v>
      </c>
      <c r="J325" t="s">
        <v>78</v>
      </c>
      <c r="K325">
        <v>18</v>
      </c>
      <c r="L325" s="10" t="str">
        <f>TRIM(IF(Table1[[#This Row],[years_of_experience]]="","Unknown",Table1[[#This Row],[years_of_experience]]))</f>
        <v>18</v>
      </c>
      <c r="M325">
        <v>50</v>
      </c>
      <c r="N325">
        <f>IF(Table1[[#This Row],[hourly_rate (USD)]]="",MEDIAN(Table1[hourly_rate (USD)]),Table1[[#This Row],[hourly_rate (USD)]])</f>
        <v>50</v>
      </c>
      <c r="O325" t="str">
        <f>TRIM(CLEAN(Table1[[#This Row],[Updated hourly_rate (USD)]]))</f>
        <v>50</v>
      </c>
      <c r="P325" t="str">
        <f>SUBSTITUTE(SUBSTITUTE(Table1[[#This Row],[Formatted hourly rate]],"USD ",""),"$","")</f>
        <v>50</v>
      </c>
      <c r="Q325">
        <v>0</v>
      </c>
      <c r="R325">
        <f>IF(Table1[[#This Row],[rating]]="",2.6,Table1[[#This Row],[rating]])</f>
        <v>0</v>
      </c>
      <c r="S325" t="s">
        <v>74</v>
      </c>
      <c r="T325" t="str">
        <f>TRIM(CLEAN(Table1[[#This Row],[is_active]]))</f>
        <v>Y</v>
      </c>
      <c r="U32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25" s="11" t="str">
        <f>TRIM(IF(Table1[[#This Row],[is_active3]]="Unknown","TRUE",Table1[[#This Row],[is_active3]]))</f>
        <v>TRUE</v>
      </c>
      <c r="W325">
        <v>0.64</v>
      </c>
      <c r="X325">
        <f>IF(Table1[[#This Row],[client_satisfaction]]&gt;1,Table1[[#This Row],[client_satisfaction]]/100,Table1[[#This Row],[client_satisfaction]])</f>
        <v>0.64</v>
      </c>
      <c r="Y325">
        <f>IF(Table1[[#This Row],[client_satisfaction2]]=0,0.75,Table1[[#This Row],[client_satisfaction2]])</f>
        <v>0.64</v>
      </c>
    </row>
    <row r="326" spans="1:25" x14ac:dyDescent="0.25">
      <c r="A326" t="s">
        <v>732</v>
      </c>
      <c r="B326" t="s">
        <v>733</v>
      </c>
      <c r="C326" t="str">
        <f>PROPER(TRIM(SUBSTITUTE(SUBSTITUTE(SUBSTITUTE(Table1[[#This Row],[name]],"Ms. ",""),"Mr. ",""),"Mrs. ","")))</f>
        <v>Paula Stevens</v>
      </c>
      <c r="D326" t="s">
        <v>20</v>
      </c>
      <c r="E3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26">
        <v>28</v>
      </c>
      <c r="G326" t="str">
        <f>TRIM(IF(Table1[[#This Row],[age]]="","Unknown",Table1[[#This Row],[age]]))</f>
        <v>28</v>
      </c>
      <c r="H326" t="s">
        <v>85</v>
      </c>
      <c r="I326" t="s">
        <v>86</v>
      </c>
      <c r="J326" t="s">
        <v>23</v>
      </c>
      <c r="K326">
        <v>9</v>
      </c>
      <c r="L326" s="10" t="str">
        <f>TRIM(IF(Table1[[#This Row],[years_of_experience]]="","Unknown",Table1[[#This Row],[years_of_experience]]))</f>
        <v>9</v>
      </c>
      <c r="M326">
        <v>40</v>
      </c>
      <c r="N326">
        <f>IF(Table1[[#This Row],[hourly_rate (USD)]]="",MEDIAN(Table1[hourly_rate (USD)]),Table1[[#This Row],[hourly_rate (USD)]])</f>
        <v>40</v>
      </c>
      <c r="O326" t="str">
        <f>TRIM(CLEAN(Table1[[#This Row],[Updated hourly_rate (USD)]]))</f>
        <v>40</v>
      </c>
      <c r="P326" t="str">
        <f>SUBSTITUTE(SUBSTITUTE(Table1[[#This Row],[Formatted hourly rate]],"USD ",""),"$","")</f>
        <v>40</v>
      </c>
      <c r="R326">
        <f>IF(Table1[[#This Row],[rating]]="",2.6,Table1[[#This Row],[rating]])</f>
        <v>2.6</v>
      </c>
      <c r="S326">
        <v>1</v>
      </c>
      <c r="T326" t="str">
        <f>TRIM(CLEAN(Table1[[#This Row],[is_active]]))</f>
        <v>1</v>
      </c>
      <c r="U32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26" s="11" t="str">
        <f>TRIM(IF(Table1[[#This Row],[is_active3]]="Unknown","TRUE",Table1[[#This Row],[is_active3]]))</f>
        <v>TRUE</v>
      </c>
      <c r="W326">
        <v>0.64</v>
      </c>
      <c r="X326">
        <f>IF(Table1[[#This Row],[client_satisfaction]]&gt;1,Table1[[#This Row],[client_satisfaction]]/100,Table1[[#This Row],[client_satisfaction]])</f>
        <v>0.64</v>
      </c>
      <c r="Y326">
        <f>IF(Table1[[#This Row],[client_satisfaction2]]=0,0.75,Table1[[#This Row],[client_satisfaction2]])</f>
        <v>0.64</v>
      </c>
    </row>
    <row r="327" spans="1:25" x14ac:dyDescent="0.25">
      <c r="A327" t="s">
        <v>734</v>
      </c>
      <c r="B327" t="s">
        <v>735</v>
      </c>
      <c r="C327" t="str">
        <f>PROPER(TRIM(SUBSTITUTE(SUBSTITUTE(SUBSTITUTE(Table1[[#This Row],[name]],"Ms. ",""),"Mr. ",""),"Mrs. ","")))</f>
        <v>Jennifer Allen</v>
      </c>
      <c r="D327" t="s">
        <v>20</v>
      </c>
      <c r="E3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27">
        <v>58</v>
      </c>
      <c r="G327" t="str">
        <f>TRIM(IF(Table1[[#This Row],[age]]="","Unknown",Table1[[#This Row],[age]]))</f>
        <v>58</v>
      </c>
      <c r="H327" t="s">
        <v>190</v>
      </c>
      <c r="I327" t="s">
        <v>72</v>
      </c>
      <c r="J327" t="s">
        <v>51</v>
      </c>
      <c r="K327">
        <v>40</v>
      </c>
      <c r="L327" s="10" t="str">
        <f>TRIM(IF(Table1[[#This Row],[years_of_experience]]="","Unknown",Table1[[#This Row],[years_of_experience]]))</f>
        <v>40</v>
      </c>
      <c r="M327">
        <v>75</v>
      </c>
      <c r="N327">
        <f>IF(Table1[[#This Row],[hourly_rate (USD)]]="",MEDIAN(Table1[hourly_rate (USD)]),Table1[[#This Row],[hourly_rate (USD)]])</f>
        <v>75</v>
      </c>
      <c r="O327" t="str">
        <f>TRIM(CLEAN(Table1[[#This Row],[Updated hourly_rate (USD)]]))</f>
        <v>75</v>
      </c>
      <c r="P327" t="str">
        <f>SUBSTITUTE(SUBSTITUTE(Table1[[#This Row],[Formatted hourly rate]],"USD ",""),"$","")</f>
        <v>75</v>
      </c>
      <c r="Q327">
        <v>3.4</v>
      </c>
      <c r="R327">
        <f>IF(Table1[[#This Row],[rating]]="",2.6,Table1[[#This Row],[rating]])</f>
        <v>3.4</v>
      </c>
      <c r="S327">
        <v>1</v>
      </c>
      <c r="T327" t="str">
        <f>TRIM(CLEAN(Table1[[#This Row],[is_active]]))</f>
        <v>1</v>
      </c>
      <c r="U32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27" s="11" t="str">
        <f>TRIM(IF(Table1[[#This Row],[is_active3]]="Unknown","TRUE",Table1[[#This Row],[is_active3]]))</f>
        <v>TRUE</v>
      </c>
      <c r="W327">
        <v>1</v>
      </c>
      <c r="X327">
        <f>IF(Table1[[#This Row],[client_satisfaction]]&gt;1,Table1[[#This Row],[client_satisfaction]]/100,Table1[[#This Row],[client_satisfaction]])</f>
        <v>1</v>
      </c>
      <c r="Y327">
        <f>IF(Table1[[#This Row],[client_satisfaction2]]=0,0.75,Table1[[#This Row],[client_satisfaction2]])</f>
        <v>1</v>
      </c>
    </row>
    <row r="328" spans="1:25" x14ac:dyDescent="0.25">
      <c r="A328" t="s">
        <v>736</v>
      </c>
      <c r="B328" t="s">
        <v>737</v>
      </c>
      <c r="C328" t="str">
        <f>PROPER(TRIM(SUBSTITUTE(SUBSTITUTE(SUBSTITUTE(Table1[[#This Row],[name]],"Ms. ",""),"Mr. ",""),"Mrs. ","")))</f>
        <v>Mark Hudson</v>
      </c>
      <c r="D328" t="s">
        <v>27</v>
      </c>
      <c r="E3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28">
        <v>30</v>
      </c>
      <c r="G328" t="str">
        <f>TRIM(IF(Table1[[#This Row],[age]]="","Unknown",Table1[[#This Row],[age]]))</f>
        <v>30</v>
      </c>
      <c r="H328" t="s">
        <v>71</v>
      </c>
      <c r="I328" t="s">
        <v>72</v>
      </c>
      <c r="J328" t="s">
        <v>35</v>
      </c>
      <c r="K328">
        <v>1</v>
      </c>
      <c r="L328" s="10" t="str">
        <f>TRIM(IF(Table1[[#This Row],[years_of_experience]]="","Unknown",Table1[[#This Row],[years_of_experience]]))</f>
        <v>1</v>
      </c>
      <c r="M328">
        <v>40</v>
      </c>
      <c r="N328">
        <f>IF(Table1[[#This Row],[hourly_rate (USD)]]="",MEDIAN(Table1[hourly_rate (USD)]),Table1[[#This Row],[hourly_rate (USD)]])</f>
        <v>40</v>
      </c>
      <c r="O328" t="str">
        <f>TRIM(CLEAN(Table1[[#This Row],[Updated hourly_rate (USD)]]))</f>
        <v>40</v>
      </c>
      <c r="P328" t="str">
        <f>SUBSTITUTE(SUBSTITUTE(Table1[[#This Row],[Formatted hourly rate]],"USD ",""),"$","")</f>
        <v>40</v>
      </c>
      <c r="Q328">
        <v>1.6</v>
      </c>
      <c r="R328">
        <f>IF(Table1[[#This Row],[rating]]="",2.6,Table1[[#This Row],[rating]])</f>
        <v>1.6</v>
      </c>
      <c r="S328" t="b">
        <v>1</v>
      </c>
      <c r="T328" t="str">
        <f>TRIM(CLEAN(Table1[[#This Row],[is_active]]))</f>
        <v>TRUE</v>
      </c>
      <c r="U32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28" s="11" t="str">
        <f>TRIM(IF(Table1[[#This Row],[is_active3]]="Unknown","TRUE",Table1[[#This Row],[is_active3]]))</f>
        <v>TRUE</v>
      </c>
      <c r="W328">
        <v>100</v>
      </c>
      <c r="X328">
        <f>IF(Table1[[#This Row],[client_satisfaction]]&gt;1,Table1[[#This Row],[client_satisfaction]]/100,Table1[[#This Row],[client_satisfaction]])</f>
        <v>1</v>
      </c>
      <c r="Y328">
        <f>IF(Table1[[#This Row],[client_satisfaction2]]=0,0.75,Table1[[#This Row],[client_satisfaction2]])</f>
        <v>1</v>
      </c>
    </row>
    <row r="329" spans="1:25" x14ac:dyDescent="0.25">
      <c r="A329" t="s">
        <v>738</v>
      </c>
      <c r="B329" t="s">
        <v>739</v>
      </c>
      <c r="C329" t="str">
        <f>PROPER(TRIM(SUBSTITUTE(SUBSTITUTE(SUBSTITUTE(Table1[[#This Row],[name]],"Ms. ",""),"Mr. ",""),"Mrs. ","")))</f>
        <v>Jessica Smith</v>
      </c>
      <c r="D329" t="s">
        <v>77</v>
      </c>
      <c r="E3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29">
        <v>47</v>
      </c>
      <c r="G329" t="str">
        <f>TRIM(IF(Table1[[#This Row],[age]]="","Unknown",Table1[[#This Row],[age]]))</f>
        <v>47</v>
      </c>
      <c r="H329" t="s">
        <v>175</v>
      </c>
      <c r="I329" t="s">
        <v>176</v>
      </c>
      <c r="J329" t="s">
        <v>23</v>
      </c>
      <c r="K329">
        <v>5</v>
      </c>
      <c r="L329" s="10" t="str">
        <f>TRIM(IF(Table1[[#This Row],[years_of_experience]]="","Unknown",Table1[[#This Row],[years_of_experience]]))</f>
        <v>5</v>
      </c>
      <c r="M329">
        <v>20</v>
      </c>
      <c r="N329">
        <f>IF(Table1[[#This Row],[hourly_rate (USD)]]="",MEDIAN(Table1[hourly_rate (USD)]),Table1[[#This Row],[hourly_rate (USD)]])</f>
        <v>20</v>
      </c>
      <c r="O329" t="str">
        <f>TRIM(CLEAN(Table1[[#This Row],[Updated hourly_rate (USD)]]))</f>
        <v>20</v>
      </c>
      <c r="P329" t="str">
        <f>SUBSTITUTE(SUBSTITUTE(Table1[[#This Row],[Formatted hourly rate]],"USD ",""),"$","")</f>
        <v>20</v>
      </c>
      <c r="Q329">
        <v>1.9</v>
      </c>
      <c r="R329">
        <f>IF(Table1[[#This Row],[rating]]="",2.6,Table1[[#This Row],[rating]])</f>
        <v>1.9</v>
      </c>
      <c r="S329">
        <v>0</v>
      </c>
      <c r="T329" t="str">
        <f>TRIM(CLEAN(Table1[[#This Row],[is_active]]))</f>
        <v>0</v>
      </c>
      <c r="U32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29" s="11" t="str">
        <f>TRIM(IF(Table1[[#This Row],[is_active3]]="Unknown","TRUE",Table1[[#This Row],[is_active3]]))</f>
        <v>FALSE</v>
      </c>
      <c r="X329">
        <f>IF(Table1[[#This Row],[client_satisfaction]]&gt;1,Table1[[#This Row],[client_satisfaction]]/100,Table1[[#This Row],[client_satisfaction]])</f>
        <v>0</v>
      </c>
      <c r="Y329">
        <f>IF(Table1[[#This Row],[client_satisfaction2]]=0,0.75,Table1[[#This Row],[client_satisfaction2]])</f>
        <v>0.75</v>
      </c>
    </row>
    <row r="330" spans="1:25" x14ac:dyDescent="0.25">
      <c r="A330" t="s">
        <v>740</v>
      </c>
      <c r="B330" t="s">
        <v>741</v>
      </c>
      <c r="C330" t="str">
        <f>PROPER(TRIM(SUBSTITUTE(SUBSTITUTE(SUBSTITUTE(Table1[[#This Row],[name]],"Ms. ",""),"Mr. ",""),"Mrs. ","")))</f>
        <v>Mike Dean</v>
      </c>
      <c r="D330" t="s">
        <v>27</v>
      </c>
      <c r="E3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30">
        <v>44</v>
      </c>
      <c r="G330" t="str">
        <f>TRIM(IF(Table1[[#This Row],[age]]="","Unknown",Table1[[#This Row],[age]]))</f>
        <v>44</v>
      </c>
      <c r="H330" t="s">
        <v>71</v>
      </c>
      <c r="I330" t="s">
        <v>72</v>
      </c>
      <c r="J330" t="s">
        <v>44</v>
      </c>
      <c r="K330">
        <v>4</v>
      </c>
      <c r="L330" s="10" t="str">
        <f>TRIM(IF(Table1[[#This Row],[years_of_experience]]="","Unknown",Table1[[#This Row],[years_of_experience]]))</f>
        <v>4</v>
      </c>
      <c r="M330" t="s">
        <v>64</v>
      </c>
      <c r="N330" t="str">
        <f>IF(Table1[[#This Row],[hourly_rate (USD)]]="",MEDIAN(Table1[hourly_rate (USD)]),Table1[[#This Row],[hourly_rate (USD)]])</f>
        <v>$50</v>
      </c>
      <c r="O330" t="str">
        <f>TRIM(CLEAN(Table1[[#This Row],[Updated hourly_rate (USD)]]))</f>
        <v>$50</v>
      </c>
      <c r="P330" t="str">
        <f>SUBSTITUTE(SUBSTITUTE(Table1[[#This Row],[Formatted hourly rate]],"USD ",""),"$","")</f>
        <v>50</v>
      </c>
      <c r="Q330">
        <v>0</v>
      </c>
      <c r="R330">
        <f>IF(Table1[[#This Row],[rating]]="",2.6,Table1[[#This Row],[rating]])</f>
        <v>0</v>
      </c>
      <c r="S330" t="b">
        <v>1</v>
      </c>
      <c r="T330" t="str">
        <f>TRIM(CLEAN(Table1[[#This Row],[is_active]]))</f>
        <v>TRUE</v>
      </c>
      <c r="U33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30" s="11" t="str">
        <f>TRIM(IF(Table1[[#This Row],[is_active3]]="Unknown","TRUE",Table1[[#This Row],[is_active3]]))</f>
        <v>TRUE</v>
      </c>
      <c r="W330">
        <v>0.83</v>
      </c>
      <c r="X330">
        <f>IF(Table1[[#This Row],[client_satisfaction]]&gt;1,Table1[[#This Row],[client_satisfaction]]/100,Table1[[#This Row],[client_satisfaction]])</f>
        <v>0.83</v>
      </c>
      <c r="Y330">
        <f>IF(Table1[[#This Row],[client_satisfaction2]]=0,0.75,Table1[[#This Row],[client_satisfaction2]])</f>
        <v>0.83</v>
      </c>
    </row>
    <row r="331" spans="1:25" x14ac:dyDescent="0.25">
      <c r="A331" t="s">
        <v>742</v>
      </c>
      <c r="B331" t="s">
        <v>743</v>
      </c>
      <c r="C331" t="str">
        <f>PROPER(TRIM(SUBSTITUTE(SUBSTITUTE(SUBSTITUTE(Table1[[#This Row],[name]],"Ms. ",""),"Mr. ",""),"Mrs. ","")))</f>
        <v>Jose Wilson</v>
      </c>
      <c r="D331" t="s">
        <v>92</v>
      </c>
      <c r="E3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31">
        <v>56</v>
      </c>
      <c r="G331" t="str">
        <f>TRIM(IF(Table1[[#This Row],[age]]="","Unknown",Table1[[#This Row],[age]]))</f>
        <v>56</v>
      </c>
      <c r="H331" t="s">
        <v>15</v>
      </c>
      <c r="I331" t="s">
        <v>16</v>
      </c>
      <c r="J331" t="s">
        <v>114</v>
      </c>
      <c r="K331">
        <v>13</v>
      </c>
      <c r="L331" s="10" t="str">
        <f>TRIM(IF(Table1[[#This Row],[years_of_experience]]="","Unknown",Table1[[#This Row],[years_of_experience]]))</f>
        <v>13</v>
      </c>
      <c r="M331" t="s">
        <v>55</v>
      </c>
      <c r="N331" t="str">
        <f>IF(Table1[[#This Row],[hourly_rate (USD)]]="",MEDIAN(Table1[hourly_rate (USD)]),Table1[[#This Row],[hourly_rate (USD)]])</f>
        <v>USD 40</v>
      </c>
      <c r="O331" t="str">
        <f>TRIM(CLEAN(Table1[[#This Row],[Updated hourly_rate (USD)]]))</f>
        <v>USD 40</v>
      </c>
      <c r="P331" t="str">
        <f>SUBSTITUTE(SUBSTITUTE(Table1[[#This Row],[Formatted hourly rate]],"USD ",""),"$","")</f>
        <v>40</v>
      </c>
      <c r="R331">
        <f>IF(Table1[[#This Row],[rating]]="",2.6,Table1[[#This Row],[rating]])</f>
        <v>2.6</v>
      </c>
      <c r="S331">
        <v>1</v>
      </c>
      <c r="T331" t="str">
        <f>TRIM(CLEAN(Table1[[#This Row],[is_active]]))</f>
        <v>1</v>
      </c>
      <c r="U33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31" s="11" t="str">
        <f>TRIM(IF(Table1[[#This Row],[is_active3]]="Unknown","TRUE",Table1[[#This Row],[is_active3]]))</f>
        <v>TRUE</v>
      </c>
      <c r="W331">
        <v>0.87</v>
      </c>
      <c r="X331">
        <f>IF(Table1[[#This Row],[client_satisfaction]]&gt;1,Table1[[#This Row],[client_satisfaction]]/100,Table1[[#This Row],[client_satisfaction]])</f>
        <v>0.87</v>
      </c>
      <c r="Y331">
        <f>IF(Table1[[#This Row],[client_satisfaction2]]=0,0.75,Table1[[#This Row],[client_satisfaction2]])</f>
        <v>0.87</v>
      </c>
    </row>
    <row r="332" spans="1:25" x14ac:dyDescent="0.25">
      <c r="A332" t="s">
        <v>744</v>
      </c>
      <c r="B332" t="s">
        <v>745</v>
      </c>
      <c r="C332" t="str">
        <f>PROPER(TRIM(SUBSTITUTE(SUBSTITUTE(SUBSTITUTE(Table1[[#This Row],[name]],"Ms. ",""),"Mr. ",""),"Mrs. ","")))</f>
        <v>Tammy Hill</v>
      </c>
      <c r="D332" t="s">
        <v>77</v>
      </c>
      <c r="E3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32">
        <v>53</v>
      </c>
      <c r="G332" t="str">
        <f>TRIM(IF(Table1[[#This Row],[age]]="","Unknown",Table1[[#This Row],[age]]))</f>
        <v>53</v>
      </c>
      <c r="H332" t="s">
        <v>58</v>
      </c>
      <c r="I332" t="s">
        <v>22</v>
      </c>
      <c r="J332" t="s">
        <v>23</v>
      </c>
      <c r="K332">
        <v>33</v>
      </c>
      <c r="L332" s="10" t="str">
        <f>TRIM(IF(Table1[[#This Row],[years_of_experience]]="","Unknown",Table1[[#This Row],[years_of_experience]]))</f>
        <v>33</v>
      </c>
      <c r="M332" t="s">
        <v>229</v>
      </c>
      <c r="N332" t="str">
        <f>IF(Table1[[#This Row],[hourly_rate (USD)]]="",MEDIAN(Table1[hourly_rate (USD)]),Table1[[#This Row],[hourly_rate (USD)]])</f>
        <v>$100</v>
      </c>
      <c r="O332" t="str">
        <f>TRIM(CLEAN(Table1[[#This Row],[Updated hourly_rate (USD)]]))</f>
        <v>$100</v>
      </c>
      <c r="P332" t="str">
        <f>SUBSTITUTE(SUBSTITUTE(Table1[[#This Row],[Formatted hourly rate]],"USD ",""),"$","")</f>
        <v>100</v>
      </c>
      <c r="R332">
        <f>IF(Table1[[#This Row],[rating]]="",2.6,Table1[[#This Row],[rating]])</f>
        <v>2.6</v>
      </c>
      <c r="S332" t="s">
        <v>159</v>
      </c>
      <c r="T332" t="str">
        <f>TRIM(CLEAN(Table1[[#This Row],[is_active]]))</f>
        <v>no</v>
      </c>
      <c r="U33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32" s="11" t="str">
        <f>TRIM(IF(Table1[[#This Row],[is_active3]]="Unknown","TRUE",Table1[[#This Row],[is_active3]]))</f>
        <v>FALSE</v>
      </c>
      <c r="W332">
        <v>0.75</v>
      </c>
      <c r="X332">
        <f>IF(Table1[[#This Row],[client_satisfaction]]&gt;1,Table1[[#This Row],[client_satisfaction]]/100,Table1[[#This Row],[client_satisfaction]])</f>
        <v>0.75</v>
      </c>
      <c r="Y332">
        <f>IF(Table1[[#This Row],[client_satisfaction2]]=0,0.75,Table1[[#This Row],[client_satisfaction2]])</f>
        <v>0.75</v>
      </c>
    </row>
    <row r="333" spans="1:25" x14ac:dyDescent="0.25">
      <c r="A333" t="s">
        <v>746</v>
      </c>
      <c r="B333" t="s">
        <v>747</v>
      </c>
      <c r="C333" t="str">
        <f>PROPER(TRIM(SUBSTITUTE(SUBSTITUTE(SUBSTITUTE(Table1[[#This Row],[name]],"Ms. ",""),"Mr. ",""),"Mrs. ","")))</f>
        <v>Nathaniel Flores</v>
      </c>
      <c r="D333" t="s">
        <v>61</v>
      </c>
      <c r="E3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33">
        <v>59</v>
      </c>
      <c r="G333" t="str">
        <f>TRIM(IF(Table1[[#This Row],[age]]="","Unknown",Table1[[#This Row],[age]]))</f>
        <v>59</v>
      </c>
      <c r="H333" t="s">
        <v>67</v>
      </c>
      <c r="I333" t="s">
        <v>22</v>
      </c>
      <c r="J333" t="s">
        <v>23</v>
      </c>
      <c r="K333">
        <v>22</v>
      </c>
      <c r="L333" s="10" t="str">
        <f>TRIM(IF(Table1[[#This Row],[years_of_experience]]="","Unknown",Table1[[#This Row],[years_of_experience]]))</f>
        <v>22</v>
      </c>
      <c r="M333">
        <v>40</v>
      </c>
      <c r="N333">
        <f>IF(Table1[[#This Row],[hourly_rate (USD)]]="",MEDIAN(Table1[hourly_rate (USD)]),Table1[[#This Row],[hourly_rate (USD)]])</f>
        <v>40</v>
      </c>
      <c r="O333" t="str">
        <f>TRIM(CLEAN(Table1[[#This Row],[Updated hourly_rate (USD)]]))</f>
        <v>40</v>
      </c>
      <c r="P333" t="str">
        <f>SUBSTITUTE(SUBSTITUTE(Table1[[#This Row],[Formatted hourly rate]],"USD ",""),"$","")</f>
        <v>40</v>
      </c>
      <c r="Q333">
        <v>1.1000000000000001</v>
      </c>
      <c r="R333">
        <f>IF(Table1[[#This Row],[rating]]="",2.6,Table1[[#This Row],[rating]])</f>
        <v>1.1000000000000001</v>
      </c>
      <c r="S333" t="s">
        <v>68</v>
      </c>
      <c r="T333" t="str">
        <f>TRIM(CLEAN(Table1[[#This Row],[is_active]]))</f>
        <v>yes</v>
      </c>
      <c r="U3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33" s="11" t="str">
        <f>TRIM(IF(Table1[[#This Row],[is_active3]]="Unknown","TRUE",Table1[[#This Row],[is_active3]]))</f>
        <v>TRUE</v>
      </c>
      <c r="W333">
        <v>0.61</v>
      </c>
      <c r="X333">
        <f>IF(Table1[[#This Row],[client_satisfaction]]&gt;1,Table1[[#This Row],[client_satisfaction]]/100,Table1[[#This Row],[client_satisfaction]])</f>
        <v>0.61</v>
      </c>
      <c r="Y333">
        <f>IF(Table1[[#This Row],[client_satisfaction2]]=0,0.75,Table1[[#This Row],[client_satisfaction2]])</f>
        <v>0.61</v>
      </c>
    </row>
    <row r="334" spans="1:25" x14ac:dyDescent="0.25">
      <c r="A334" t="s">
        <v>748</v>
      </c>
      <c r="B334" t="s">
        <v>749</v>
      </c>
      <c r="C334" t="str">
        <f>PROPER(TRIM(SUBSTITUTE(SUBSTITUTE(SUBSTITUTE(Table1[[#This Row],[name]],"Ms. ",""),"Mr. ",""),"Mrs. ","")))</f>
        <v>Edwin Carter</v>
      </c>
      <c r="D334" t="s">
        <v>92</v>
      </c>
      <c r="E3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34">
        <v>60</v>
      </c>
      <c r="G334" t="str">
        <f>TRIM(IF(Table1[[#This Row],[age]]="","Unknown",Table1[[#This Row],[age]]))</f>
        <v>60</v>
      </c>
      <c r="H334" t="s">
        <v>58</v>
      </c>
      <c r="I334" t="s">
        <v>22</v>
      </c>
      <c r="J334" t="s">
        <v>89</v>
      </c>
      <c r="K334">
        <v>34</v>
      </c>
      <c r="L334" s="10" t="str">
        <f>TRIM(IF(Table1[[#This Row],[years_of_experience]]="","Unknown",Table1[[#This Row],[years_of_experience]]))</f>
        <v>34</v>
      </c>
      <c r="N334">
        <f>IF(Table1[[#This Row],[hourly_rate (USD)]]="",MEDIAN(Table1[hourly_rate (USD)]),Table1[[#This Row],[hourly_rate (USD)]])</f>
        <v>50</v>
      </c>
      <c r="O334" t="str">
        <f>TRIM(CLEAN(Table1[[#This Row],[Updated hourly_rate (USD)]]))</f>
        <v>50</v>
      </c>
      <c r="P334" t="str">
        <f>SUBSTITUTE(SUBSTITUTE(Table1[[#This Row],[Formatted hourly rate]],"USD ",""),"$","")</f>
        <v>50</v>
      </c>
      <c r="Q334">
        <v>2.5</v>
      </c>
      <c r="R334">
        <f>IF(Table1[[#This Row],[rating]]="",2.6,Table1[[#This Row],[rating]])</f>
        <v>2.5</v>
      </c>
      <c r="S334" t="b">
        <v>0</v>
      </c>
      <c r="T334" t="str">
        <f>TRIM(CLEAN(Table1[[#This Row],[is_active]]))</f>
        <v>FALSE</v>
      </c>
      <c r="U33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34" s="11" t="str">
        <f>TRIM(IF(Table1[[#This Row],[is_active3]]="Unknown","TRUE",Table1[[#This Row],[is_active3]]))</f>
        <v>TRUE</v>
      </c>
      <c r="W334">
        <v>0.93</v>
      </c>
      <c r="X334">
        <f>IF(Table1[[#This Row],[client_satisfaction]]&gt;1,Table1[[#This Row],[client_satisfaction]]/100,Table1[[#This Row],[client_satisfaction]])</f>
        <v>0.93</v>
      </c>
      <c r="Y334">
        <f>IF(Table1[[#This Row],[client_satisfaction2]]=0,0.75,Table1[[#This Row],[client_satisfaction2]])</f>
        <v>0.93</v>
      </c>
    </row>
    <row r="335" spans="1:25" x14ac:dyDescent="0.25">
      <c r="A335" t="s">
        <v>750</v>
      </c>
      <c r="B335" t="s">
        <v>751</v>
      </c>
      <c r="C335" t="str">
        <f>PROPER(TRIM(SUBSTITUTE(SUBSTITUTE(SUBSTITUTE(Table1[[#This Row],[name]],"Ms. ",""),"Mr. ",""),"Mrs. ","")))</f>
        <v>Patricia Miller</v>
      </c>
      <c r="D335" t="s">
        <v>20</v>
      </c>
      <c r="E3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35">
        <v>33</v>
      </c>
      <c r="G335" t="str">
        <f>TRIM(IF(Table1[[#This Row],[age]]="","Unknown",Table1[[#This Row],[age]]))</f>
        <v>33</v>
      </c>
      <c r="H335" t="s">
        <v>28</v>
      </c>
      <c r="I335" t="s">
        <v>29</v>
      </c>
      <c r="J335" t="s">
        <v>23</v>
      </c>
      <c r="K335">
        <v>8</v>
      </c>
      <c r="L335" s="10" t="str">
        <f>TRIM(IF(Table1[[#This Row],[years_of_experience]]="","Unknown",Table1[[#This Row],[years_of_experience]]))</f>
        <v>8</v>
      </c>
      <c r="M335" t="s">
        <v>109</v>
      </c>
      <c r="N335" t="str">
        <f>IF(Table1[[#This Row],[hourly_rate (USD)]]="",MEDIAN(Table1[hourly_rate (USD)]),Table1[[#This Row],[hourly_rate (USD)]])</f>
        <v>USD 30</v>
      </c>
      <c r="O335" t="str">
        <f>TRIM(CLEAN(Table1[[#This Row],[Updated hourly_rate (USD)]]))</f>
        <v>USD 30</v>
      </c>
      <c r="P335" t="str">
        <f>SUBSTITUTE(SUBSTITUTE(Table1[[#This Row],[Formatted hourly rate]],"USD ",""),"$","")</f>
        <v>30</v>
      </c>
      <c r="Q335">
        <v>3.6</v>
      </c>
      <c r="R335">
        <f>IF(Table1[[#This Row],[rating]]="",2.6,Table1[[#This Row],[rating]])</f>
        <v>3.6</v>
      </c>
      <c r="S335">
        <v>1</v>
      </c>
      <c r="T335" t="str">
        <f>TRIM(CLEAN(Table1[[#This Row],[is_active]]))</f>
        <v>1</v>
      </c>
      <c r="U33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35" s="11" t="str">
        <f>TRIM(IF(Table1[[#This Row],[is_active3]]="Unknown","TRUE",Table1[[#This Row],[is_active3]]))</f>
        <v>TRUE</v>
      </c>
      <c r="X335">
        <f>IF(Table1[[#This Row],[client_satisfaction]]&gt;1,Table1[[#This Row],[client_satisfaction]]/100,Table1[[#This Row],[client_satisfaction]])</f>
        <v>0</v>
      </c>
      <c r="Y335">
        <f>IF(Table1[[#This Row],[client_satisfaction2]]=0,0.75,Table1[[#This Row],[client_satisfaction2]])</f>
        <v>0.75</v>
      </c>
    </row>
    <row r="336" spans="1:25" x14ac:dyDescent="0.25">
      <c r="A336" t="s">
        <v>752</v>
      </c>
      <c r="B336" t="s">
        <v>753</v>
      </c>
      <c r="C336" t="str">
        <f>PROPER(TRIM(SUBSTITUTE(SUBSTITUTE(SUBSTITUTE(Table1[[#This Row],[name]],"Ms. ",""),"Mr. ",""),"Mrs. ","")))</f>
        <v>Rebecca Schneider</v>
      </c>
      <c r="D336" t="s">
        <v>77</v>
      </c>
      <c r="E3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36">
        <v>21</v>
      </c>
      <c r="G336" t="str">
        <f>TRIM(IF(Table1[[#This Row],[age]]="","Unknown",Table1[[#This Row],[age]]))</f>
        <v>21</v>
      </c>
      <c r="H336" t="s">
        <v>71</v>
      </c>
      <c r="I336" t="s">
        <v>72</v>
      </c>
      <c r="J336" t="s">
        <v>35</v>
      </c>
      <c r="K336">
        <v>1</v>
      </c>
      <c r="L336" s="10" t="str">
        <f>TRIM(IF(Table1[[#This Row],[years_of_experience]]="","Unknown",Table1[[#This Row],[years_of_experience]]))</f>
        <v>1</v>
      </c>
      <c r="M336" t="s">
        <v>314</v>
      </c>
      <c r="N336" t="str">
        <f>IF(Table1[[#This Row],[hourly_rate (USD)]]="",MEDIAN(Table1[hourly_rate (USD)]),Table1[[#This Row],[hourly_rate (USD)]])</f>
        <v>USD 20</v>
      </c>
      <c r="O336" t="str">
        <f>TRIM(CLEAN(Table1[[#This Row],[Updated hourly_rate (USD)]]))</f>
        <v>USD 20</v>
      </c>
      <c r="P336" t="str">
        <f>SUBSTITUTE(SUBSTITUTE(Table1[[#This Row],[Formatted hourly rate]],"USD ",""),"$","")</f>
        <v>20</v>
      </c>
      <c r="R336">
        <f>IF(Table1[[#This Row],[rating]]="",2.6,Table1[[#This Row],[rating]])</f>
        <v>2.6</v>
      </c>
      <c r="S336" t="b">
        <v>0</v>
      </c>
      <c r="T336" t="str">
        <f>TRIM(CLEAN(Table1[[#This Row],[is_active]]))</f>
        <v>FALSE</v>
      </c>
      <c r="U33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36" s="11" t="str">
        <f>TRIM(IF(Table1[[#This Row],[is_active3]]="Unknown","TRUE",Table1[[#This Row],[is_active3]]))</f>
        <v>TRUE</v>
      </c>
      <c r="W336">
        <v>0.99</v>
      </c>
      <c r="X336">
        <f>IF(Table1[[#This Row],[client_satisfaction]]&gt;1,Table1[[#This Row],[client_satisfaction]]/100,Table1[[#This Row],[client_satisfaction]])</f>
        <v>0.99</v>
      </c>
      <c r="Y336">
        <f>IF(Table1[[#This Row],[client_satisfaction2]]=0,0.75,Table1[[#This Row],[client_satisfaction2]])</f>
        <v>0.99</v>
      </c>
    </row>
    <row r="337" spans="1:25" x14ac:dyDescent="0.25">
      <c r="A337" t="s">
        <v>754</v>
      </c>
      <c r="B337" t="s">
        <v>755</v>
      </c>
      <c r="C337" t="str">
        <f>PROPER(TRIM(SUBSTITUTE(SUBSTITUTE(SUBSTITUTE(Table1[[#This Row],[name]],"Ms. ",""),"Mr. ",""),"Mrs. ","")))</f>
        <v>John Greene</v>
      </c>
      <c r="D337" t="s">
        <v>27</v>
      </c>
      <c r="E3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37">
        <v>54</v>
      </c>
      <c r="G337" t="str">
        <f>TRIM(IF(Table1[[#This Row],[age]]="","Unknown",Table1[[#This Row],[age]]))</f>
        <v>54</v>
      </c>
      <c r="H337" t="s">
        <v>67</v>
      </c>
      <c r="I337" t="s">
        <v>22</v>
      </c>
      <c r="J337" t="s">
        <v>73</v>
      </c>
      <c r="K337">
        <v>20</v>
      </c>
      <c r="L337" s="10" t="str">
        <f>TRIM(IF(Table1[[#This Row],[years_of_experience]]="","Unknown",Table1[[#This Row],[years_of_experience]]))</f>
        <v>20</v>
      </c>
      <c r="M337">
        <v>50</v>
      </c>
      <c r="N337">
        <f>IF(Table1[[#This Row],[hourly_rate (USD)]]="",MEDIAN(Table1[hourly_rate (USD)]),Table1[[#This Row],[hourly_rate (USD)]])</f>
        <v>50</v>
      </c>
      <c r="O337" t="str">
        <f>TRIM(CLEAN(Table1[[#This Row],[Updated hourly_rate (USD)]]))</f>
        <v>50</v>
      </c>
      <c r="P337" t="str">
        <f>SUBSTITUTE(SUBSTITUTE(Table1[[#This Row],[Formatted hourly rate]],"USD ",""),"$","")</f>
        <v>50</v>
      </c>
      <c r="Q337">
        <v>4.4000000000000004</v>
      </c>
      <c r="R337">
        <f>IF(Table1[[#This Row],[rating]]="",2.6,Table1[[#This Row],[rating]])</f>
        <v>4.4000000000000004</v>
      </c>
      <c r="S337">
        <v>0</v>
      </c>
      <c r="T337" t="str">
        <f>TRIM(CLEAN(Table1[[#This Row],[is_active]]))</f>
        <v>0</v>
      </c>
      <c r="U3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37" s="11" t="str">
        <f>TRIM(IF(Table1[[#This Row],[is_active3]]="Unknown","TRUE",Table1[[#This Row],[is_active3]]))</f>
        <v>FALSE</v>
      </c>
      <c r="W337">
        <v>73</v>
      </c>
      <c r="X337">
        <f>IF(Table1[[#This Row],[client_satisfaction]]&gt;1,Table1[[#This Row],[client_satisfaction]]/100,Table1[[#This Row],[client_satisfaction]])</f>
        <v>0.73</v>
      </c>
      <c r="Y337">
        <f>IF(Table1[[#This Row],[client_satisfaction2]]=0,0.75,Table1[[#This Row],[client_satisfaction2]])</f>
        <v>0.73</v>
      </c>
    </row>
    <row r="338" spans="1:25" x14ac:dyDescent="0.25">
      <c r="A338" t="s">
        <v>756</v>
      </c>
      <c r="B338" t="s">
        <v>757</v>
      </c>
      <c r="C338" t="str">
        <f>PROPER(TRIM(SUBSTITUTE(SUBSTITUTE(SUBSTITUTE(Table1[[#This Row],[name]],"Ms. ",""),"Mr. ",""),"Mrs. ","")))</f>
        <v>Brittany Mcdowell</v>
      </c>
      <c r="D338" t="s">
        <v>77</v>
      </c>
      <c r="E3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38">
        <v>33</v>
      </c>
      <c r="G338" t="str">
        <f>TRIM(IF(Table1[[#This Row],[age]]="","Unknown",Table1[[#This Row],[age]]))</f>
        <v>33</v>
      </c>
      <c r="H338" t="s">
        <v>58</v>
      </c>
      <c r="I338" t="s">
        <v>22</v>
      </c>
      <c r="J338" t="s">
        <v>30</v>
      </c>
      <c r="K338">
        <v>11</v>
      </c>
      <c r="L338" s="10" t="str">
        <f>TRIM(IF(Table1[[#This Row],[years_of_experience]]="","Unknown",Table1[[#This Row],[years_of_experience]]))</f>
        <v>11</v>
      </c>
      <c r="M338">
        <v>75</v>
      </c>
      <c r="N338">
        <f>IF(Table1[[#This Row],[hourly_rate (USD)]]="",MEDIAN(Table1[hourly_rate (USD)]),Table1[[#This Row],[hourly_rate (USD)]])</f>
        <v>75</v>
      </c>
      <c r="O338" t="str">
        <f>TRIM(CLEAN(Table1[[#This Row],[Updated hourly_rate (USD)]]))</f>
        <v>75</v>
      </c>
      <c r="P338" t="str">
        <f>SUBSTITUTE(SUBSTITUTE(Table1[[#This Row],[Formatted hourly rate]],"USD ",""),"$","")</f>
        <v>75</v>
      </c>
      <c r="Q338">
        <v>2.1</v>
      </c>
      <c r="R338">
        <f>IF(Table1[[#This Row],[rating]]="",2.6,Table1[[#This Row],[rating]])</f>
        <v>2.1</v>
      </c>
      <c r="S338">
        <v>0</v>
      </c>
      <c r="T338" t="str">
        <f>TRIM(CLEAN(Table1[[#This Row],[is_active]]))</f>
        <v>0</v>
      </c>
      <c r="U3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38" s="11" t="str">
        <f>TRIM(IF(Table1[[#This Row],[is_active3]]="Unknown","TRUE",Table1[[#This Row],[is_active3]]))</f>
        <v>FALSE</v>
      </c>
      <c r="W338">
        <v>0.96</v>
      </c>
      <c r="X338">
        <f>IF(Table1[[#This Row],[client_satisfaction]]&gt;1,Table1[[#This Row],[client_satisfaction]]/100,Table1[[#This Row],[client_satisfaction]])</f>
        <v>0.96</v>
      </c>
      <c r="Y338">
        <f>IF(Table1[[#This Row],[client_satisfaction2]]=0,0.75,Table1[[#This Row],[client_satisfaction2]])</f>
        <v>0.96</v>
      </c>
    </row>
    <row r="339" spans="1:25" x14ac:dyDescent="0.25">
      <c r="A339" t="s">
        <v>758</v>
      </c>
      <c r="B339" t="s">
        <v>759</v>
      </c>
      <c r="C339" t="str">
        <f>PROPER(TRIM(SUBSTITUTE(SUBSTITUTE(SUBSTITUTE(Table1[[#This Row],[name]],"Ms. ",""),"Mr. ",""),"Mrs. ","")))</f>
        <v>Lori Miller</v>
      </c>
      <c r="D339" t="s">
        <v>77</v>
      </c>
      <c r="E3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39">
        <v>57</v>
      </c>
      <c r="G339" t="str">
        <f>TRIM(IF(Table1[[#This Row],[age]]="","Unknown",Table1[[#This Row],[age]]))</f>
        <v>57</v>
      </c>
      <c r="H339" t="s">
        <v>62</v>
      </c>
      <c r="I339" t="s">
        <v>63</v>
      </c>
      <c r="J339" t="s">
        <v>51</v>
      </c>
      <c r="K339">
        <v>2</v>
      </c>
      <c r="L339" s="10" t="str">
        <f>TRIM(IF(Table1[[#This Row],[years_of_experience]]="","Unknown",Table1[[#This Row],[years_of_experience]]))</f>
        <v>2</v>
      </c>
      <c r="M339">
        <v>40</v>
      </c>
      <c r="N339">
        <f>IF(Table1[[#This Row],[hourly_rate (USD)]]="",MEDIAN(Table1[hourly_rate (USD)]),Table1[[#This Row],[hourly_rate (USD)]])</f>
        <v>40</v>
      </c>
      <c r="O339" t="str">
        <f>TRIM(CLEAN(Table1[[#This Row],[Updated hourly_rate (USD)]]))</f>
        <v>40</v>
      </c>
      <c r="P339" t="str">
        <f>SUBSTITUTE(SUBSTITUTE(Table1[[#This Row],[Formatted hourly rate]],"USD ",""),"$","")</f>
        <v>40</v>
      </c>
      <c r="Q339">
        <v>0</v>
      </c>
      <c r="R339">
        <f>IF(Table1[[#This Row],[rating]]="",2.6,Table1[[#This Row],[rating]])</f>
        <v>0</v>
      </c>
      <c r="S339" t="b">
        <v>0</v>
      </c>
      <c r="T339" t="str">
        <f>TRIM(CLEAN(Table1[[#This Row],[is_active]]))</f>
        <v>FALSE</v>
      </c>
      <c r="U33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39" s="11" t="str">
        <f>TRIM(IF(Table1[[#This Row],[is_active3]]="Unknown","TRUE",Table1[[#This Row],[is_active3]]))</f>
        <v>TRUE</v>
      </c>
      <c r="W339">
        <v>0.6</v>
      </c>
      <c r="X339">
        <f>IF(Table1[[#This Row],[client_satisfaction]]&gt;1,Table1[[#This Row],[client_satisfaction]]/100,Table1[[#This Row],[client_satisfaction]])</f>
        <v>0.6</v>
      </c>
      <c r="Y339">
        <f>IF(Table1[[#This Row],[client_satisfaction2]]=0,0.75,Table1[[#This Row],[client_satisfaction2]])</f>
        <v>0.6</v>
      </c>
    </row>
    <row r="340" spans="1:25" x14ac:dyDescent="0.25">
      <c r="A340" t="s">
        <v>760</v>
      </c>
      <c r="B340" t="s">
        <v>761</v>
      </c>
      <c r="C340" t="str">
        <f>PROPER(TRIM(SUBSTITUTE(SUBSTITUTE(SUBSTITUTE(Table1[[#This Row],[name]],"Ms. ",""),"Mr. ",""),"Mrs. ","")))</f>
        <v>Joseph Robinson</v>
      </c>
      <c r="D340" t="s">
        <v>92</v>
      </c>
      <c r="E3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40">
        <v>36</v>
      </c>
      <c r="G340" t="str">
        <f>TRIM(IF(Table1[[#This Row],[age]]="","Unknown",Table1[[#This Row],[age]]))</f>
        <v>36</v>
      </c>
      <c r="H340" t="s">
        <v>112</v>
      </c>
      <c r="I340" t="s">
        <v>113</v>
      </c>
      <c r="J340" t="s">
        <v>30</v>
      </c>
      <c r="K340">
        <v>6</v>
      </c>
      <c r="L340" s="10" t="str">
        <f>TRIM(IF(Table1[[#This Row],[years_of_experience]]="","Unknown",Table1[[#This Row],[years_of_experience]]))</f>
        <v>6</v>
      </c>
      <c r="M340">
        <v>20</v>
      </c>
      <c r="N340">
        <f>IF(Table1[[#This Row],[hourly_rate (USD)]]="",MEDIAN(Table1[hourly_rate (USD)]),Table1[[#This Row],[hourly_rate (USD)]])</f>
        <v>20</v>
      </c>
      <c r="O340" t="str">
        <f>TRIM(CLEAN(Table1[[#This Row],[Updated hourly_rate (USD)]]))</f>
        <v>20</v>
      </c>
      <c r="P340" t="str">
        <f>SUBSTITUTE(SUBSTITUTE(Table1[[#This Row],[Formatted hourly rate]],"USD ",""),"$","")</f>
        <v>20</v>
      </c>
      <c r="Q340">
        <v>1</v>
      </c>
      <c r="R340">
        <f>IF(Table1[[#This Row],[rating]]="",2.6,Table1[[#This Row],[rating]])</f>
        <v>1</v>
      </c>
      <c r="S340" t="s">
        <v>74</v>
      </c>
      <c r="T340" t="str">
        <f>TRIM(CLEAN(Table1[[#This Row],[is_active]]))</f>
        <v>Y</v>
      </c>
      <c r="U34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40" s="11" t="str">
        <f>TRIM(IF(Table1[[#This Row],[is_active3]]="Unknown","TRUE",Table1[[#This Row],[is_active3]]))</f>
        <v>TRUE</v>
      </c>
      <c r="W340">
        <v>0.64</v>
      </c>
      <c r="X340">
        <f>IF(Table1[[#This Row],[client_satisfaction]]&gt;1,Table1[[#This Row],[client_satisfaction]]/100,Table1[[#This Row],[client_satisfaction]])</f>
        <v>0.64</v>
      </c>
      <c r="Y340">
        <f>IF(Table1[[#This Row],[client_satisfaction2]]=0,0.75,Table1[[#This Row],[client_satisfaction2]])</f>
        <v>0.64</v>
      </c>
    </row>
    <row r="341" spans="1:25" x14ac:dyDescent="0.25">
      <c r="A341" t="s">
        <v>762</v>
      </c>
      <c r="B341" t="s">
        <v>763</v>
      </c>
      <c r="C341" t="str">
        <f>PROPER(TRIM(SUBSTITUTE(SUBSTITUTE(SUBSTITUTE(Table1[[#This Row],[name]],"Ms. ",""),"Mr. ",""),"Mrs. ","")))</f>
        <v>Aaron Pruitt</v>
      </c>
      <c r="D341" t="s">
        <v>97</v>
      </c>
      <c r="E3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41">
        <v>50</v>
      </c>
      <c r="G341" t="str">
        <f>TRIM(IF(Table1[[#This Row],[age]]="","Unknown",Table1[[#This Row],[age]]))</f>
        <v>50</v>
      </c>
      <c r="H341" t="s">
        <v>28</v>
      </c>
      <c r="I341" t="s">
        <v>29</v>
      </c>
      <c r="J341" t="s">
        <v>17</v>
      </c>
      <c r="K341">
        <v>20</v>
      </c>
      <c r="L341" s="10" t="str">
        <f>TRIM(IF(Table1[[#This Row],[years_of_experience]]="","Unknown",Table1[[#This Row],[years_of_experience]]))</f>
        <v>20</v>
      </c>
      <c r="M341" t="s">
        <v>109</v>
      </c>
      <c r="N341" t="str">
        <f>IF(Table1[[#This Row],[hourly_rate (USD)]]="",MEDIAN(Table1[hourly_rate (USD)]),Table1[[#This Row],[hourly_rate (USD)]])</f>
        <v>USD 30</v>
      </c>
      <c r="O341" t="str">
        <f>TRIM(CLEAN(Table1[[#This Row],[Updated hourly_rate (USD)]]))</f>
        <v>USD 30</v>
      </c>
      <c r="P341" t="str">
        <f>SUBSTITUTE(SUBSTITUTE(Table1[[#This Row],[Formatted hourly rate]],"USD ",""),"$","")</f>
        <v>30</v>
      </c>
      <c r="Q341">
        <v>0</v>
      </c>
      <c r="R341">
        <f>IF(Table1[[#This Row],[rating]]="",2.6,Table1[[#This Row],[rating]])</f>
        <v>0</v>
      </c>
      <c r="S341">
        <v>0</v>
      </c>
      <c r="T341" t="str">
        <f>TRIM(CLEAN(Table1[[#This Row],[is_active]]))</f>
        <v>0</v>
      </c>
      <c r="U34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41" s="11" t="str">
        <f>TRIM(IF(Table1[[#This Row],[is_active3]]="Unknown","TRUE",Table1[[#This Row],[is_active3]]))</f>
        <v>FALSE</v>
      </c>
      <c r="X341">
        <f>IF(Table1[[#This Row],[client_satisfaction]]&gt;1,Table1[[#This Row],[client_satisfaction]]/100,Table1[[#This Row],[client_satisfaction]])</f>
        <v>0</v>
      </c>
      <c r="Y341">
        <f>IF(Table1[[#This Row],[client_satisfaction2]]=0,0.75,Table1[[#This Row],[client_satisfaction2]])</f>
        <v>0.75</v>
      </c>
    </row>
    <row r="342" spans="1:25" x14ac:dyDescent="0.25">
      <c r="A342" t="s">
        <v>764</v>
      </c>
      <c r="B342" t="s">
        <v>765</v>
      </c>
      <c r="C342" t="str">
        <f>PROPER(TRIM(SUBSTITUTE(SUBSTITUTE(SUBSTITUTE(Table1[[#This Row],[name]],"Ms. ",""),"Mr. ",""),"Mrs. ","")))</f>
        <v>Victoria Miller</v>
      </c>
      <c r="D342" t="s">
        <v>14</v>
      </c>
      <c r="E3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42">
        <v>37</v>
      </c>
      <c r="G342" t="str">
        <f>TRIM(IF(Table1[[#This Row],[age]]="","Unknown",Table1[[#This Row],[age]]))</f>
        <v>37</v>
      </c>
      <c r="H342" t="s">
        <v>128</v>
      </c>
      <c r="I342" t="s">
        <v>22</v>
      </c>
      <c r="J342" t="s">
        <v>89</v>
      </c>
      <c r="L342" s="10" t="str">
        <f>TRIM(IF(Table1[[#This Row],[years_of_experience]]="","Unknown",Table1[[#This Row],[years_of_experience]]))</f>
        <v>Unknown</v>
      </c>
      <c r="M342" t="s">
        <v>314</v>
      </c>
      <c r="N342" t="str">
        <f>IF(Table1[[#This Row],[hourly_rate (USD)]]="",MEDIAN(Table1[hourly_rate (USD)]),Table1[[#This Row],[hourly_rate (USD)]])</f>
        <v>USD 20</v>
      </c>
      <c r="O342" t="str">
        <f>TRIM(CLEAN(Table1[[#This Row],[Updated hourly_rate (USD)]]))</f>
        <v>USD 20</v>
      </c>
      <c r="P342" t="str">
        <f>SUBSTITUTE(SUBSTITUTE(Table1[[#This Row],[Formatted hourly rate]],"USD ",""),"$","")</f>
        <v>20</v>
      </c>
      <c r="Q342">
        <v>4.9000000000000004</v>
      </c>
      <c r="R342">
        <f>IF(Table1[[#This Row],[rating]]="",2.6,Table1[[#This Row],[rating]])</f>
        <v>4.9000000000000004</v>
      </c>
      <c r="S342" t="s">
        <v>31</v>
      </c>
      <c r="T342" t="str">
        <f>TRIM(CLEAN(Table1[[#This Row],[is_active]]))</f>
        <v>N</v>
      </c>
      <c r="U34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42" s="11" t="str">
        <f>TRIM(IF(Table1[[#This Row],[is_active3]]="Unknown","TRUE",Table1[[#This Row],[is_active3]]))</f>
        <v>FALSE</v>
      </c>
      <c r="X342">
        <f>IF(Table1[[#This Row],[client_satisfaction]]&gt;1,Table1[[#This Row],[client_satisfaction]]/100,Table1[[#This Row],[client_satisfaction]])</f>
        <v>0</v>
      </c>
      <c r="Y342">
        <f>IF(Table1[[#This Row],[client_satisfaction2]]=0,0.75,Table1[[#This Row],[client_satisfaction2]])</f>
        <v>0.75</v>
      </c>
    </row>
    <row r="343" spans="1:25" x14ac:dyDescent="0.25">
      <c r="A343" t="s">
        <v>766</v>
      </c>
      <c r="B343" t="s">
        <v>767</v>
      </c>
      <c r="C343" t="str">
        <f>PROPER(TRIM(SUBSTITUTE(SUBSTITUTE(SUBSTITUTE(Table1[[#This Row],[name]],"Ms. ",""),"Mr. ",""),"Mrs. ","")))</f>
        <v>Clarence Vega</v>
      </c>
      <c r="D343" t="s">
        <v>92</v>
      </c>
      <c r="E3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43">
        <v>53</v>
      </c>
      <c r="G343" t="str">
        <f>TRIM(IF(Table1[[#This Row],[age]]="","Unknown",Table1[[#This Row],[age]]))</f>
        <v>53</v>
      </c>
      <c r="H343" t="s">
        <v>15</v>
      </c>
      <c r="I343" t="s">
        <v>16</v>
      </c>
      <c r="J343" t="s">
        <v>44</v>
      </c>
      <c r="K343">
        <v>4</v>
      </c>
      <c r="L343" s="10" t="str">
        <f>TRIM(IF(Table1[[#This Row],[years_of_experience]]="","Unknown",Table1[[#This Row],[years_of_experience]]))</f>
        <v>4</v>
      </c>
      <c r="M343">
        <v>30</v>
      </c>
      <c r="N343">
        <f>IF(Table1[[#This Row],[hourly_rate (USD)]]="",MEDIAN(Table1[hourly_rate (USD)]),Table1[[#This Row],[hourly_rate (USD)]])</f>
        <v>30</v>
      </c>
      <c r="O343" t="str">
        <f>TRIM(CLEAN(Table1[[#This Row],[Updated hourly_rate (USD)]]))</f>
        <v>30</v>
      </c>
      <c r="P343" t="str">
        <f>SUBSTITUTE(SUBSTITUTE(Table1[[#This Row],[Formatted hourly rate]],"USD ",""),"$","")</f>
        <v>30</v>
      </c>
      <c r="Q343">
        <v>4.7</v>
      </c>
      <c r="R343">
        <f>IF(Table1[[#This Row],[rating]]="",2.6,Table1[[#This Row],[rating]])</f>
        <v>4.7</v>
      </c>
      <c r="S343" t="s">
        <v>159</v>
      </c>
      <c r="T343" t="str">
        <f>TRIM(CLEAN(Table1[[#This Row],[is_active]]))</f>
        <v>no</v>
      </c>
      <c r="U34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43" s="11" t="str">
        <f>TRIM(IF(Table1[[#This Row],[is_active3]]="Unknown","TRUE",Table1[[#This Row],[is_active3]]))</f>
        <v>FALSE</v>
      </c>
      <c r="W343">
        <v>0.99</v>
      </c>
      <c r="X343">
        <f>IF(Table1[[#This Row],[client_satisfaction]]&gt;1,Table1[[#This Row],[client_satisfaction]]/100,Table1[[#This Row],[client_satisfaction]])</f>
        <v>0.99</v>
      </c>
      <c r="Y343">
        <f>IF(Table1[[#This Row],[client_satisfaction2]]=0,0.75,Table1[[#This Row],[client_satisfaction2]])</f>
        <v>0.99</v>
      </c>
    </row>
    <row r="344" spans="1:25" x14ac:dyDescent="0.25">
      <c r="A344" t="s">
        <v>768</v>
      </c>
      <c r="B344" t="s">
        <v>769</v>
      </c>
      <c r="C344" t="str">
        <f>PROPER(TRIM(SUBSTITUTE(SUBSTITUTE(SUBSTITUTE(Table1[[#This Row],[name]],"Ms. ",""),"Mr. ",""),"Mrs. ","")))</f>
        <v>Deborah Day</v>
      </c>
      <c r="D344" t="s">
        <v>77</v>
      </c>
      <c r="E3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44">
        <v>22</v>
      </c>
      <c r="G344" t="str">
        <f>TRIM(IF(Table1[[#This Row],[age]]="","Unknown",Table1[[#This Row],[age]]))</f>
        <v>22</v>
      </c>
      <c r="H344" t="s">
        <v>15</v>
      </c>
      <c r="I344" t="s">
        <v>16</v>
      </c>
      <c r="J344" t="s">
        <v>17</v>
      </c>
      <c r="K344">
        <v>3</v>
      </c>
      <c r="L344" s="10" t="str">
        <f>TRIM(IF(Table1[[#This Row],[years_of_experience]]="","Unknown",Table1[[#This Row],[years_of_experience]]))</f>
        <v>3</v>
      </c>
      <c r="M344" t="s">
        <v>55</v>
      </c>
      <c r="N344" t="str">
        <f>IF(Table1[[#This Row],[hourly_rate (USD)]]="",MEDIAN(Table1[hourly_rate (USD)]),Table1[[#This Row],[hourly_rate (USD)]])</f>
        <v>USD 40</v>
      </c>
      <c r="O344" t="str">
        <f>TRIM(CLEAN(Table1[[#This Row],[Updated hourly_rate (USD)]]))</f>
        <v>USD 40</v>
      </c>
      <c r="P344" t="str">
        <f>SUBSTITUTE(SUBSTITUTE(Table1[[#This Row],[Formatted hourly rate]],"USD ",""),"$","")</f>
        <v>40</v>
      </c>
      <c r="Q344">
        <v>2.1</v>
      </c>
      <c r="R344">
        <f>IF(Table1[[#This Row],[rating]]="",2.6,Table1[[#This Row],[rating]])</f>
        <v>2.1</v>
      </c>
      <c r="S344">
        <v>0</v>
      </c>
      <c r="T344" t="str">
        <f>TRIM(CLEAN(Table1[[#This Row],[is_active]]))</f>
        <v>0</v>
      </c>
      <c r="U3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44" s="11" t="str">
        <f>TRIM(IF(Table1[[#This Row],[is_active3]]="Unknown","TRUE",Table1[[#This Row],[is_active3]]))</f>
        <v>FALSE</v>
      </c>
      <c r="X344">
        <f>IF(Table1[[#This Row],[client_satisfaction]]&gt;1,Table1[[#This Row],[client_satisfaction]]/100,Table1[[#This Row],[client_satisfaction]])</f>
        <v>0</v>
      </c>
      <c r="Y344">
        <f>IF(Table1[[#This Row],[client_satisfaction2]]=0,0.75,Table1[[#This Row],[client_satisfaction2]])</f>
        <v>0.75</v>
      </c>
    </row>
    <row r="345" spans="1:25" x14ac:dyDescent="0.25">
      <c r="A345" t="s">
        <v>770</v>
      </c>
      <c r="B345" t="s">
        <v>771</v>
      </c>
      <c r="C345" t="str">
        <f>PROPER(TRIM(SUBSTITUTE(SUBSTITUTE(SUBSTITUTE(Table1[[#This Row],[name]],"Ms. ",""),"Mr. ",""),"Mrs. ","")))</f>
        <v>Nicole Rocha</v>
      </c>
      <c r="D345" t="s">
        <v>77</v>
      </c>
      <c r="E3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45">
        <v>55</v>
      </c>
      <c r="G345" t="str">
        <f>TRIM(IF(Table1[[#This Row],[age]]="","Unknown",Table1[[#This Row],[age]]))</f>
        <v>55</v>
      </c>
      <c r="H345" t="s">
        <v>42</v>
      </c>
      <c r="I345" t="s">
        <v>43</v>
      </c>
      <c r="J345" t="s">
        <v>23</v>
      </c>
      <c r="K345">
        <v>33</v>
      </c>
      <c r="L345" s="10" t="str">
        <f>TRIM(IF(Table1[[#This Row],[years_of_experience]]="","Unknown",Table1[[#This Row],[years_of_experience]]))</f>
        <v>33</v>
      </c>
      <c r="M345">
        <v>40</v>
      </c>
      <c r="N345">
        <f>IF(Table1[[#This Row],[hourly_rate (USD)]]="",MEDIAN(Table1[hourly_rate (USD)]),Table1[[#This Row],[hourly_rate (USD)]])</f>
        <v>40</v>
      </c>
      <c r="O345" t="str">
        <f>TRIM(CLEAN(Table1[[#This Row],[Updated hourly_rate (USD)]]))</f>
        <v>40</v>
      </c>
      <c r="P345" t="str">
        <f>SUBSTITUTE(SUBSTITUTE(Table1[[#This Row],[Formatted hourly rate]],"USD ",""),"$","")</f>
        <v>40</v>
      </c>
      <c r="Q345">
        <v>1.5</v>
      </c>
      <c r="R345">
        <f>IF(Table1[[#This Row],[rating]]="",2.6,Table1[[#This Row],[rating]])</f>
        <v>1.5</v>
      </c>
      <c r="S345" t="s">
        <v>74</v>
      </c>
      <c r="T345" t="str">
        <f>TRIM(CLEAN(Table1[[#This Row],[is_active]]))</f>
        <v>Y</v>
      </c>
      <c r="U34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45" s="11" t="str">
        <f>TRIM(IF(Table1[[#This Row],[is_active3]]="Unknown","TRUE",Table1[[#This Row],[is_active3]]))</f>
        <v>TRUE</v>
      </c>
      <c r="W345">
        <v>0.71</v>
      </c>
      <c r="X345">
        <f>IF(Table1[[#This Row],[client_satisfaction]]&gt;1,Table1[[#This Row],[client_satisfaction]]/100,Table1[[#This Row],[client_satisfaction]])</f>
        <v>0.71</v>
      </c>
      <c r="Y345">
        <f>IF(Table1[[#This Row],[client_satisfaction2]]=0,0.75,Table1[[#This Row],[client_satisfaction2]])</f>
        <v>0.71</v>
      </c>
    </row>
    <row r="346" spans="1:25" x14ac:dyDescent="0.25">
      <c r="A346" t="s">
        <v>772</v>
      </c>
      <c r="B346" t="s">
        <v>773</v>
      </c>
      <c r="C346" t="str">
        <f>PROPER(TRIM(SUBSTITUTE(SUBSTITUTE(SUBSTITUTE(Table1[[#This Row],[name]],"Ms. ",""),"Mr. ",""),"Mrs. ","")))</f>
        <v>Elijah Green</v>
      </c>
      <c r="D346" t="s">
        <v>61</v>
      </c>
      <c r="E3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46">
        <v>22</v>
      </c>
      <c r="G346" t="str">
        <f>TRIM(IF(Table1[[#This Row],[age]]="","Unknown",Table1[[#This Row],[age]]))</f>
        <v>22</v>
      </c>
      <c r="H346" t="s">
        <v>21</v>
      </c>
      <c r="I346" t="s">
        <v>22</v>
      </c>
      <c r="J346" t="s">
        <v>78</v>
      </c>
      <c r="K346">
        <v>1</v>
      </c>
      <c r="L346" s="10" t="str">
        <f>TRIM(IF(Table1[[#This Row],[years_of_experience]]="","Unknown",Table1[[#This Row],[years_of_experience]]))</f>
        <v>1</v>
      </c>
      <c r="N346">
        <f>IF(Table1[[#This Row],[hourly_rate (USD)]]="",MEDIAN(Table1[hourly_rate (USD)]),Table1[[#This Row],[hourly_rate (USD)]])</f>
        <v>50</v>
      </c>
      <c r="O346" t="str">
        <f>TRIM(CLEAN(Table1[[#This Row],[Updated hourly_rate (USD)]]))</f>
        <v>50</v>
      </c>
      <c r="P346" t="str">
        <f>SUBSTITUTE(SUBSTITUTE(Table1[[#This Row],[Formatted hourly rate]],"USD ",""),"$","")</f>
        <v>50</v>
      </c>
      <c r="Q346">
        <v>2.6</v>
      </c>
      <c r="R346">
        <f>IF(Table1[[#This Row],[rating]]="",2.6,Table1[[#This Row],[rating]])</f>
        <v>2.6</v>
      </c>
      <c r="S346">
        <v>0</v>
      </c>
      <c r="T346" t="str">
        <f>TRIM(CLEAN(Table1[[#This Row],[is_active]]))</f>
        <v>0</v>
      </c>
      <c r="U34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46" s="11" t="str">
        <f>TRIM(IF(Table1[[#This Row],[is_active3]]="Unknown","TRUE",Table1[[#This Row],[is_active3]]))</f>
        <v>FALSE</v>
      </c>
      <c r="W346">
        <v>0.72</v>
      </c>
      <c r="X346">
        <f>IF(Table1[[#This Row],[client_satisfaction]]&gt;1,Table1[[#This Row],[client_satisfaction]]/100,Table1[[#This Row],[client_satisfaction]])</f>
        <v>0.72</v>
      </c>
      <c r="Y346">
        <f>IF(Table1[[#This Row],[client_satisfaction2]]=0,0.75,Table1[[#This Row],[client_satisfaction2]])</f>
        <v>0.72</v>
      </c>
    </row>
    <row r="347" spans="1:25" x14ac:dyDescent="0.25">
      <c r="A347" t="s">
        <v>774</v>
      </c>
      <c r="B347" t="s">
        <v>775</v>
      </c>
      <c r="C347" t="str">
        <f>PROPER(TRIM(SUBSTITUTE(SUBSTITUTE(SUBSTITUTE(Table1[[#This Row],[name]],"Ms. ",""),"Mr. ",""),"Mrs. ","")))</f>
        <v>Emily Johnson</v>
      </c>
      <c r="D347" t="s">
        <v>14</v>
      </c>
      <c r="E3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47">
        <v>45</v>
      </c>
      <c r="G347" t="str">
        <f>TRIM(IF(Table1[[#This Row],[age]]="","Unknown",Table1[[#This Row],[age]]))</f>
        <v>45</v>
      </c>
      <c r="H347" t="s">
        <v>62</v>
      </c>
      <c r="I347" t="s">
        <v>63</v>
      </c>
      <c r="J347" t="s">
        <v>35</v>
      </c>
      <c r="K347">
        <v>23</v>
      </c>
      <c r="L347" s="10" t="str">
        <f>TRIM(IF(Table1[[#This Row],[years_of_experience]]="","Unknown",Table1[[#This Row],[years_of_experience]]))</f>
        <v>23</v>
      </c>
      <c r="M347" t="s">
        <v>98</v>
      </c>
      <c r="N347" t="str">
        <f>IF(Table1[[#This Row],[hourly_rate (USD)]]="",MEDIAN(Table1[hourly_rate (USD)]),Table1[[#This Row],[hourly_rate (USD)]])</f>
        <v>USD 50</v>
      </c>
      <c r="O347" t="str">
        <f>TRIM(CLEAN(Table1[[#This Row],[Updated hourly_rate (USD)]]))</f>
        <v>USD 50</v>
      </c>
      <c r="P347" t="str">
        <f>SUBSTITUTE(SUBSTITUTE(Table1[[#This Row],[Formatted hourly rate]],"USD ",""),"$","")</f>
        <v>50</v>
      </c>
      <c r="Q347">
        <v>0</v>
      </c>
      <c r="R347">
        <f>IF(Table1[[#This Row],[rating]]="",2.6,Table1[[#This Row],[rating]])</f>
        <v>0</v>
      </c>
      <c r="S347">
        <v>0</v>
      </c>
      <c r="T347" t="str">
        <f>TRIM(CLEAN(Table1[[#This Row],[is_active]]))</f>
        <v>0</v>
      </c>
      <c r="U3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47" s="11" t="str">
        <f>TRIM(IF(Table1[[#This Row],[is_active3]]="Unknown","TRUE",Table1[[#This Row],[is_active3]]))</f>
        <v>FALSE</v>
      </c>
      <c r="W347">
        <v>0.66</v>
      </c>
      <c r="X347">
        <f>IF(Table1[[#This Row],[client_satisfaction]]&gt;1,Table1[[#This Row],[client_satisfaction]]/100,Table1[[#This Row],[client_satisfaction]])</f>
        <v>0.66</v>
      </c>
      <c r="Y347">
        <f>IF(Table1[[#This Row],[client_satisfaction2]]=0,0.75,Table1[[#This Row],[client_satisfaction2]])</f>
        <v>0.66</v>
      </c>
    </row>
    <row r="348" spans="1:25" x14ac:dyDescent="0.25">
      <c r="A348" t="s">
        <v>776</v>
      </c>
      <c r="B348" t="s">
        <v>777</v>
      </c>
      <c r="C348" t="str">
        <f>PROPER(TRIM(SUBSTITUTE(SUBSTITUTE(SUBSTITUTE(Table1[[#This Row],[name]],"Ms. ",""),"Mr. ",""),"Mrs. ","")))</f>
        <v>Richard Velasquez Jr.</v>
      </c>
      <c r="D348" t="s">
        <v>92</v>
      </c>
      <c r="E3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48">
        <v>36</v>
      </c>
      <c r="G348" t="str">
        <f>TRIM(IF(Table1[[#This Row],[age]]="","Unknown",Table1[[#This Row],[age]]))</f>
        <v>36</v>
      </c>
      <c r="H348" t="s">
        <v>135</v>
      </c>
      <c r="I348" t="s">
        <v>136</v>
      </c>
      <c r="J348" t="s">
        <v>51</v>
      </c>
      <c r="K348">
        <v>13</v>
      </c>
      <c r="L348" s="10" t="str">
        <f>TRIM(IF(Table1[[#This Row],[years_of_experience]]="","Unknown",Table1[[#This Row],[years_of_experience]]))</f>
        <v>13</v>
      </c>
      <c r="M348">
        <v>40</v>
      </c>
      <c r="N348">
        <f>IF(Table1[[#This Row],[hourly_rate (USD)]]="",MEDIAN(Table1[hourly_rate (USD)]),Table1[[#This Row],[hourly_rate (USD)]])</f>
        <v>40</v>
      </c>
      <c r="O348" t="str">
        <f>TRIM(CLEAN(Table1[[#This Row],[Updated hourly_rate (USD)]]))</f>
        <v>40</v>
      </c>
      <c r="P348" t="str">
        <f>SUBSTITUTE(SUBSTITUTE(Table1[[#This Row],[Formatted hourly rate]],"USD ",""),"$","")</f>
        <v>40</v>
      </c>
      <c r="R348">
        <f>IF(Table1[[#This Row],[rating]]="",2.6,Table1[[#This Row],[rating]])</f>
        <v>2.6</v>
      </c>
      <c r="S348" t="s">
        <v>31</v>
      </c>
      <c r="T348" t="str">
        <f>TRIM(CLEAN(Table1[[#This Row],[is_active]]))</f>
        <v>N</v>
      </c>
      <c r="U34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48" s="11" t="str">
        <f>TRIM(IF(Table1[[#This Row],[is_active3]]="Unknown","TRUE",Table1[[#This Row],[is_active3]]))</f>
        <v>FALSE</v>
      </c>
      <c r="W348">
        <v>0.78</v>
      </c>
      <c r="X348">
        <f>IF(Table1[[#This Row],[client_satisfaction]]&gt;1,Table1[[#This Row],[client_satisfaction]]/100,Table1[[#This Row],[client_satisfaction]])</f>
        <v>0.78</v>
      </c>
      <c r="Y348">
        <f>IF(Table1[[#This Row],[client_satisfaction2]]=0,0.75,Table1[[#This Row],[client_satisfaction2]])</f>
        <v>0.78</v>
      </c>
    </row>
    <row r="349" spans="1:25" x14ac:dyDescent="0.25">
      <c r="A349" t="s">
        <v>778</v>
      </c>
      <c r="B349" t="s">
        <v>779</v>
      </c>
      <c r="C349" t="str">
        <f>PROPER(TRIM(SUBSTITUTE(SUBSTITUTE(SUBSTITUTE(Table1[[#This Row],[name]],"Ms. ",""),"Mr. ",""),"Mrs. ","")))</f>
        <v>Kurt Wilson</v>
      </c>
      <c r="D349" t="s">
        <v>48</v>
      </c>
      <c r="E3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49">
        <v>23</v>
      </c>
      <c r="G349" t="str">
        <f>TRIM(IF(Table1[[#This Row],[age]]="","Unknown",Table1[[#This Row],[age]]))</f>
        <v>23</v>
      </c>
      <c r="H349" t="s">
        <v>21</v>
      </c>
      <c r="I349" t="s">
        <v>22</v>
      </c>
      <c r="J349" t="s">
        <v>89</v>
      </c>
      <c r="K349">
        <v>1</v>
      </c>
      <c r="L349" s="10" t="str">
        <f>TRIM(IF(Table1[[#This Row],[years_of_experience]]="","Unknown",Table1[[#This Row],[years_of_experience]]))</f>
        <v>1</v>
      </c>
      <c r="M349" t="s">
        <v>314</v>
      </c>
      <c r="N349" t="str">
        <f>IF(Table1[[#This Row],[hourly_rate (USD)]]="",MEDIAN(Table1[hourly_rate (USD)]),Table1[[#This Row],[hourly_rate (USD)]])</f>
        <v>USD 20</v>
      </c>
      <c r="O349" t="str">
        <f>TRIM(CLEAN(Table1[[#This Row],[Updated hourly_rate (USD)]]))</f>
        <v>USD 20</v>
      </c>
      <c r="P349" t="str">
        <f>SUBSTITUTE(SUBSTITUTE(Table1[[#This Row],[Formatted hourly rate]],"USD ",""),"$","")</f>
        <v>20</v>
      </c>
      <c r="Q349">
        <v>4</v>
      </c>
      <c r="R349">
        <f>IF(Table1[[#This Row],[rating]]="",2.6,Table1[[#This Row],[rating]])</f>
        <v>4</v>
      </c>
      <c r="S349" t="s">
        <v>74</v>
      </c>
      <c r="T349" t="str">
        <f>TRIM(CLEAN(Table1[[#This Row],[is_active]]))</f>
        <v>Y</v>
      </c>
      <c r="U3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49" s="11" t="str">
        <f>TRIM(IF(Table1[[#This Row],[is_active3]]="Unknown","TRUE",Table1[[#This Row],[is_active3]]))</f>
        <v>TRUE</v>
      </c>
      <c r="W349">
        <v>100</v>
      </c>
      <c r="X349">
        <f>IF(Table1[[#This Row],[client_satisfaction]]&gt;1,Table1[[#This Row],[client_satisfaction]]/100,Table1[[#This Row],[client_satisfaction]])</f>
        <v>1</v>
      </c>
      <c r="Y349">
        <f>IF(Table1[[#This Row],[client_satisfaction2]]=0,0.75,Table1[[#This Row],[client_satisfaction2]])</f>
        <v>1</v>
      </c>
    </row>
    <row r="350" spans="1:25" x14ac:dyDescent="0.25">
      <c r="A350" t="s">
        <v>780</v>
      </c>
      <c r="B350" t="s">
        <v>781</v>
      </c>
      <c r="C350" t="str">
        <f>PROPER(TRIM(SUBSTITUTE(SUBSTITUTE(SUBSTITUTE(Table1[[#This Row],[name]],"Ms. ",""),"Mr. ",""),"Mrs. ","")))</f>
        <v>Jeremiah Rodriguez</v>
      </c>
      <c r="D350" t="s">
        <v>92</v>
      </c>
      <c r="E3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50">
        <v>55</v>
      </c>
      <c r="G350" t="str">
        <f>TRIM(IF(Table1[[#This Row],[age]]="","Unknown",Table1[[#This Row],[age]]))</f>
        <v>55</v>
      </c>
      <c r="H350" t="s">
        <v>15</v>
      </c>
      <c r="I350" t="s">
        <v>16</v>
      </c>
      <c r="J350" t="s">
        <v>89</v>
      </c>
      <c r="K350">
        <v>15</v>
      </c>
      <c r="L350" s="10" t="str">
        <f>TRIM(IF(Table1[[#This Row],[years_of_experience]]="","Unknown",Table1[[#This Row],[years_of_experience]]))</f>
        <v>15</v>
      </c>
      <c r="M350">
        <v>40</v>
      </c>
      <c r="N350">
        <f>IF(Table1[[#This Row],[hourly_rate (USD)]]="",MEDIAN(Table1[hourly_rate (USD)]),Table1[[#This Row],[hourly_rate (USD)]])</f>
        <v>40</v>
      </c>
      <c r="O350" t="str">
        <f>TRIM(CLEAN(Table1[[#This Row],[Updated hourly_rate (USD)]]))</f>
        <v>40</v>
      </c>
      <c r="P350" t="str">
        <f>SUBSTITUTE(SUBSTITUTE(Table1[[#This Row],[Formatted hourly rate]],"USD ",""),"$","")</f>
        <v>40</v>
      </c>
      <c r="Q350">
        <v>4.5</v>
      </c>
      <c r="R350">
        <f>IF(Table1[[#This Row],[rating]]="",2.6,Table1[[#This Row],[rating]])</f>
        <v>4.5</v>
      </c>
      <c r="T350" t="str">
        <f>TRIM(CLEAN(Table1[[#This Row],[is_active]]))</f>
        <v/>
      </c>
      <c r="U35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50" s="11" t="str">
        <f>TRIM(IF(Table1[[#This Row],[is_active3]]="Unknown","TRUE",Table1[[#This Row],[is_active3]]))</f>
        <v>TRUE</v>
      </c>
      <c r="X350">
        <f>IF(Table1[[#This Row],[client_satisfaction]]&gt;1,Table1[[#This Row],[client_satisfaction]]/100,Table1[[#This Row],[client_satisfaction]])</f>
        <v>0</v>
      </c>
      <c r="Y350">
        <f>IF(Table1[[#This Row],[client_satisfaction2]]=0,0.75,Table1[[#This Row],[client_satisfaction2]])</f>
        <v>0.75</v>
      </c>
    </row>
    <row r="351" spans="1:25" x14ac:dyDescent="0.25">
      <c r="A351" t="s">
        <v>782</v>
      </c>
      <c r="B351" t="s">
        <v>783</v>
      </c>
      <c r="C351" t="str">
        <f>PROPER(TRIM(SUBSTITUTE(SUBSTITUTE(SUBSTITUTE(Table1[[#This Row],[name]],"Ms. ",""),"Mr. ",""),"Mrs. ","")))</f>
        <v>Lauren Lang</v>
      </c>
      <c r="D351" t="s">
        <v>34</v>
      </c>
      <c r="E3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51">
        <v>50</v>
      </c>
      <c r="G351" t="str">
        <f>TRIM(IF(Table1[[#This Row],[age]]="","Unknown",Table1[[#This Row],[age]]))</f>
        <v>50</v>
      </c>
      <c r="H351" t="s">
        <v>107</v>
      </c>
      <c r="I351" t="s">
        <v>108</v>
      </c>
      <c r="J351" t="s">
        <v>23</v>
      </c>
      <c r="K351">
        <v>18</v>
      </c>
      <c r="L351" s="10" t="str">
        <f>TRIM(IF(Table1[[#This Row],[years_of_experience]]="","Unknown",Table1[[#This Row],[years_of_experience]]))</f>
        <v>18</v>
      </c>
      <c r="M351">
        <v>75</v>
      </c>
      <c r="N351">
        <f>IF(Table1[[#This Row],[hourly_rate (USD)]]="",MEDIAN(Table1[hourly_rate (USD)]),Table1[[#This Row],[hourly_rate (USD)]])</f>
        <v>75</v>
      </c>
      <c r="O351" t="str">
        <f>TRIM(CLEAN(Table1[[#This Row],[Updated hourly_rate (USD)]]))</f>
        <v>75</v>
      </c>
      <c r="P351" t="str">
        <f>SUBSTITUTE(SUBSTITUTE(Table1[[#This Row],[Formatted hourly rate]],"USD ",""),"$","")</f>
        <v>75</v>
      </c>
      <c r="Q351">
        <v>3.8</v>
      </c>
      <c r="R351">
        <f>IF(Table1[[#This Row],[rating]]="",2.6,Table1[[#This Row],[rating]])</f>
        <v>3.8</v>
      </c>
      <c r="S351">
        <v>0</v>
      </c>
      <c r="T351" t="str">
        <f>TRIM(CLEAN(Table1[[#This Row],[is_active]]))</f>
        <v>0</v>
      </c>
      <c r="U35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51" s="11" t="str">
        <f>TRIM(IF(Table1[[#This Row],[is_active3]]="Unknown","TRUE",Table1[[#This Row],[is_active3]]))</f>
        <v>FALSE</v>
      </c>
      <c r="W351">
        <v>67</v>
      </c>
      <c r="X351">
        <f>IF(Table1[[#This Row],[client_satisfaction]]&gt;1,Table1[[#This Row],[client_satisfaction]]/100,Table1[[#This Row],[client_satisfaction]])</f>
        <v>0.67</v>
      </c>
      <c r="Y351">
        <f>IF(Table1[[#This Row],[client_satisfaction2]]=0,0.75,Table1[[#This Row],[client_satisfaction2]])</f>
        <v>0.67</v>
      </c>
    </row>
    <row r="352" spans="1:25" x14ac:dyDescent="0.25">
      <c r="A352" t="s">
        <v>784</v>
      </c>
      <c r="B352" t="s">
        <v>785</v>
      </c>
      <c r="C352" t="str">
        <f>PROPER(TRIM(SUBSTITUTE(SUBSTITUTE(SUBSTITUTE(Table1[[#This Row],[name]],"Ms. ",""),"Mr. ",""),"Mrs. ","")))</f>
        <v>Matthew Phillips</v>
      </c>
      <c r="D352" t="s">
        <v>27</v>
      </c>
      <c r="E3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52">
        <v>48</v>
      </c>
      <c r="G352" t="str">
        <f>TRIM(IF(Table1[[#This Row],[age]]="","Unknown",Table1[[#This Row],[age]]))</f>
        <v>48</v>
      </c>
      <c r="H352" t="s">
        <v>58</v>
      </c>
      <c r="I352" t="s">
        <v>22</v>
      </c>
      <c r="J352" t="s">
        <v>114</v>
      </c>
      <c r="K352">
        <v>21</v>
      </c>
      <c r="L352" s="10" t="str">
        <f>TRIM(IF(Table1[[#This Row],[years_of_experience]]="","Unknown",Table1[[#This Row],[years_of_experience]]))</f>
        <v>21</v>
      </c>
      <c r="M352">
        <v>50</v>
      </c>
      <c r="N352">
        <f>IF(Table1[[#This Row],[hourly_rate (USD)]]="",MEDIAN(Table1[hourly_rate (USD)]),Table1[[#This Row],[hourly_rate (USD)]])</f>
        <v>50</v>
      </c>
      <c r="O352" t="str">
        <f>TRIM(CLEAN(Table1[[#This Row],[Updated hourly_rate (USD)]]))</f>
        <v>50</v>
      </c>
      <c r="P352" t="str">
        <f>SUBSTITUTE(SUBSTITUTE(Table1[[#This Row],[Formatted hourly rate]],"USD ",""),"$","")</f>
        <v>50</v>
      </c>
      <c r="Q352">
        <v>4</v>
      </c>
      <c r="R352">
        <f>IF(Table1[[#This Row],[rating]]="",2.6,Table1[[#This Row],[rating]])</f>
        <v>4</v>
      </c>
      <c r="S352">
        <v>0</v>
      </c>
      <c r="T352" t="str">
        <f>TRIM(CLEAN(Table1[[#This Row],[is_active]]))</f>
        <v>0</v>
      </c>
      <c r="U35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52" s="11" t="str">
        <f>TRIM(IF(Table1[[#This Row],[is_active3]]="Unknown","TRUE",Table1[[#This Row],[is_active3]]))</f>
        <v>FALSE</v>
      </c>
      <c r="W352">
        <v>0.78</v>
      </c>
      <c r="X352">
        <f>IF(Table1[[#This Row],[client_satisfaction]]&gt;1,Table1[[#This Row],[client_satisfaction]]/100,Table1[[#This Row],[client_satisfaction]])</f>
        <v>0.78</v>
      </c>
      <c r="Y352">
        <f>IF(Table1[[#This Row],[client_satisfaction2]]=0,0.75,Table1[[#This Row],[client_satisfaction2]])</f>
        <v>0.78</v>
      </c>
    </row>
    <row r="353" spans="1:25" x14ac:dyDescent="0.25">
      <c r="A353" t="s">
        <v>786</v>
      </c>
      <c r="B353" t="s">
        <v>787</v>
      </c>
      <c r="C353" t="str">
        <f>PROPER(TRIM(SUBSTITUTE(SUBSTITUTE(SUBSTITUTE(Table1[[#This Row],[name]],"Ms. ",""),"Mr. ",""),"Mrs. ","")))</f>
        <v>Michael Andersen</v>
      </c>
      <c r="D353" t="s">
        <v>61</v>
      </c>
      <c r="E3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53">
        <v>23</v>
      </c>
      <c r="G353" t="str">
        <f>TRIM(IF(Table1[[#This Row],[age]]="","Unknown",Table1[[#This Row],[age]]))</f>
        <v>23</v>
      </c>
      <c r="H353" t="s">
        <v>42</v>
      </c>
      <c r="I353" t="s">
        <v>43</v>
      </c>
      <c r="J353" t="s">
        <v>89</v>
      </c>
      <c r="K353">
        <v>1</v>
      </c>
      <c r="L353" s="10" t="str">
        <f>TRIM(IF(Table1[[#This Row],[years_of_experience]]="","Unknown",Table1[[#This Row],[years_of_experience]]))</f>
        <v>1</v>
      </c>
      <c r="M353" t="s">
        <v>36</v>
      </c>
      <c r="N353" t="str">
        <f>IF(Table1[[#This Row],[hourly_rate (USD)]]="",MEDIAN(Table1[hourly_rate (USD)]),Table1[[#This Row],[hourly_rate (USD)]])</f>
        <v>$40</v>
      </c>
      <c r="O353" t="str">
        <f>TRIM(CLEAN(Table1[[#This Row],[Updated hourly_rate (USD)]]))</f>
        <v>$40</v>
      </c>
      <c r="P353" t="str">
        <f>SUBSTITUTE(SUBSTITUTE(Table1[[#This Row],[Formatted hourly rate]],"USD ",""),"$","")</f>
        <v>40</v>
      </c>
      <c r="Q353">
        <v>4.9000000000000004</v>
      </c>
      <c r="R353">
        <f>IF(Table1[[#This Row],[rating]]="",2.6,Table1[[#This Row],[rating]])</f>
        <v>4.9000000000000004</v>
      </c>
      <c r="S353" t="s">
        <v>68</v>
      </c>
      <c r="T353" t="str">
        <f>TRIM(CLEAN(Table1[[#This Row],[is_active]]))</f>
        <v>yes</v>
      </c>
      <c r="U35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53" s="11" t="str">
        <f>TRIM(IF(Table1[[#This Row],[is_active3]]="Unknown","TRUE",Table1[[#This Row],[is_active3]]))</f>
        <v>TRUE</v>
      </c>
      <c r="W353">
        <v>0.78</v>
      </c>
      <c r="X353">
        <f>IF(Table1[[#This Row],[client_satisfaction]]&gt;1,Table1[[#This Row],[client_satisfaction]]/100,Table1[[#This Row],[client_satisfaction]])</f>
        <v>0.78</v>
      </c>
      <c r="Y353">
        <f>IF(Table1[[#This Row],[client_satisfaction2]]=0,0.75,Table1[[#This Row],[client_satisfaction2]])</f>
        <v>0.78</v>
      </c>
    </row>
    <row r="354" spans="1:25" x14ac:dyDescent="0.25">
      <c r="A354" t="s">
        <v>788</v>
      </c>
      <c r="B354" t="s">
        <v>789</v>
      </c>
      <c r="C354" t="str">
        <f>PROPER(TRIM(SUBSTITUTE(SUBSTITUTE(SUBSTITUTE(Table1[[#This Row],[name]],"Ms. ",""),"Mr. ",""),"Mrs. ","")))</f>
        <v>Amanda Mayo</v>
      </c>
      <c r="D354" t="s">
        <v>14</v>
      </c>
      <c r="E3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54">
        <v>49</v>
      </c>
      <c r="G354" t="str">
        <f>TRIM(IF(Table1[[#This Row],[age]]="","Unknown",Table1[[#This Row],[age]]))</f>
        <v>49</v>
      </c>
      <c r="H354" t="s">
        <v>128</v>
      </c>
      <c r="I354" t="s">
        <v>22</v>
      </c>
      <c r="J354" t="s">
        <v>35</v>
      </c>
      <c r="K354">
        <v>25</v>
      </c>
      <c r="L354" s="10" t="str">
        <f>TRIM(IF(Table1[[#This Row],[years_of_experience]]="","Unknown",Table1[[#This Row],[years_of_experience]]))</f>
        <v>25</v>
      </c>
      <c r="M354" t="s">
        <v>45</v>
      </c>
      <c r="N354" t="str">
        <f>IF(Table1[[#This Row],[hourly_rate (USD)]]="",MEDIAN(Table1[hourly_rate (USD)]),Table1[[#This Row],[hourly_rate (USD)]])</f>
        <v>$30</v>
      </c>
      <c r="O354" t="str">
        <f>TRIM(CLEAN(Table1[[#This Row],[Updated hourly_rate (USD)]]))</f>
        <v>$30</v>
      </c>
      <c r="P354" t="str">
        <f>SUBSTITUTE(SUBSTITUTE(Table1[[#This Row],[Formatted hourly rate]],"USD ",""),"$","")</f>
        <v>30</v>
      </c>
      <c r="Q354">
        <v>3.4</v>
      </c>
      <c r="R354">
        <f>IF(Table1[[#This Row],[rating]]="",2.6,Table1[[#This Row],[rating]])</f>
        <v>3.4</v>
      </c>
      <c r="S354">
        <v>0</v>
      </c>
      <c r="T354" t="str">
        <f>TRIM(CLEAN(Table1[[#This Row],[is_active]]))</f>
        <v>0</v>
      </c>
      <c r="U35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54" s="11" t="str">
        <f>TRIM(IF(Table1[[#This Row],[is_active3]]="Unknown","TRUE",Table1[[#This Row],[is_active3]]))</f>
        <v>FALSE</v>
      </c>
      <c r="W354">
        <v>0.75</v>
      </c>
      <c r="X354">
        <f>IF(Table1[[#This Row],[client_satisfaction]]&gt;1,Table1[[#This Row],[client_satisfaction]]/100,Table1[[#This Row],[client_satisfaction]])</f>
        <v>0.75</v>
      </c>
      <c r="Y354">
        <f>IF(Table1[[#This Row],[client_satisfaction2]]=0,0.75,Table1[[#This Row],[client_satisfaction2]])</f>
        <v>0.75</v>
      </c>
    </row>
    <row r="355" spans="1:25" x14ac:dyDescent="0.25">
      <c r="A355" t="s">
        <v>790</v>
      </c>
      <c r="B355" t="s">
        <v>791</v>
      </c>
      <c r="C355" t="str">
        <f>PROPER(TRIM(SUBSTITUTE(SUBSTITUTE(SUBSTITUTE(Table1[[#This Row],[name]],"Ms. ",""),"Mr. ",""),"Mrs. ","")))</f>
        <v>Jessica Vance</v>
      </c>
      <c r="D355" t="s">
        <v>34</v>
      </c>
      <c r="E3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55">
        <v>47</v>
      </c>
      <c r="G355" t="str">
        <f>TRIM(IF(Table1[[#This Row],[age]]="","Unknown",Table1[[#This Row],[age]]))</f>
        <v>47</v>
      </c>
      <c r="H355" t="s">
        <v>15</v>
      </c>
      <c r="I355" t="s">
        <v>16</v>
      </c>
      <c r="J355" t="s">
        <v>78</v>
      </c>
      <c r="K355">
        <v>12</v>
      </c>
      <c r="L355" s="10" t="str">
        <f>TRIM(IF(Table1[[#This Row],[years_of_experience]]="","Unknown",Table1[[#This Row],[years_of_experience]]))</f>
        <v>12</v>
      </c>
      <c r="M355">
        <v>50</v>
      </c>
      <c r="N355">
        <f>IF(Table1[[#This Row],[hourly_rate (USD)]]="",MEDIAN(Table1[hourly_rate (USD)]),Table1[[#This Row],[hourly_rate (USD)]])</f>
        <v>50</v>
      </c>
      <c r="O355" t="str">
        <f>TRIM(CLEAN(Table1[[#This Row],[Updated hourly_rate (USD)]]))</f>
        <v>50</v>
      </c>
      <c r="P355" t="str">
        <f>SUBSTITUTE(SUBSTITUTE(Table1[[#This Row],[Formatted hourly rate]],"USD ",""),"$","")</f>
        <v>50</v>
      </c>
      <c r="Q355">
        <v>2.1</v>
      </c>
      <c r="R355">
        <f>IF(Table1[[#This Row],[rating]]="",2.6,Table1[[#This Row],[rating]])</f>
        <v>2.1</v>
      </c>
      <c r="S355" t="b">
        <v>1</v>
      </c>
      <c r="T355" t="str">
        <f>TRIM(CLEAN(Table1[[#This Row],[is_active]]))</f>
        <v>TRUE</v>
      </c>
      <c r="U35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55" s="11" t="str">
        <f>TRIM(IF(Table1[[#This Row],[is_active3]]="Unknown","TRUE",Table1[[#This Row],[is_active3]]))</f>
        <v>TRUE</v>
      </c>
      <c r="W355">
        <v>0.67</v>
      </c>
      <c r="X355">
        <f>IF(Table1[[#This Row],[client_satisfaction]]&gt;1,Table1[[#This Row],[client_satisfaction]]/100,Table1[[#This Row],[client_satisfaction]])</f>
        <v>0.67</v>
      </c>
      <c r="Y355">
        <f>IF(Table1[[#This Row],[client_satisfaction2]]=0,0.75,Table1[[#This Row],[client_satisfaction2]])</f>
        <v>0.67</v>
      </c>
    </row>
    <row r="356" spans="1:25" x14ac:dyDescent="0.25">
      <c r="A356" t="s">
        <v>792</v>
      </c>
      <c r="B356" t="s">
        <v>793</v>
      </c>
      <c r="C356" t="str">
        <f>PROPER(TRIM(SUBSTITUTE(SUBSTITUTE(SUBSTITUTE(Table1[[#This Row],[name]],"Ms. ",""),"Mr. ",""),"Mrs. ","")))</f>
        <v>Alexa Gallegos</v>
      </c>
      <c r="D356" t="s">
        <v>77</v>
      </c>
      <c r="E3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56">
        <v>56</v>
      </c>
      <c r="G356" t="str">
        <f>TRIM(IF(Table1[[#This Row],[age]]="","Unknown",Table1[[#This Row],[age]]))</f>
        <v>56</v>
      </c>
      <c r="H356" t="s">
        <v>85</v>
      </c>
      <c r="I356" t="s">
        <v>86</v>
      </c>
      <c r="J356" t="s">
        <v>30</v>
      </c>
      <c r="K356">
        <v>32</v>
      </c>
      <c r="L356" s="10" t="str">
        <f>TRIM(IF(Table1[[#This Row],[years_of_experience]]="","Unknown",Table1[[#This Row],[years_of_experience]]))</f>
        <v>32</v>
      </c>
      <c r="M356" t="s">
        <v>55</v>
      </c>
      <c r="N356" t="str">
        <f>IF(Table1[[#This Row],[hourly_rate (USD)]]="",MEDIAN(Table1[hourly_rate (USD)]),Table1[[#This Row],[hourly_rate (USD)]])</f>
        <v>USD 40</v>
      </c>
      <c r="O356" t="str">
        <f>TRIM(CLEAN(Table1[[#This Row],[Updated hourly_rate (USD)]]))</f>
        <v>USD 40</v>
      </c>
      <c r="P356" t="str">
        <f>SUBSTITUTE(SUBSTITUTE(Table1[[#This Row],[Formatted hourly rate]],"USD ",""),"$","")</f>
        <v>40</v>
      </c>
      <c r="Q356">
        <v>0</v>
      </c>
      <c r="R356">
        <f>IF(Table1[[#This Row],[rating]]="",2.6,Table1[[#This Row],[rating]])</f>
        <v>0</v>
      </c>
      <c r="S356">
        <v>1</v>
      </c>
      <c r="T356" t="str">
        <f>TRIM(CLEAN(Table1[[#This Row],[is_active]]))</f>
        <v>1</v>
      </c>
      <c r="U35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56" s="11" t="str">
        <f>TRIM(IF(Table1[[#This Row],[is_active3]]="Unknown","TRUE",Table1[[#This Row],[is_active3]]))</f>
        <v>TRUE</v>
      </c>
      <c r="W356">
        <v>0.86</v>
      </c>
      <c r="X356">
        <f>IF(Table1[[#This Row],[client_satisfaction]]&gt;1,Table1[[#This Row],[client_satisfaction]]/100,Table1[[#This Row],[client_satisfaction]])</f>
        <v>0.86</v>
      </c>
      <c r="Y356">
        <f>IF(Table1[[#This Row],[client_satisfaction2]]=0,0.75,Table1[[#This Row],[client_satisfaction2]])</f>
        <v>0.86</v>
      </c>
    </row>
    <row r="357" spans="1:25" x14ac:dyDescent="0.25">
      <c r="A357" t="s">
        <v>794</v>
      </c>
      <c r="B357" t="s">
        <v>795</v>
      </c>
      <c r="C357" t="str">
        <f>PROPER(TRIM(SUBSTITUTE(SUBSTITUTE(SUBSTITUTE(Table1[[#This Row],[name]],"Ms. ",""),"Mr. ",""),"Mrs. ","")))</f>
        <v>Charles Pratt</v>
      </c>
      <c r="D357" t="s">
        <v>61</v>
      </c>
      <c r="E3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57">
        <v>58</v>
      </c>
      <c r="G357" t="str">
        <f>TRIM(IF(Table1[[#This Row],[age]]="","Unknown",Table1[[#This Row],[age]]))</f>
        <v>58</v>
      </c>
      <c r="H357" t="s">
        <v>71</v>
      </c>
      <c r="I357" t="s">
        <v>72</v>
      </c>
      <c r="J357" t="s">
        <v>73</v>
      </c>
      <c r="L357" s="10" t="str">
        <f>TRIM(IF(Table1[[#This Row],[years_of_experience]]="","Unknown",Table1[[#This Row],[years_of_experience]]))</f>
        <v>Unknown</v>
      </c>
      <c r="M357">
        <v>100</v>
      </c>
      <c r="N357">
        <f>IF(Table1[[#This Row],[hourly_rate (USD)]]="",MEDIAN(Table1[hourly_rate (USD)]),Table1[[#This Row],[hourly_rate (USD)]])</f>
        <v>100</v>
      </c>
      <c r="O357" t="str">
        <f>TRIM(CLEAN(Table1[[#This Row],[Updated hourly_rate (USD)]]))</f>
        <v>100</v>
      </c>
      <c r="P357" t="str">
        <f>SUBSTITUTE(SUBSTITUTE(Table1[[#This Row],[Formatted hourly rate]],"USD ",""),"$","")</f>
        <v>100</v>
      </c>
      <c r="Q357">
        <v>4.5</v>
      </c>
      <c r="R357">
        <f>IF(Table1[[#This Row],[rating]]="",2.6,Table1[[#This Row],[rating]])</f>
        <v>4.5</v>
      </c>
      <c r="S357" t="s">
        <v>159</v>
      </c>
      <c r="T357" t="str">
        <f>TRIM(CLEAN(Table1[[#This Row],[is_active]]))</f>
        <v>no</v>
      </c>
      <c r="U35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57" s="11" t="str">
        <f>TRIM(IF(Table1[[#This Row],[is_active3]]="Unknown","TRUE",Table1[[#This Row],[is_active3]]))</f>
        <v>FALSE</v>
      </c>
      <c r="W357">
        <v>77</v>
      </c>
      <c r="X357">
        <f>IF(Table1[[#This Row],[client_satisfaction]]&gt;1,Table1[[#This Row],[client_satisfaction]]/100,Table1[[#This Row],[client_satisfaction]])</f>
        <v>0.77</v>
      </c>
      <c r="Y357">
        <f>IF(Table1[[#This Row],[client_satisfaction2]]=0,0.75,Table1[[#This Row],[client_satisfaction2]])</f>
        <v>0.77</v>
      </c>
    </row>
    <row r="358" spans="1:25" x14ac:dyDescent="0.25">
      <c r="A358" t="s">
        <v>796</v>
      </c>
      <c r="B358" t="s">
        <v>797</v>
      </c>
      <c r="C358" t="str">
        <f>PROPER(TRIM(SUBSTITUTE(SUBSTITUTE(SUBSTITUTE(Table1[[#This Row],[name]],"Ms. ",""),"Mr. ",""),"Mrs. ","")))</f>
        <v>Brian Baker</v>
      </c>
      <c r="D358" t="s">
        <v>48</v>
      </c>
      <c r="E3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58">
        <v>32</v>
      </c>
      <c r="G358" t="str">
        <f>TRIM(IF(Table1[[#This Row],[age]]="","Unknown",Table1[[#This Row],[age]]))</f>
        <v>32</v>
      </c>
      <c r="H358" t="s">
        <v>112</v>
      </c>
      <c r="I358" t="s">
        <v>113</v>
      </c>
      <c r="J358" t="s">
        <v>73</v>
      </c>
      <c r="K358">
        <v>10</v>
      </c>
      <c r="L358" s="10" t="str">
        <f>TRIM(IF(Table1[[#This Row],[years_of_experience]]="","Unknown",Table1[[#This Row],[years_of_experience]]))</f>
        <v>10</v>
      </c>
      <c r="M358" t="s">
        <v>45</v>
      </c>
      <c r="N358" t="str">
        <f>IF(Table1[[#This Row],[hourly_rate (USD)]]="",MEDIAN(Table1[hourly_rate (USD)]),Table1[[#This Row],[hourly_rate (USD)]])</f>
        <v>$30</v>
      </c>
      <c r="O358" t="str">
        <f>TRIM(CLEAN(Table1[[#This Row],[Updated hourly_rate (USD)]]))</f>
        <v>$30</v>
      </c>
      <c r="P358" t="str">
        <f>SUBSTITUTE(SUBSTITUTE(Table1[[#This Row],[Formatted hourly rate]],"USD ",""),"$","")</f>
        <v>30</v>
      </c>
      <c r="Q358">
        <v>3.8</v>
      </c>
      <c r="R358">
        <f>IF(Table1[[#This Row],[rating]]="",2.6,Table1[[#This Row],[rating]])</f>
        <v>3.8</v>
      </c>
      <c r="S358">
        <v>0</v>
      </c>
      <c r="T358" t="str">
        <f>TRIM(CLEAN(Table1[[#This Row],[is_active]]))</f>
        <v>0</v>
      </c>
      <c r="U35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58" s="11" t="str">
        <f>TRIM(IF(Table1[[#This Row],[is_active3]]="Unknown","TRUE",Table1[[#This Row],[is_active3]]))</f>
        <v>FALSE</v>
      </c>
      <c r="W358">
        <v>0.61</v>
      </c>
      <c r="X358">
        <f>IF(Table1[[#This Row],[client_satisfaction]]&gt;1,Table1[[#This Row],[client_satisfaction]]/100,Table1[[#This Row],[client_satisfaction]])</f>
        <v>0.61</v>
      </c>
      <c r="Y358">
        <f>IF(Table1[[#This Row],[client_satisfaction2]]=0,0.75,Table1[[#This Row],[client_satisfaction2]])</f>
        <v>0.61</v>
      </c>
    </row>
    <row r="359" spans="1:25" x14ac:dyDescent="0.25">
      <c r="A359" t="s">
        <v>798</v>
      </c>
      <c r="B359" t="s">
        <v>799</v>
      </c>
      <c r="C359" t="str">
        <f>PROPER(TRIM(SUBSTITUTE(SUBSTITUTE(SUBSTITUTE(Table1[[#This Row],[name]],"Ms. ",""),"Mr. ",""),"Mrs. ","")))</f>
        <v>Christina Norman</v>
      </c>
      <c r="D359" t="s">
        <v>77</v>
      </c>
      <c r="E3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59">
        <v>52</v>
      </c>
      <c r="G359" t="str">
        <f>TRIM(IF(Table1[[#This Row],[age]]="","Unknown",Table1[[#This Row],[age]]))</f>
        <v>52</v>
      </c>
      <c r="H359" t="s">
        <v>93</v>
      </c>
      <c r="I359" t="s">
        <v>94</v>
      </c>
      <c r="J359" t="s">
        <v>73</v>
      </c>
      <c r="K359">
        <v>0</v>
      </c>
      <c r="L359" s="10" t="str">
        <f>TRIM(IF(Table1[[#This Row],[years_of_experience]]="","Unknown",Table1[[#This Row],[years_of_experience]]))</f>
        <v>0</v>
      </c>
      <c r="N359">
        <f>IF(Table1[[#This Row],[hourly_rate (USD)]]="",MEDIAN(Table1[hourly_rate (USD)]),Table1[[#This Row],[hourly_rate (USD)]])</f>
        <v>50</v>
      </c>
      <c r="O359" t="str">
        <f>TRIM(CLEAN(Table1[[#This Row],[Updated hourly_rate (USD)]]))</f>
        <v>50</v>
      </c>
      <c r="P359" t="str">
        <f>SUBSTITUTE(SUBSTITUTE(Table1[[#This Row],[Formatted hourly rate]],"USD ",""),"$","")</f>
        <v>50</v>
      </c>
      <c r="Q359">
        <v>4.3</v>
      </c>
      <c r="R359">
        <f>IF(Table1[[#This Row],[rating]]="",2.6,Table1[[#This Row],[rating]])</f>
        <v>4.3</v>
      </c>
      <c r="S359">
        <v>0</v>
      </c>
      <c r="T359" t="str">
        <f>TRIM(CLEAN(Table1[[#This Row],[is_active]]))</f>
        <v>0</v>
      </c>
      <c r="U3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59" s="11" t="str">
        <f>TRIM(IF(Table1[[#This Row],[is_active3]]="Unknown","TRUE",Table1[[#This Row],[is_active3]]))</f>
        <v>FALSE</v>
      </c>
      <c r="W359">
        <v>0.9</v>
      </c>
      <c r="X359">
        <f>IF(Table1[[#This Row],[client_satisfaction]]&gt;1,Table1[[#This Row],[client_satisfaction]]/100,Table1[[#This Row],[client_satisfaction]])</f>
        <v>0.9</v>
      </c>
      <c r="Y359">
        <f>IF(Table1[[#This Row],[client_satisfaction2]]=0,0.75,Table1[[#This Row],[client_satisfaction2]])</f>
        <v>0.9</v>
      </c>
    </row>
    <row r="360" spans="1:25" x14ac:dyDescent="0.25">
      <c r="A360" t="s">
        <v>800</v>
      </c>
      <c r="B360" t="s">
        <v>801</v>
      </c>
      <c r="C360" t="str">
        <f>PROPER(TRIM(SUBSTITUTE(SUBSTITUTE(SUBSTITUTE(Table1[[#This Row],[name]],"Ms. ",""),"Mr. ",""),"Mrs. ","")))</f>
        <v>Laura Kelly</v>
      </c>
      <c r="D360" t="s">
        <v>20</v>
      </c>
      <c r="E3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60">
        <v>22</v>
      </c>
      <c r="G360" t="str">
        <f>TRIM(IF(Table1[[#This Row],[age]]="","Unknown",Table1[[#This Row],[age]]))</f>
        <v>22</v>
      </c>
      <c r="H360" t="s">
        <v>175</v>
      </c>
      <c r="I360" t="s">
        <v>176</v>
      </c>
      <c r="J360" t="s">
        <v>51</v>
      </c>
      <c r="K360">
        <v>1</v>
      </c>
      <c r="L360" s="10" t="str">
        <f>TRIM(IF(Table1[[#This Row],[years_of_experience]]="","Unknown",Table1[[#This Row],[years_of_experience]]))</f>
        <v>1</v>
      </c>
      <c r="M360">
        <v>50</v>
      </c>
      <c r="N360">
        <f>IF(Table1[[#This Row],[hourly_rate (USD)]]="",MEDIAN(Table1[hourly_rate (USD)]),Table1[[#This Row],[hourly_rate (USD)]])</f>
        <v>50</v>
      </c>
      <c r="O360" t="str">
        <f>TRIM(CLEAN(Table1[[#This Row],[Updated hourly_rate (USD)]]))</f>
        <v>50</v>
      </c>
      <c r="P360" t="str">
        <f>SUBSTITUTE(SUBSTITUTE(Table1[[#This Row],[Formatted hourly rate]],"USD ",""),"$","")</f>
        <v>50</v>
      </c>
      <c r="Q360">
        <v>0</v>
      </c>
      <c r="R360">
        <f>IF(Table1[[#This Row],[rating]]="",2.6,Table1[[#This Row],[rating]])</f>
        <v>0</v>
      </c>
      <c r="T360" t="str">
        <f>TRIM(CLEAN(Table1[[#This Row],[is_active]]))</f>
        <v/>
      </c>
      <c r="U36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60" s="11" t="str">
        <f>TRIM(IF(Table1[[#This Row],[is_active3]]="Unknown","TRUE",Table1[[#This Row],[is_active3]]))</f>
        <v>TRUE</v>
      </c>
      <c r="W360">
        <v>0.98</v>
      </c>
      <c r="X360">
        <f>IF(Table1[[#This Row],[client_satisfaction]]&gt;1,Table1[[#This Row],[client_satisfaction]]/100,Table1[[#This Row],[client_satisfaction]])</f>
        <v>0.98</v>
      </c>
      <c r="Y360">
        <f>IF(Table1[[#This Row],[client_satisfaction2]]=0,0.75,Table1[[#This Row],[client_satisfaction2]])</f>
        <v>0.98</v>
      </c>
    </row>
    <row r="361" spans="1:25" x14ac:dyDescent="0.25">
      <c r="A361" t="s">
        <v>802</v>
      </c>
      <c r="B361" t="s">
        <v>803</v>
      </c>
      <c r="C361" t="str">
        <f>PROPER(TRIM(SUBSTITUTE(SUBSTITUTE(SUBSTITUTE(Table1[[#This Row],[name]],"Ms. ",""),"Mr. ",""),"Mrs. ","")))</f>
        <v>John Webb</v>
      </c>
      <c r="D361" t="s">
        <v>97</v>
      </c>
      <c r="E3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61">
        <v>20</v>
      </c>
      <c r="G361" t="str">
        <f>TRIM(IF(Table1[[#This Row],[age]]="","Unknown",Table1[[#This Row],[age]]))</f>
        <v>20</v>
      </c>
      <c r="H361" t="s">
        <v>93</v>
      </c>
      <c r="I361" t="s">
        <v>94</v>
      </c>
      <c r="J361" t="s">
        <v>78</v>
      </c>
      <c r="K361">
        <v>2</v>
      </c>
      <c r="L361" s="10" t="str">
        <f>TRIM(IF(Table1[[#This Row],[years_of_experience]]="","Unknown",Table1[[#This Row],[years_of_experience]]))</f>
        <v>2</v>
      </c>
      <c r="M361">
        <v>30</v>
      </c>
      <c r="N361">
        <f>IF(Table1[[#This Row],[hourly_rate (USD)]]="",MEDIAN(Table1[hourly_rate (USD)]),Table1[[#This Row],[hourly_rate (USD)]])</f>
        <v>30</v>
      </c>
      <c r="O361" t="str">
        <f>TRIM(CLEAN(Table1[[#This Row],[Updated hourly_rate (USD)]]))</f>
        <v>30</v>
      </c>
      <c r="P361" t="str">
        <f>SUBSTITUTE(SUBSTITUTE(Table1[[#This Row],[Formatted hourly rate]],"USD ",""),"$","")</f>
        <v>30</v>
      </c>
      <c r="R361">
        <f>IF(Table1[[#This Row],[rating]]="",2.6,Table1[[#This Row],[rating]])</f>
        <v>2.6</v>
      </c>
      <c r="S361">
        <v>1</v>
      </c>
      <c r="T361" t="str">
        <f>TRIM(CLEAN(Table1[[#This Row],[is_active]]))</f>
        <v>1</v>
      </c>
      <c r="U36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61" s="11" t="str">
        <f>TRIM(IF(Table1[[#This Row],[is_active3]]="Unknown","TRUE",Table1[[#This Row],[is_active3]]))</f>
        <v>TRUE</v>
      </c>
      <c r="W361">
        <v>0.99</v>
      </c>
      <c r="X361">
        <f>IF(Table1[[#This Row],[client_satisfaction]]&gt;1,Table1[[#This Row],[client_satisfaction]]/100,Table1[[#This Row],[client_satisfaction]])</f>
        <v>0.99</v>
      </c>
      <c r="Y361">
        <f>IF(Table1[[#This Row],[client_satisfaction2]]=0,0.75,Table1[[#This Row],[client_satisfaction2]])</f>
        <v>0.99</v>
      </c>
    </row>
    <row r="362" spans="1:25" x14ac:dyDescent="0.25">
      <c r="A362" t="s">
        <v>804</v>
      </c>
      <c r="B362" t="s">
        <v>805</v>
      </c>
      <c r="C362" t="str">
        <f>PROPER(TRIM(SUBSTITUTE(SUBSTITUTE(SUBSTITUTE(Table1[[#This Row],[name]],"Ms. ",""),"Mr. ",""),"Mrs. ","")))</f>
        <v>Christopher Burton</v>
      </c>
      <c r="D362" t="s">
        <v>92</v>
      </c>
      <c r="E3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62">
        <v>56</v>
      </c>
      <c r="G362" t="str">
        <f>TRIM(IF(Table1[[#This Row],[age]]="","Unknown",Table1[[#This Row],[age]]))</f>
        <v>56</v>
      </c>
      <c r="H362" t="s">
        <v>42</v>
      </c>
      <c r="I362" t="s">
        <v>43</v>
      </c>
      <c r="J362" t="s">
        <v>51</v>
      </c>
      <c r="K362">
        <v>9</v>
      </c>
      <c r="L362" s="10" t="str">
        <f>TRIM(IF(Table1[[#This Row],[years_of_experience]]="","Unknown",Table1[[#This Row],[years_of_experience]]))</f>
        <v>9</v>
      </c>
      <c r="M362" t="s">
        <v>55</v>
      </c>
      <c r="N362" t="str">
        <f>IF(Table1[[#This Row],[hourly_rate (USD)]]="",MEDIAN(Table1[hourly_rate (USD)]),Table1[[#This Row],[hourly_rate (USD)]])</f>
        <v>USD 40</v>
      </c>
      <c r="O362" t="str">
        <f>TRIM(CLEAN(Table1[[#This Row],[Updated hourly_rate (USD)]]))</f>
        <v>USD 40</v>
      </c>
      <c r="P362" t="str">
        <f>SUBSTITUTE(SUBSTITUTE(Table1[[#This Row],[Formatted hourly rate]],"USD ",""),"$","")</f>
        <v>40</v>
      </c>
      <c r="Q362">
        <v>2.6</v>
      </c>
      <c r="R362">
        <f>IF(Table1[[#This Row],[rating]]="",2.6,Table1[[#This Row],[rating]])</f>
        <v>2.6</v>
      </c>
      <c r="S362">
        <v>0</v>
      </c>
      <c r="T362" t="str">
        <f>TRIM(CLEAN(Table1[[#This Row],[is_active]]))</f>
        <v>0</v>
      </c>
      <c r="U36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62" s="11" t="str">
        <f>TRIM(IF(Table1[[#This Row],[is_active3]]="Unknown","TRUE",Table1[[#This Row],[is_active3]]))</f>
        <v>FALSE</v>
      </c>
      <c r="W362">
        <v>0.61</v>
      </c>
      <c r="X362">
        <f>IF(Table1[[#This Row],[client_satisfaction]]&gt;1,Table1[[#This Row],[client_satisfaction]]/100,Table1[[#This Row],[client_satisfaction]])</f>
        <v>0.61</v>
      </c>
      <c r="Y362">
        <f>IF(Table1[[#This Row],[client_satisfaction2]]=0,0.75,Table1[[#This Row],[client_satisfaction2]])</f>
        <v>0.61</v>
      </c>
    </row>
    <row r="363" spans="1:25" x14ac:dyDescent="0.25">
      <c r="A363" t="s">
        <v>806</v>
      </c>
      <c r="B363" t="s">
        <v>807</v>
      </c>
      <c r="C363" t="str">
        <f>PROPER(TRIM(SUBSTITUTE(SUBSTITUTE(SUBSTITUTE(Table1[[#This Row],[name]],"Ms. ",""),"Mr. ",""),"Mrs. ","")))</f>
        <v>Bradley Aguilar</v>
      </c>
      <c r="D363" t="s">
        <v>97</v>
      </c>
      <c r="E3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63">
        <v>41</v>
      </c>
      <c r="G363" t="str">
        <f>TRIM(IF(Table1[[#This Row],[age]]="","Unknown",Table1[[#This Row],[age]]))</f>
        <v>41</v>
      </c>
      <c r="H363" t="s">
        <v>85</v>
      </c>
      <c r="I363" t="s">
        <v>86</v>
      </c>
      <c r="J363" t="s">
        <v>51</v>
      </c>
      <c r="K363">
        <v>22</v>
      </c>
      <c r="L363" s="10" t="str">
        <f>TRIM(IF(Table1[[#This Row],[years_of_experience]]="","Unknown",Table1[[#This Row],[years_of_experience]]))</f>
        <v>22</v>
      </c>
      <c r="M363" t="s">
        <v>98</v>
      </c>
      <c r="N363" t="str">
        <f>IF(Table1[[#This Row],[hourly_rate (USD)]]="",MEDIAN(Table1[hourly_rate (USD)]),Table1[[#This Row],[hourly_rate (USD)]])</f>
        <v>USD 50</v>
      </c>
      <c r="O363" t="str">
        <f>TRIM(CLEAN(Table1[[#This Row],[Updated hourly_rate (USD)]]))</f>
        <v>USD 50</v>
      </c>
      <c r="P363" t="str">
        <f>SUBSTITUTE(SUBSTITUTE(Table1[[#This Row],[Formatted hourly rate]],"USD ",""),"$","")</f>
        <v>50</v>
      </c>
      <c r="Q363">
        <v>1.6</v>
      </c>
      <c r="R363">
        <f>IF(Table1[[#This Row],[rating]]="",2.6,Table1[[#This Row],[rating]])</f>
        <v>1.6</v>
      </c>
      <c r="S363">
        <v>1</v>
      </c>
      <c r="T363" t="str">
        <f>TRIM(CLEAN(Table1[[#This Row],[is_active]]))</f>
        <v>1</v>
      </c>
      <c r="U3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63" s="11" t="str">
        <f>TRIM(IF(Table1[[#This Row],[is_active3]]="Unknown","TRUE",Table1[[#This Row],[is_active3]]))</f>
        <v>TRUE</v>
      </c>
      <c r="W363">
        <v>0.61</v>
      </c>
      <c r="X363">
        <f>IF(Table1[[#This Row],[client_satisfaction]]&gt;1,Table1[[#This Row],[client_satisfaction]]/100,Table1[[#This Row],[client_satisfaction]])</f>
        <v>0.61</v>
      </c>
      <c r="Y363">
        <f>IF(Table1[[#This Row],[client_satisfaction2]]=0,0.75,Table1[[#This Row],[client_satisfaction2]])</f>
        <v>0.61</v>
      </c>
    </row>
    <row r="364" spans="1:25" x14ac:dyDescent="0.25">
      <c r="A364" t="s">
        <v>808</v>
      </c>
      <c r="B364" t="s">
        <v>809</v>
      </c>
      <c r="C364" t="str">
        <f>PROPER(TRIM(SUBSTITUTE(SUBSTITUTE(SUBSTITUTE(Table1[[#This Row],[name]],"Ms. ",""),"Mr. ",""),"Mrs. ","")))</f>
        <v>Arthur Vasquez</v>
      </c>
      <c r="D364" t="s">
        <v>97</v>
      </c>
      <c r="E3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64">
        <v>25</v>
      </c>
      <c r="G364" t="str">
        <f>TRIM(IF(Table1[[#This Row],[age]]="","Unknown",Table1[[#This Row],[age]]))</f>
        <v>25</v>
      </c>
      <c r="H364" t="s">
        <v>71</v>
      </c>
      <c r="I364" t="s">
        <v>72</v>
      </c>
      <c r="J364" t="s">
        <v>17</v>
      </c>
      <c r="K364">
        <v>5</v>
      </c>
      <c r="L364" s="10" t="str">
        <f>TRIM(IF(Table1[[#This Row],[years_of_experience]]="","Unknown",Table1[[#This Row],[years_of_experience]]))</f>
        <v>5</v>
      </c>
      <c r="M364" t="s">
        <v>45</v>
      </c>
      <c r="N364" t="str">
        <f>IF(Table1[[#This Row],[hourly_rate (USD)]]="",MEDIAN(Table1[hourly_rate (USD)]),Table1[[#This Row],[hourly_rate (USD)]])</f>
        <v>$30</v>
      </c>
      <c r="O364" t="str">
        <f>TRIM(CLEAN(Table1[[#This Row],[Updated hourly_rate (USD)]]))</f>
        <v>$30</v>
      </c>
      <c r="P364" t="str">
        <f>SUBSTITUTE(SUBSTITUTE(Table1[[#This Row],[Formatted hourly rate]],"USD ",""),"$","")</f>
        <v>30</v>
      </c>
      <c r="Q364">
        <v>2.2999999999999998</v>
      </c>
      <c r="R364">
        <f>IF(Table1[[#This Row],[rating]]="",2.6,Table1[[#This Row],[rating]])</f>
        <v>2.2999999999999998</v>
      </c>
      <c r="S364">
        <v>0</v>
      </c>
      <c r="T364" t="str">
        <f>TRIM(CLEAN(Table1[[#This Row],[is_active]]))</f>
        <v>0</v>
      </c>
      <c r="U3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64" s="11" t="str">
        <f>TRIM(IF(Table1[[#This Row],[is_active3]]="Unknown","TRUE",Table1[[#This Row],[is_active3]]))</f>
        <v>FALSE</v>
      </c>
      <c r="W364">
        <v>0.91</v>
      </c>
      <c r="X364">
        <f>IF(Table1[[#This Row],[client_satisfaction]]&gt;1,Table1[[#This Row],[client_satisfaction]]/100,Table1[[#This Row],[client_satisfaction]])</f>
        <v>0.91</v>
      </c>
      <c r="Y364">
        <f>IF(Table1[[#This Row],[client_satisfaction2]]=0,0.75,Table1[[#This Row],[client_satisfaction2]])</f>
        <v>0.91</v>
      </c>
    </row>
    <row r="365" spans="1:25" x14ac:dyDescent="0.25">
      <c r="A365" t="s">
        <v>810</v>
      </c>
      <c r="B365" t="s">
        <v>811</v>
      </c>
      <c r="C365" t="str">
        <f>PROPER(TRIM(SUBSTITUTE(SUBSTITUTE(SUBSTITUTE(Table1[[#This Row],[name]],"Ms. ",""),"Mr. ",""),"Mrs. ","")))</f>
        <v>Angela Castro</v>
      </c>
      <c r="D365" t="s">
        <v>20</v>
      </c>
      <c r="E3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65">
        <v>44</v>
      </c>
      <c r="G365" t="str">
        <f>TRIM(IF(Table1[[#This Row],[age]]="","Unknown",Table1[[#This Row],[age]]))</f>
        <v>44</v>
      </c>
      <c r="H365" t="s">
        <v>128</v>
      </c>
      <c r="I365" t="s">
        <v>22</v>
      </c>
      <c r="J365" t="s">
        <v>78</v>
      </c>
      <c r="K365">
        <v>6</v>
      </c>
      <c r="L365" s="10" t="str">
        <f>TRIM(IF(Table1[[#This Row],[years_of_experience]]="","Unknown",Table1[[#This Row],[years_of_experience]]))</f>
        <v>6</v>
      </c>
      <c r="M365">
        <v>75</v>
      </c>
      <c r="N365">
        <f>IF(Table1[[#This Row],[hourly_rate (USD)]]="",MEDIAN(Table1[hourly_rate (USD)]),Table1[[#This Row],[hourly_rate (USD)]])</f>
        <v>75</v>
      </c>
      <c r="O365" t="str">
        <f>TRIM(CLEAN(Table1[[#This Row],[Updated hourly_rate (USD)]]))</f>
        <v>75</v>
      </c>
      <c r="P365" t="str">
        <f>SUBSTITUTE(SUBSTITUTE(Table1[[#This Row],[Formatted hourly rate]],"USD ",""),"$","")</f>
        <v>75</v>
      </c>
      <c r="Q365">
        <v>4.5999999999999996</v>
      </c>
      <c r="R365">
        <f>IF(Table1[[#This Row],[rating]]="",2.6,Table1[[#This Row],[rating]])</f>
        <v>4.5999999999999996</v>
      </c>
      <c r="S365" t="s">
        <v>74</v>
      </c>
      <c r="T365" t="str">
        <f>TRIM(CLEAN(Table1[[#This Row],[is_active]]))</f>
        <v>Y</v>
      </c>
      <c r="U3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65" s="11" t="str">
        <f>TRIM(IF(Table1[[#This Row],[is_active3]]="Unknown","TRUE",Table1[[#This Row],[is_active3]]))</f>
        <v>TRUE</v>
      </c>
      <c r="W365">
        <v>72</v>
      </c>
      <c r="X365">
        <f>IF(Table1[[#This Row],[client_satisfaction]]&gt;1,Table1[[#This Row],[client_satisfaction]]/100,Table1[[#This Row],[client_satisfaction]])</f>
        <v>0.72</v>
      </c>
      <c r="Y365">
        <f>IF(Table1[[#This Row],[client_satisfaction2]]=0,0.75,Table1[[#This Row],[client_satisfaction2]])</f>
        <v>0.72</v>
      </c>
    </row>
    <row r="366" spans="1:25" x14ac:dyDescent="0.25">
      <c r="A366" t="s">
        <v>812</v>
      </c>
      <c r="B366" t="s">
        <v>813</v>
      </c>
      <c r="C366" t="str">
        <f>PROPER(TRIM(SUBSTITUTE(SUBSTITUTE(SUBSTITUTE(Table1[[#This Row],[name]],"Ms. ",""),"Mr. ",""),"Mrs. ","")))</f>
        <v>Summer Yoder</v>
      </c>
      <c r="D366" t="s">
        <v>39</v>
      </c>
      <c r="E3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66">
        <v>46</v>
      </c>
      <c r="G366" t="str">
        <f>TRIM(IF(Table1[[#This Row],[age]]="","Unknown",Table1[[#This Row],[age]]))</f>
        <v>46</v>
      </c>
      <c r="H366" t="s">
        <v>21</v>
      </c>
      <c r="I366" t="s">
        <v>22</v>
      </c>
      <c r="J366" t="s">
        <v>35</v>
      </c>
      <c r="K366">
        <v>26</v>
      </c>
      <c r="L366" s="10" t="str">
        <f>TRIM(IF(Table1[[#This Row],[years_of_experience]]="","Unknown",Table1[[#This Row],[years_of_experience]]))</f>
        <v>26</v>
      </c>
      <c r="M366" t="s">
        <v>229</v>
      </c>
      <c r="N366" t="str">
        <f>IF(Table1[[#This Row],[hourly_rate (USD)]]="",MEDIAN(Table1[hourly_rate (USD)]),Table1[[#This Row],[hourly_rate (USD)]])</f>
        <v>$100</v>
      </c>
      <c r="O366" t="str">
        <f>TRIM(CLEAN(Table1[[#This Row],[Updated hourly_rate (USD)]]))</f>
        <v>$100</v>
      </c>
      <c r="P366" t="str">
        <f>SUBSTITUTE(SUBSTITUTE(Table1[[#This Row],[Formatted hourly rate]],"USD ",""),"$","")</f>
        <v>100</v>
      </c>
      <c r="Q366">
        <v>2.1</v>
      </c>
      <c r="R366">
        <f>IF(Table1[[#This Row],[rating]]="",2.6,Table1[[#This Row],[rating]])</f>
        <v>2.1</v>
      </c>
      <c r="T366" t="str">
        <f>TRIM(CLEAN(Table1[[#This Row],[is_active]]))</f>
        <v/>
      </c>
      <c r="U36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66" s="11" t="str">
        <f>TRIM(IF(Table1[[#This Row],[is_active3]]="Unknown","TRUE",Table1[[#This Row],[is_active3]]))</f>
        <v>TRUE</v>
      </c>
      <c r="X366">
        <f>IF(Table1[[#This Row],[client_satisfaction]]&gt;1,Table1[[#This Row],[client_satisfaction]]/100,Table1[[#This Row],[client_satisfaction]])</f>
        <v>0</v>
      </c>
      <c r="Y366">
        <f>IF(Table1[[#This Row],[client_satisfaction2]]=0,0.75,Table1[[#This Row],[client_satisfaction2]])</f>
        <v>0.75</v>
      </c>
    </row>
    <row r="367" spans="1:25" x14ac:dyDescent="0.25">
      <c r="A367" t="s">
        <v>814</v>
      </c>
      <c r="B367" t="s">
        <v>815</v>
      </c>
      <c r="C367" t="str">
        <f>PROPER(TRIM(SUBSTITUTE(SUBSTITUTE(SUBSTITUTE(Table1[[#This Row],[name]],"Ms. ",""),"Mr. ",""),"Mrs. ","")))</f>
        <v>Jackie Allen</v>
      </c>
      <c r="D367" t="s">
        <v>39</v>
      </c>
      <c r="E3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67">
        <v>40</v>
      </c>
      <c r="G367" t="str">
        <f>TRIM(IF(Table1[[#This Row],[age]]="","Unknown",Table1[[#This Row],[age]]))</f>
        <v>40</v>
      </c>
      <c r="H367" t="s">
        <v>112</v>
      </c>
      <c r="I367" t="s">
        <v>113</v>
      </c>
      <c r="J367" t="s">
        <v>17</v>
      </c>
      <c r="L367" s="10" t="str">
        <f>TRIM(IF(Table1[[#This Row],[years_of_experience]]="","Unknown",Table1[[#This Row],[years_of_experience]]))</f>
        <v>Unknown</v>
      </c>
      <c r="M367">
        <v>40</v>
      </c>
      <c r="N367">
        <f>IF(Table1[[#This Row],[hourly_rate (USD)]]="",MEDIAN(Table1[hourly_rate (USD)]),Table1[[#This Row],[hourly_rate (USD)]])</f>
        <v>40</v>
      </c>
      <c r="O367" t="str">
        <f>TRIM(CLEAN(Table1[[#This Row],[Updated hourly_rate (USD)]]))</f>
        <v>40</v>
      </c>
      <c r="P367" t="str">
        <f>SUBSTITUTE(SUBSTITUTE(Table1[[#This Row],[Formatted hourly rate]],"USD ",""),"$","")</f>
        <v>40</v>
      </c>
      <c r="Q367">
        <v>1.5</v>
      </c>
      <c r="R367">
        <f>IF(Table1[[#This Row],[rating]]="",2.6,Table1[[#This Row],[rating]])</f>
        <v>1.5</v>
      </c>
      <c r="S367" t="b">
        <v>0</v>
      </c>
      <c r="T367" t="str">
        <f>TRIM(CLEAN(Table1[[#This Row],[is_active]]))</f>
        <v>FALSE</v>
      </c>
      <c r="U36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67" s="11" t="str">
        <f>TRIM(IF(Table1[[#This Row],[is_active3]]="Unknown","TRUE",Table1[[#This Row],[is_active3]]))</f>
        <v>TRUE</v>
      </c>
      <c r="W367">
        <v>0.96</v>
      </c>
      <c r="X367">
        <f>IF(Table1[[#This Row],[client_satisfaction]]&gt;1,Table1[[#This Row],[client_satisfaction]]/100,Table1[[#This Row],[client_satisfaction]])</f>
        <v>0.96</v>
      </c>
      <c r="Y367">
        <f>IF(Table1[[#This Row],[client_satisfaction2]]=0,0.75,Table1[[#This Row],[client_satisfaction2]])</f>
        <v>0.96</v>
      </c>
    </row>
    <row r="368" spans="1:25" x14ac:dyDescent="0.25">
      <c r="A368" t="s">
        <v>816</v>
      </c>
      <c r="B368" t="s">
        <v>817</v>
      </c>
      <c r="C368" t="str">
        <f>PROPER(TRIM(SUBSTITUTE(SUBSTITUTE(SUBSTITUTE(Table1[[#This Row],[name]],"Ms. ",""),"Mr. ",""),"Mrs. ","")))</f>
        <v>Brandon Williams</v>
      </c>
      <c r="D368" t="s">
        <v>27</v>
      </c>
      <c r="E3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368" t="str">
        <f>TRIM(IF(Table1[[#This Row],[age]]="","Unknown",Table1[[#This Row],[age]]))</f>
        <v>Unknown</v>
      </c>
      <c r="H368" t="s">
        <v>175</v>
      </c>
      <c r="I368" t="s">
        <v>176</v>
      </c>
      <c r="J368" t="s">
        <v>44</v>
      </c>
      <c r="K368">
        <v>9</v>
      </c>
      <c r="L368" s="10" t="str">
        <f>TRIM(IF(Table1[[#This Row],[years_of_experience]]="","Unknown",Table1[[#This Row],[years_of_experience]]))</f>
        <v>9</v>
      </c>
      <c r="M368" t="s">
        <v>55</v>
      </c>
      <c r="N368" t="str">
        <f>IF(Table1[[#This Row],[hourly_rate (USD)]]="",MEDIAN(Table1[hourly_rate (USD)]),Table1[[#This Row],[hourly_rate (USD)]])</f>
        <v>USD 40</v>
      </c>
      <c r="O368" t="str">
        <f>TRIM(CLEAN(Table1[[#This Row],[Updated hourly_rate (USD)]]))</f>
        <v>USD 40</v>
      </c>
      <c r="P368" t="str">
        <f>SUBSTITUTE(SUBSTITUTE(Table1[[#This Row],[Formatted hourly rate]],"USD ",""),"$","")</f>
        <v>40</v>
      </c>
      <c r="Q368">
        <v>1.7</v>
      </c>
      <c r="R368">
        <f>IF(Table1[[#This Row],[rating]]="",2.6,Table1[[#This Row],[rating]])</f>
        <v>1.7</v>
      </c>
      <c r="S368">
        <v>1</v>
      </c>
      <c r="T368" t="str">
        <f>TRIM(CLEAN(Table1[[#This Row],[is_active]]))</f>
        <v>1</v>
      </c>
      <c r="U36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68" s="11" t="str">
        <f>TRIM(IF(Table1[[#This Row],[is_active3]]="Unknown","TRUE",Table1[[#This Row],[is_active3]]))</f>
        <v>TRUE</v>
      </c>
      <c r="W368">
        <v>72</v>
      </c>
      <c r="X368">
        <f>IF(Table1[[#This Row],[client_satisfaction]]&gt;1,Table1[[#This Row],[client_satisfaction]]/100,Table1[[#This Row],[client_satisfaction]])</f>
        <v>0.72</v>
      </c>
      <c r="Y368">
        <f>IF(Table1[[#This Row],[client_satisfaction2]]=0,0.75,Table1[[#This Row],[client_satisfaction2]])</f>
        <v>0.72</v>
      </c>
    </row>
    <row r="369" spans="1:25" x14ac:dyDescent="0.25">
      <c r="A369" t="s">
        <v>818</v>
      </c>
      <c r="B369" t="s">
        <v>819</v>
      </c>
      <c r="C369" t="str">
        <f>PROPER(TRIM(SUBSTITUTE(SUBSTITUTE(SUBSTITUTE(Table1[[#This Row],[name]],"Ms. ",""),"Mr. ",""),"Mrs. ","")))</f>
        <v>Manuel Torres</v>
      </c>
      <c r="D369" t="s">
        <v>92</v>
      </c>
      <c r="E3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69">
        <v>31</v>
      </c>
      <c r="G369" t="str">
        <f>TRIM(IF(Table1[[#This Row],[age]]="","Unknown",Table1[[#This Row],[age]]))</f>
        <v>31</v>
      </c>
      <c r="H369" t="s">
        <v>85</v>
      </c>
      <c r="I369" t="s">
        <v>86</v>
      </c>
      <c r="J369" t="s">
        <v>51</v>
      </c>
      <c r="K369">
        <v>11</v>
      </c>
      <c r="L369" s="10" t="str">
        <f>TRIM(IF(Table1[[#This Row],[years_of_experience]]="","Unknown",Table1[[#This Row],[years_of_experience]]))</f>
        <v>11</v>
      </c>
      <c r="N369">
        <f>IF(Table1[[#This Row],[hourly_rate (USD)]]="",MEDIAN(Table1[hourly_rate (USD)]),Table1[[#This Row],[hourly_rate (USD)]])</f>
        <v>50</v>
      </c>
      <c r="O369" t="str">
        <f>TRIM(CLEAN(Table1[[#This Row],[Updated hourly_rate (USD)]]))</f>
        <v>50</v>
      </c>
      <c r="P369" t="str">
        <f>SUBSTITUTE(SUBSTITUTE(Table1[[#This Row],[Formatted hourly rate]],"USD ",""),"$","")</f>
        <v>50</v>
      </c>
      <c r="Q369">
        <v>3.3</v>
      </c>
      <c r="R369">
        <f>IF(Table1[[#This Row],[rating]]="",2.6,Table1[[#This Row],[rating]])</f>
        <v>3.3</v>
      </c>
      <c r="S369">
        <v>0</v>
      </c>
      <c r="T369" t="str">
        <f>TRIM(CLEAN(Table1[[#This Row],[is_active]]))</f>
        <v>0</v>
      </c>
      <c r="U36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69" s="11" t="str">
        <f>TRIM(IF(Table1[[#This Row],[is_active3]]="Unknown","TRUE",Table1[[#This Row],[is_active3]]))</f>
        <v>FALSE</v>
      </c>
      <c r="X369">
        <f>IF(Table1[[#This Row],[client_satisfaction]]&gt;1,Table1[[#This Row],[client_satisfaction]]/100,Table1[[#This Row],[client_satisfaction]])</f>
        <v>0</v>
      </c>
      <c r="Y369">
        <f>IF(Table1[[#This Row],[client_satisfaction2]]=0,0.75,Table1[[#This Row],[client_satisfaction2]])</f>
        <v>0.75</v>
      </c>
    </row>
    <row r="370" spans="1:25" x14ac:dyDescent="0.25">
      <c r="A370" t="s">
        <v>820</v>
      </c>
      <c r="B370" t="s">
        <v>821</v>
      </c>
      <c r="C370" t="str">
        <f>PROPER(TRIM(SUBSTITUTE(SUBSTITUTE(SUBSTITUTE(Table1[[#This Row],[name]],"Ms. ",""),"Mr. ",""),"Mrs. ","")))</f>
        <v>Scott Keller</v>
      </c>
      <c r="D370" t="s">
        <v>48</v>
      </c>
      <c r="E3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70">
        <v>33</v>
      </c>
      <c r="G370" t="str">
        <f>TRIM(IF(Table1[[#This Row],[age]]="","Unknown",Table1[[#This Row],[age]]))</f>
        <v>33</v>
      </c>
      <c r="H370" t="s">
        <v>112</v>
      </c>
      <c r="I370" t="s">
        <v>113</v>
      </c>
      <c r="J370" t="s">
        <v>114</v>
      </c>
      <c r="L370" s="10" t="str">
        <f>TRIM(IF(Table1[[#This Row],[years_of_experience]]="","Unknown",Table1[[#This Row],[years_of_experience]]))</f>
        <v>Unknown</v>
      </c>
      <c r="M370" t="s">
        <v>36</v>
      </c>
      <c r="N370" t="str">
        <f>IF(Table1[[#This Row],[hourly_rate (USD)]]="",MEDIAN(Table1[hourly_rate (USD)]),Table1[[#This Row],[hourly_rate (USD)]])</f>
        <v>$40</v>
      </c>
      <c r="O370" t="str">
        <f>TRIM(CLEAN(Table1[[#This Row],[Updated hourly_rate (USD)]]))</f>
        <v>$40</v>
      </c>
      <c r="P370" t="str">
        <f>SUBSTITUTE(SUBSTITUTE(Table1[[#This Row],[Formatted hourly rate]],"USD ",""),"$","")</f>
        <v>40</v>
      </c>
      <c r="Q370">
        <v>4.3</v>
      </c>
      <c r="R370">
        <f>IF(Table1[[#This Row],[rating]]="",2.6,Table1[[#This Row],[rating]])</f>
        <v>4.3</v>
      </c>
      <c r="S370">
        <v>1</v>
      </c>
      <c r="T370" t="str">
        <f>TRIM(CLEAN(Table1[[#This Row],[is_active]]))</f>
        <v>1</v>
      </c>
      <c r="U37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70" s="11" t="str">
        <f>TRIM(IF(Table1[[#This Row],[is_active3]]="Unknown","TRUE",Table1[[#This Row],[is_active3]]))</f>
        <v>TRUE</v>
      </c>
      <c r="W370">
        <v>0.63</v>
      </c>
      <c r="X370">
        <f>IF(Table1[[#This Row],[client_satisfaction]]&gt;1,Table1[[#This Row],[client_satisfaction]]/100,Table1[[#This Row],[client_satisfaction]])</f>
        <v>0.63</v>
      </c>
      <c r="Y370">
        <f>IF(Table1[[#This Row],[client_satisfaction2]]=0,0.75,Table1[[#This Row],[client_satisfaction2]])</f>
        <v>0.63</v>
      </c>
    </row>
    <row r="371" spans="1:25" x14ac:dyDescent="0.25">
      <c r="A371" t="s">
        <v>822</v>
      </c>
      <c r="B371" t="s">
        <v>823</v>
      </c>
      <c r="C371" t="str">
        <f>PROPER(TRIM(SUBSTITUTE(SUBSTITUTE(SUBSTITUTE(Table1[[#This Row],[name]],"Ms. ",""),"Mr. ",""),"Mrs. ","")))</f>
        <v>Deborah Brown</v>
      </c>
      <c r="D371" t="s">
        <v>20</v>
      </c>
      <c r="E3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71">
        <v>31</v>
      </c>
      <c r="G371" t="str">
        <f>TRIM(IF(Table1[[#This Row],[age]]="","Unknown",Table1[[#This Row],[age]]))</f>
        <v>31</v>
      </c>
      <c r="H371" t="s">
        <v>107</v>
      </c>
      <c r="I371" t="s">
        <v>108</v>
      </c>
      <c r="J371" t="s">
        <v>114</v>
      </c>
      <c r="K371">
        <v>3</v>
      </c>
      <c r="L371" s="10" t="str">
        <f>TRIM(IF(Table1[[#This Row],[years_of_experience]]="","Unknown",Table1[[#This Row],[years_of_experience]]))</f>
        <v>3</v>
      </c>
      <c r="M371" t="s">
        <v>121</v>
      </c>
      <c r="N371" t="str">
        <f>IF(Table1[[#This Row],[hourly_rate (USD)]]="",MEDIAN(Table1[hourly_rate (USD)]),Table1[[#This Row],[hourly_rate (USD)]])</f>
        <v>$20</v>
      </c>
      <c r="O371" t="str">
        <f>TRIM(CLEAN(Table1[[#This Row],[Updated hourly_rate (USD)]]))</f>
        <v>$20</v>
      </c>
      <c r="P371" t="str">
        <f>SUBSTITUTE(SUBSTITUTE(Table1[[#This Row],[Formatted hourly rate]],"USD ",""),"$","")</f>
        <v>20</v>
      </c>
      <c r="R371">
        <f>IF(Table1[[#This Row],[rating]]="",2.6,Table1[[#This Row],[rating]])</f>
        <v>2.6</v>
      </c>
      <c r="S371" t="s">
        <v>31</v>
      </c>
      <c r="T371" t="str">
        <f>TRIM(CLEAN(Table1[[#This Row],[is_active]]))</f>
        <v>N</v>
      </c>
      <c r="U3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71" s="11" t="str">
        <f>TRIM(IF(Table1[[#This Row],[is_active3]]="Unknown","TRUE",Table1[[#This Row],[is_active3]]))</f>
        <v>FALSE</v>
      </c>
      <c r="X371">
        <f>IF(Table1[[#This Row],[client_satisfaction]]&gt;1,Table1[[#This Row],[client_satisfaction]]/100,Table1[[#This Row],[client_satisfaction]])</f>
        <v>0</v>
      </c>
      <c r="Y371">
        <f>IF(Table1[[#This Row],[client_satisfaction2]]=0,0.75,Table1[[#This Row],[client_satisfaction2]])</f>
        <v>0.75</v>
      </c>
    </row>
    <row r="372" spans="1:25" x14ac:dyDescent="0.25">
      <c r="A372" t="s">
        <v>824</v>
      </c>
      <c r="B372" t="s">
        <v>825</v>
      </c>
      <c r="C372" t="str">
        <f>PROPER(TRIM(SUBSTITUTE(SUBSTITUTE(SUBSTITUTE(Table1[[#This Row],[name]],"Ms. ",""),"Mr. ",""),"Mrs. ","")))</f>
        <v>Jennifer Lara</v>
      </c>
      <c r="D372" t="s">
        <v>34</v>
      </c>
      <c r="E3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72">
        <v>49</v>
      </c>
      <c r="G372" t="str">
        <f>TRIM(IF(Table1[[#This Row],[age]]="","Unknown",Table1[[#This Row],[age]]))</f>
        <v>49</v>
      </c>
      <c r="H372" t="s">
        <v>15</v>
      </c>
      <c r="I372" t="s">
        <v>16</v>
      </c>
      <c r="J372" t="s">
        <v>51</v>
      </c>
      <c r="K372">
        <v>15</v>
      </c>
      <c r="L372" s="10" t="str">
        <f>TRIM(IF(Table1[[#This Row],[years_of_experience]]="","Unknown",Table1[[#This Row],[years_of_experience]]))</f>
        <v>15</v>
      </c>
      <c r="M372" t="s">
        <v>52</v>
      </c>
      <c r="N372" t="str">
        <f>IF(Table1[[#This Row],[hourly_rate (USD)]]="",MEDIAN(Table1[hourly_rate (USD)]),Table1[[#This Row],[hourly_rate (USD)]])</f>
        <v>USD 75</v>
      </c>
      <c r="O372" t="str">
        <f>TRIM(CLEAN(Table1[[#This Row],[Updated hourly_rate (USD)]]))</f>
        <v>USD 75</v>
      </c>
      <c r="P372" t="str">
        <f>SUBSTITUTE(SUBSTITUTE(Table1[[#This Row],[Formatted hourly rate]],"USD ",""),"$","")</f>
        <v>75</v>
      </c>
      <c r="Q372">
        <v>2.6</v>
      </c>
      <c r="R372">
        <f>IF(Table1[[#This Row],[rating]]="",2.6,Table1[[#This Row],[rating]])</f>
        <v>2.6</v>
      </c>
      <c r="S372" t="s">
        <v>31</v>
      </c>
      <c r="T372" t="str">
        <f>TRIM(CLEAN(Table1[[#This Row],[is_active]]))</f>
        <v>N</v>
      </c>
      <c r="U37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72" s="11" t="str">
        <f>TRIM(IF(Table1[[#This Row],[is_active3]]="Unknown","TRUE",Table1[[#This Row],[is_active3]]))</f>
        <v>FALSE</v>
      </c>
      <c r="W372">
        <v>0.83</v>
      </c>
      <c r="X372">
        <f>IF(Table1[[#This Row],[client_satisfaction]]&gt;1,Table1[[#This Row],[client_satisfaction]]/100,Table1[[#This Row],[client_satisfaction]])</f>
        <v>0.83</v>
      </c>
      <c r="Y372">
        <f>IF(Table1[[#This Row],[client_satisfaction2]]=0,0.75,Table1[[#This Row],[client_satisfaction2]])</f>
        <v>0.83</v>
      </c>
    </row>
    <row r="373" spans="1:25" x14ac:dyDescent="0.25">
      <c r="A373" t="s">
        <v>826</v>
      </c>
      <c r="B373" t="s">
        <v>827</v>
      </c>
      <c r="C373" t="str">
        <f>PROPER(TRIM(SUBSTITUTE(SUBSTITUTE(SUBSTITUTE(Table1[[#This Row],[name]],"Ms. ",""),"Mr. ",""),"Mrs. ","")))</f>
        <v>Jason Scott</v>
      </c>
      <c r="D373" t="s">
        <v>27</v>
      </c>
      <c r="E3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73">
        <v>35</v>
      </c>
      <c r="G373" t="str">
        <f>TRIM(IF(Table1[[#This Row],[age]]="","Unknown",Table1[[#This Row],[age]]))</f>
        <v>35</v>
      </c>
      <c r="H373" t="s">
        <v>179</v>
      </c>
      <c r="I373" t="s">
        <v>72</v>
      </c>
      <c r="J373" t="s">
        <v>30</v>
      </c>
      <c r="K373">
        <v>12</v>
      </c>
      <c r="L373" s="10" t="str">
        <f>TRIM(IF(Table1[[#This Row],[years_of_experience]]="","Unknown",Table1[[#This Row],[years_of_experience]]))</f>
        <v>12</v>
      </c>
      <c r="M373" t="s">
        <v>314</v>
      </c>
      <c r="N373" t="str">
        <f>IF(Table1[[#This Row],[hourly_rate (USD)]]="",MEDIAN(Table1[hourly_rate (USD)]),Table1[[#This Row],[hourly_rate (USD)]])</f>
        <v>USD 20</v>
      </c>
      <c r="O373" t="str">
        <f>TRIM(CLEAN(Table1[[#This Row],[Updated hourly_rate (USD)]]))</f>
        <v>USD 20</v>
      </c>
      <c r="P373" t="str">
        <f>SUBSTITUTE(SUBSTITUTE(Table1[[#This Row],[Formatted hourly rate]],"USD ",""),"$","")</f>
        <v>20</v>
      </c>
      <c r="Q373">
        <v>4.0999999999999996</v>
      </c>
      <c r="R373">
        <f>IF(Table1[[#This Row],[rating]]="",2.6,Table1[[#This Row],[rating]])</f>
        <v>4.0999999999999996</v>
      </c>
      <c r="T373" t="str">
        <f>TRIM(CLEAN(Table1[[#This Row],[is_active]]))</f>
        <v/>
      </c>
      <c r="U37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73" s="11" t="str">
        <f>TRIM(IF(Table1[[#This Row],[is_active3]]="Unknown","TRUE",Table1[[#This Row],[is_active3]]))</f>
        <v>TRUE</v>
      </c>
      <c r="W373">
        <v>0.94</v>
      </c>
      <c r="X373">
        <f>IF(Table1[[#This Row],[client_satisfaction]]&gt;1,Table1[[#This Row],[client_satisfaction]]/100,Table1[[#This Row],[client_satisfaction]])</f>
        <v>0.94</v>
      </c>
      <c r="Y373">
        <f>IF(Table1[[#This Row],[client_satisfaction2]]=0,0.75,Table1[[#This Row],[client_satisfaction2]])</f>
        <v>0.94</v>
      </c>
    </row>
    <row r="374" spans="1:25" x14ac:dyDescent="0.25">
      <c r="A374" t="s">
        <v>828</v>
      </c>
      <c r="B374" t="s">
        <v>829</v>
      </c>
      <c r="C374" t="str">
        <f>PROPER(TRIM(SUBSTITUTE(SUBSTITUTE(SUBSTITUTE(Table1[[#This Row],[name]],"Ms. ",""),"Mr. ",""),"Mrs. ","")))</f>
        <v>Gregory Garrison</v>
      </c>
      <c r="D374" t="s">
        <v>92</v>
      </c>
      <c r="E3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74">
        <v>45</v>
      </c>
      <c r="G374" t="str">
        <f>TRIM(IF(Table1[[#This Row],[age]]="","Unknown",Table1[[#This Row],[age]]))</f>
        <v>45</v>
      </c>
      <c r="H374" t="s">
        <v>93</v>
      </c>
      <c r="I374" t="s">
        <v>94</v>
      </c>
      <c r="J374" t="s">
        <v>51</v>
      </c>
      <c r="K374">
        <v>19</v>
      </c>
      <c r="L374" s="10" t="str">
        <f>TRIM(IF(Table1[[#This Row],[years_of_experience]]="","Unknown",Table1[[#This Row],[years_of_experience]]))</f>
        <v>19</v>
      </c>
      <c r="M374" t="s">
        <v>36</v>
      </c>
      <c r="N374" t="str">
        <f>IF(Table1[[#This Row],[hourly_rate (USD)]]="",MEDIAN(Table1[hourly_rate (USD)]),Table1[[#This Row],[hourly_rate (USD)]])</f>
        <v>$40</v>
      </c>
      <c r="O374" t="str">
        <f>TRIM(CLEAN(Table1[[#This Row],[Updated hourly_rate (USD)]]))</f>
        <v>$40</v>
      </c>
      <c r="P374" t="str">
        <f>SUBSTITUTE(SUBSTITUTE(Table1[[#This Row],[Formatted hourly rate]],"USD ",""),"$","")</f>
        <v>40</v>
      </c>
      <c r="Q374">
        <v>2.2000000000000002</v>
      </c>
      <c r="R374">
        <f>IF(Table1[[#This Row],[rating]]="",2.6,Table1[[#This Row],[rating]])</f>
        <v>2.2000000000000002</v>
      </c>
      <c r="S374">
        <v>1</v>
      </c>
      <c r="T374" t="str">
        <f>TRIM(CLEAN(Table1[[#This Row],[is_active]]))</f>
        <v>1</v>
      </c>
      <c r="U37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74" s="11" t="str">
        <f>TRIM(IF(Table1[[#This Row],[is_active3]]="Unknown","TRUE",Table1[[#This Row],[is_active3]]))</f>
        <v>TRUE</v>
      </c>
      <c r="W374">
        <v>0.78</v>
      </c>
      <c r="X374">
        <f>IF(Table1[[#This Row],[client_satisfaction]]&gt;1,Table1[[#This Row],[client_satisfaction]]/100,Table1[[#This Row],[client_satisfaction]])</f>
        <v>0.78</v>
      </c>
      <c r="Y374">
        <f>IF(Table1[[#This Row],[client_satisfaction2]]=0,0.75,Table1[[#This Row],[client_satisfaction2]])</f>
        <v>0.78</v>
      </c>
    </row>
    <row r="375" spans="1:25" x14ac:dyDescent="0.25">
      <c r="A375" t="s">
        <v>830</v>
      </c>
      <c r="B375" t="s">
        <v>831</v>
      </c>
      <c r="C375" t="str">
        <f>PROPER(TRIM(SUBSTITUTE(SUBSTITUTE(SUBSTITUTE(Table1[[#This Row],[name]],"Ms. ",""),"Mr. ",""),"Mrs. ","")))</f>
        <v>Chelsea Anderson</v>
      </c>
      <c r="D375" t="s">
        <v>39</v>
      </c>
      <c r="E3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75">
        <v>39</v>
      </c>
      <c r="G375" t="str">
        <f>TRIM(IF(Table1[[#This Row],[age]]="","Unknown",Table1[[#This Row],[age]]))</f>
        <v>39</v>
      </c>
      <c r="H375" t="s">
        <v>42</v>
      </c>
      <c r="I375" t="s">
        <v>43</v>
      </c>
      <c r="J375" t="s">
        <v>51</v>
      </c>
      <c r="K375">
        <v>13</v>
      </c>
      <c r="L375" s="10" t="str">
        <f>TRIM(IF(Table1[[#This Row],[years_of_experience]]="","Unknown",Table1[[#This Row],[years_of_experience]]))</f>
        <v>13</v>
      </c>
      <c r="M375">
        <v>30</v>
      </c>
      <c r="N375">
        <f>IF(Table1[[#This Row],[hourly_rate (USD)]]="",MEDIAN(Table1[hourly_rate (USD)]),Table1[[#This Row],[hourly_rate (USD)]])</f>
        <v>30</v>
      </c>
      <c r="O375" t="str">
        <f>TRIM(CLEAN(Table1[[#This Row],[Updated hourly_rate (USD)]]))</f>
        <v>30</v>
      </c>
      <c r="P375" t="str">
        <f>SUBSTITUTE(SUBSTITUTE(Table1[[#This Row],[Formatted hourly rate]],"USD ",""),"$","")</f>
        <v>30</v>
      </c>
      <c r="Q375">
        <v>1.1000000000000001</v>
      </c>
      <c r="R375">
        <f>IF(Table1[[#This Row],[rating]]="",2.6,Table1[[#This Row],[rating]])</f>
        <v>1.1000000000000001</v>
      </c>
      <c r="S375">
        <v>1</v>
      </c>
      <c r="T375" t="str">
        <f>TRIM(CLEAN(Table1[[#This Row],[is_active]]))</f>
        <v>1</v>
      </c>
      <c r="U37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75" s="11" t="str">
        <f>TRIM(IF(Table1[[#This Row],[is_active3]]="Unknown","TRUE",Table1[[#This Row],[is_active3]]))</f>
        <v>TRUE</v>
      </c>
      <c r="X375">
        <f>IF(Table1[[#This Row],[client_satisfaction]]&gt;1,Table1[[#This Row],[client_satisfaction]]/100,Table1[[#This Row],[client_satisfaction]])</f>
        <v>0</v>
      </c>
      <c r="Y375">
        <f>IF(Table1[[#This Row],[client_satisfaction2]]=0,0.75,Table1[[#This Row],[client_satisfaction2]])</f>
        <v>0.75</v>
      </c>
    </row>
    <row r="376" spans="1:25" x14ac:dyDescent="0.25">
      <c r="A376" t="s">
        <v>832</v>
      </c>
      <c r="B376" t="s">
        <v>833</v>
      </c>
      <c r="C376" t="str">
        <f>PROPER(TRIM(SUBSTITUTE(SUBSTITUTE(SUBSTITUTE(Table1[[#This Row],[name]],"Ms. ",""),"Mr. ",""),"Mrs. ","")))</f>
        <v>Gerald Johnson</v>
      </c>
      <c r="D376" t="s">
        <v>61</v>
      </c>
      <c r="E3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376" t="str">
        <f>TRIM(IF(Table1[[#This Row],[age]]="","Unknown",Table1[[#This Row],[age]]))</f>
        <v>Unknown</v>
      </c>
      <c r="H376" t="s">
        <v>71</v>
      </c>
      <c r="I376" t="s">
        <v>72</v>
      </c>
      <c r="J376" t="s">
        <v>17</v>
      </c>
      <c r="L376" s="10" t="str">
        <f>TRIM(IF(Table1[[#This Row],[years_of_experience]]="","Unknown",Table1[[#This Row],[years_of_experience]]))</f>
        <v>Unknown</v>
      </c>
      <c r="M376" t="s">
        <v>64</v>
      </c>
      <c r="N376" t="str">
        <f>IF(Table1[[#This Row],[hourly_rate (USD)]]="",MEDIAN(Table1[hourly_rate (USD)]),Table1[[#This Row],[hourly_rate (USD)]])</f>
        <v>$50</v>
      </c>
      <c r="O376" t="str">
        <f>TRIM(CLEAN(Table1[[#This Row],[Updated hourly_rate (USD)]]))</f>
        <v>$50</v>
      </c>
      <c r="P376" t="str">
        <f>SUBSTITUTE(SUBSTITUTE(Table1[[#This Row],[Formatted hourly rate]],"USD ",""),"$","")</f>
        <v>50</v>
      </c>
      <c r="Q376">
        <v>2.1</v>
      </c>
      <c r="R376">
        <f>IF(Table1[[#This Row],[rating]]="",2.6,Table1[[#This Row],[rating]])</f>
        <v>2.1</v>
      </c>
      <c r="S376">
        <v>1</v>
      </c>
      <c r="T376" t="str">
        <f>TRIM(CLEAN(Table1[[#This Row],[is_active]]))</f>
        <v>1</v>
      </c>
      <c r="U37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76" s="11" t="str">
        <f>TRIM(IF(Table1[[#This Row],[is_active3]]="Unknown","TRUE",Table1[[#This Row],[is_active3]]))</f>
        <v>TRUE</v>
      </c>
      <c r="W376">
        <v>0.82</v>
      </c>
      <c r="X376">
        <f>IF(Table1[[#This Row],[client_satisfaction]]&gt;1,Table1[[#This Row],[client_satisfaction]]/100,Table1[[#This Row],[client_satisfaction]])</f>
        <v>0.82</v>
      </c>
      <c r="Y376">
        <f>IF(Table1[[#This Row],[client_satisfaction2]]=0,0.75,Table1[[#This Row],[client_satisfaction2]])</f>
        <v>0.82</v>
      </c>
    </row>
    <row r="377" spans="1:25" x14ac:dyDescent="0.25">
      <c r="A377" t="s">
        <v>834</v>
      </c>
      <c r="B377" t="s">
        <v>835</v>
      </c>
      <c r="C377" t="str">
        <f>PROPER(TRIM(SUBSTITUTE(SUBSTITUTE(SUBSTITUTE(Table1[[#This Row],[name]],"Ms. ",""),"Mr. ",""),"Mrs. ","")))</f>
        <v>Kevin Ellis</v>
      </c>
      <c r="D377" t="s">
        <v>27</v>
      </c>
      <c r="E3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77">
        <v>24</v>
      </c>
      <c r="G377" t="str">
        <f>TRIM(IF(Table1[[#This Row],[age]]="","Unknown",Table1[[#This Row],[age]]))</f>
        <v>24</v>
      </c>
      <c r="H377" t="s">
        <v>28</v>
      </c>
      <c r="I377" t="s">
        <v>29</v>
      </c>
      <c r="J377" t="s">
        <v>78</v>
      </c>
      <c r="K377">
        <v>3</v>
      </c>
      <c r="L377" s="10" t="str">
        <f>TRIM(IF(Table1[[#This Row],[years_of_experience]]="","Unknown",Table1[[#This Row],[years_of_experience]]))</f>
        <v>3</v>
      </c>
      <c r="M377" t="s">
        <v>45</v>
      </c>
      <c r="N377" t="str">
        <f>IF(Table1[[#This Row],[hourly_rate (USD)]]="",MEDIAN(Table1[hourly_rate (USD)]),Table1[[#This Row],[hourly_rate (USD)]])</f>
        <v>$30</v>
      </c>
      <c r="O377" t="str">
        <f>TRIM(CLEAN(Table1[[#This Row],[Updated hourly_rate (USD)]]))</f>
        <v>$30</v>
      </c>
      <c r="P377" t="str">
        <f>SUBSTITUTE(SUBSTITUTE(Table1[[#This Row],[Formatted hourly rate]],"USD ",""),"$","")</f>
        <v>30</v>
      </c>
      <c r="Q377">
        <v>2.2999999999999998</v>
      </c>
      <c r="R377">
        <f>IF(Table1[[#This Row],[rating]]="",2.6,Table1[[#This Row],[rating]])</f>
        <v>2.2999999999999998</v>
      </c>
      <c r="S377" t="b">
        <v>0</v>
      </c>
      <c r="T377" t="str">
        <f>TRIM(CLEAN(Table1[[#This Row],[is_active]]))</f>
        <v>FALSE</v>
      </c>
      <c r="U37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77" s="11" t="str">
        <f>TRIM(IF(Table1[[#This Row],[is_active3]]="Unknown","TRUE",Table1[[#This Row],[is_active3]]))</f>
        <v>TRUE</v>
      </c>
      <c r="W377">
        <v>0.66</v>
      </c>
      <c r="X377">
        <f>IF(Table1[[#This Row],[client_satisfaction]]&gt;1,Table1[[#This Row],[client_satisfaction]]/100,Table1[[#This Row],[client_satisfaction]])</f>
        <v>0.66</v>
      </c>
      <c r="Y377">
        <f>IF(Table1[[#This Row],[client_satisfaction2]]=0,0.75,Table1[[#This Row],[client_satisfaction2]])</f>
        <v>0.66</v>
      </c>
    </row>
    <row r="378" spans="1:25" x14ac:dyDescent="0.25">
      <c r="A378" t="s">
        <v>836</v>
      </c>
      <c r="B378" t="s">
        <v>837</v>
      </c>
      <c r="C378" t="str">
        <f>PROPER(TRIM(SUBSTITUTE(SUBSTITUTE(SUBSTITUTE(Table1[[#This Row],[name]],"Ms. ",""),"Mr. ",""),"Mrs. ","")))</f>
        <v>Mitchell Keller</v>
      </c>
      <c r="D378" t="s">
        <v>97</v>
      </c>
      <c r="E3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78">
        <v>50</v>
      </c>
      <c r="G378" t="str">
        <f>TRIM(IF(Table1[[#This Row],[age]]="","Unknown",Table1[[#This Row],[age]]))</f>
        <v>50</v>
      </c>
      <c r="H378" t="s">
        <v>21</v>
      </c>
      <c r="I378" t="s">
        <v>22</v>
      </c>
      <c r="J378" t="s">
        <v>30</v>
      </c>
      <c r="K378">
        <v>26</v>
      </c>
      <c r="L378" s="10" t="str">
        <f>TRIM(IF(Table1[[#This Row],[years_of_experience]]="","Unknown",Table1[[#This Row],[years_of_experience]]))</f>
        <v>26</v>
      </c>
      <c r="N378">
        <f>IF(Table1[[#This Row],[hourly_rate (USD)]]="",MEDIAN(Table1[hourly_rate (USD)]),Table1[[#This Row],[hourly_rate (USD)]])</f>
        <v>50</v>
      </c>
      <c r="O378" t="str">
        <f>TRIM(CLEAN(Table1[[#This Row],[Updated hourly_rate (USD)]]))</f>
        <v>50</v>
      </c>
      <c r="P378" t="str">
        <f>SUBSTITUTE(SUBSTITUTE(Table1[[#This Row],[Formatted hourly rate]],"USD ",""),"$","")</f>
        <v>50</v>
      </c>
      <c r="Q378">
        <v>3.6</v>
      </c>
      <c r="R378">
        <f>IF(Table1[[#This Row],[rating]]="",2.6,Table1[[#This Row],[rating]])</f>
        <v>3.6</v>
      </c>
      <c r="S378">
        <v>1</v>
      </c>
      <c r="T378" t="str">
        <f>TRIM(CLEAN(Table1[[#This Row],[is_active]]))</f>
        <v>1</v>
      </c>
      <c r="U37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78" s="11" t="str">
        <f>TRIM(IF(Table1[[#This Row],[is_active3]]="Unknown","TRUE",Table1[[#This Row],[is_active3]]))</f>
        <v>TRUE</v>
      </c>
      <c r="W378">
        <v>82</v>
      </c>
      <c r="X378">
        <f>IF(Table1[[#This Row],[client_satisfaction]]&gt;1,Table1[[#This Row],[client_satisfaction]]/100,Table1[[#This Row],[client_satisfaction]])</f>
        <v>0.82</v>
      </c>
      <c r="Y378">
        <f>IF(Table1[[#This Row],[client_satisfaction2]]=0,0.75,Table1[[#This Row],[client_satisfaction2]])</f>
        <v>0.82</v>
      </c>
    </row>
    <row r="379" spans="1:25" x14ac:dyDescent="0.25">
      <c r="A379" t="s">
        <v>838</v>
      </c>
      <c r="B379" t="s">
        <v>839</v>
      </c>
      <c r="C379" t="str">
        <f>PROPER(TRIM(SUBSTITUTE(SUBSTITUTE(SUBSTITUTE(Table1[[#This Row],[name]],"Ms. ",""),"Mr. ",""),"Mrs. ","")))</f>
        <v>Mary Brown</v>
      </c>
      <c r="D379" t="s">
        <v>39</v>
      </c>
      <c r="E3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79">
        <v>23</v>
      </c>
      <c r="G379" t="str">
        <f>TRIM(IF(Table1[[#This Row],[age]]="","Unknown",Table1[[#This Row],[age]]))</f>
        <v>23</v>
      </c>
      <c r="H379" t="s">
        <v>28</v>
      </c>
      <c r="I379" t="s">
        <v>29</v>
      </c>
      <c r="J379" t="s">
        <v>114</v>
      </c>
      <c r="K379">
        <v>4</v>
      </c>
      <c r="L379" s="10" t="str">
        <f>TRIM(IF(Table1[[#This Row],[years_of_experience]]="","Unknown",Table1[[#This Row],[years_of_experience]]))</f>
        <v>4</v>
      </c>
      <c r="M379" t="s">
        <v>314</v>
      </c>
      <c r="N379" t="str">
        <f>IF(Table1[[#This Row],[hourly_rate (USD)]]="",MEDIAN(Table1[hourly_rate (USD)]),Table1[[#This Row],[hourly_rate (USD)]])</f>
        <v>USD 20</v>
      </c>
      <c r="O379" t="str">
        <f>TRIM(CLEAN(Table1[[#This Row],[Updated hourly_rate (USD)]]))</f>
        <v>USD 20</v>
      </c>
      <c r="P379" t="str">
        <f>SUBSTITUTE(SUBSTITUTE(Table1[[#This Row],[Formatted hourly rate]],"USD ",""),"$","")</f>
        <v>20</v>
      </c>
      <c r="Q379">
        <v>4.7</v>
      </c>
      <c r="R379">
        <f>IF(Table1[[#This Row],[rating]]="",2.6,Table1[[#This Row],[rating]])</f>
        <v>4.7</v>
      </c>
      <c r="S379" t="b">
        <v>1</v>
      </c>
      <c r="T379" t="str">
        <f>TRIM(CLEAN(Table1[[#This Row],[is_active]]))</f>
        <v>TRUE</v>
      </c>
      <c r="U37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79" s="11" t="str">
        <f>TRIM(IF(Table1[[#This Row],[is_active3]]="Unknown","TRUE",Table1[[#This Row],[is_active3]]))</f>
        <v>TRUE</v>
      </c>
      <c r="W379">
        <v>0.84</v>
      </c>
      <c r="X379">
        <f>IF(Table1[[#This Row],[client_satisfaction]]&gt;1,Table1[[#This Row],[client_satisfaction]]/100,Table1[[#This Row],[client_satisfaction]])</f>
        <v>0.84</v>
      </c>
      <c r="Y379">
        <f>IF(Table1[[#This Row],[client_satisfaction2]]=0,0.75,Table1[[#This Row],[client_satisfaction2]])</f>
        <v>0.84</v>
      </c>
    </row>
    <row r="380" spans="1:25" x14ac:dyDescent="0.25">
      <c r="A380" t="s">
        <v>840</v>
      </c>
      <c r="B380" t="s">
        <v>841</v>
      </c>
      <c r="C380" t="str">
        <f>PROPER(TRIM(SUBSTITUTE(SUBSTITUTE(SUBSTITUTE(Table1[[#This Row],[name]],"Ms. ",""),"Mr. ",""),"Mrs. ","")))</f>
        <v>Ronald Walls</v>
      </c>
      <c r="D380" t="s">
        <v>61</v>
      </c>
      <c r="E3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80">
        <v>27</v>
      </c>
      <c r="G380" t="str">
        <f>TRIM(IF(Table1[[#This Row],[age]]="","Unknown",Table1[[#This Row],[age]]))</f>
        <v>27</v>
      </c>
      <c r="H380" t="s">
        <v>128</v>
      </c>
      <c r="I380" t="s">
        <v>22</v>
      </c>
      <c r="J380" t="s">
        <v>78</v>
      </c>
      <c r="K380">
        <v>8</v>
      </c>
      <c r="L380" s="10" t="str">
        <f>TRIM(IF(Table1[[#This Row],[years_of_experience]]="","Unknown",Table1[[#This Row],[years_of_experience]]))</f>
        <v>8</v>
      </c>
      <c r="M380">
        <v>20</v>
      </c>
      <c r="N380">
        <f>IF(Table1[[#This Row],[hourly_rate (USD)]]="",MEDIAN(Table1[hourly_rate (USD)]),Table1[[#This Row],[hourly_rate (USD)]])</f>
        <v>20</v>
      </c>
      <c r="O380" t="str">
        <f>TRIM(CLEAN(Table1[[#This Row],[Updated hourly_rate (USD)]]))</f>
        <v>20</v>
      </c>
      <c r="P380" t="str">
        <f>SUBSTITUTE(SUBSTITUTE(Table1[[#This Row],[Formatted hourly rate]],"USD ",""),"$","")</f>
        <v>20</v>
      </c>
      <c r="Q380">
        <v>4.8</v>
      </c>
      <c r="R380">
        <f>IF(Table1[[#This Row],[rating]]="",2.6,Table1[[#This Row],[rating]])</f>
        <v>4.8</v>
      </c>
      <c r="S380" t="s">
        <v>31</v>
      </c>
      <c r="T380" t="str">
        <f>TRIM(CLEAN(Table1[[#This Row],[is_active]]))</f>
        <v>N</v>
      </c>
      <c r="U38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80" s="11" t="str">
        <f>TRIM(IF(Table1[[#This Row],[is_active3]]="Unknown","TRUE",Table1[[#This Row],[is_active3]]))</f>
        <v>FALSE</v>
      </c>
      <c r="W380">
        <v>0.81</v>
      </c>
      <c r="X380">
        <f>IF(Table1[[#This Row],[client_satisfaction]]&gt;1,Table1[[#This Row],[client_satisfaction]]/100,Table1[[#This Row],[client_satisfaction]])</f>
        <v>0.81</v>
      </c>
      <c r="Y380">
        <f>IF(Table1[[#This Row],[client_satisfaction2]]=0,0.75,Table1[[#This Row],[client_satisfaction2]])</f>
        <v>0.81</v>
      </c>
    </row>
    <row r="381" spans="1:25" x14ac:dyDescent="0.25">
      <c r="A381" t="s">
        <v>842</v>
      </c>
      <c r="B381" t="s">
        <v>843</v>
      </c>
      <c r="C381" t="str">
        <f>PROPER(TRIM(SUBSTITUTE(SUBSTITUTE(SUBSTITUTE(Table1[[#This Row],[name]],"Ms. ",""),"Mr. ",""),"Mrs. ","")))</f>
        <v>Anthony Avila</v>
      </c>
      <c r="D381" t="s">
        <v>97</v>
      </c>
      <c r="E3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81">
        <v>58</v>
      </c>
      <c r="G381" t="str">
        <f>TRIM(IF(Table1[[#This Row],[age]]="","Unknown",Table1[[#This Row],[age]]))</f>
        <v>58</v>
      </c>
      <c r="H381" t="s">
        <v>153</v>
      </c>
      <c r="I381" t="s">
        <v>154</v>
      </c>
      <c r="J381" t="s">
        <v>44</v>
      </c>
      <c r="K381">
        <v>10</v>
      </c>
      <c r="L381" s="10" t="str">
        <f>TRIM(IF(Table1[[#This Row],[years_of_experience]]="","Unknown",Table1[[#This Row],[years_of_experience]]))</f>
        <v>10</v>
      </c>
      <c r="M381">
        <v>75</v>
      </c>
      <c r="N381">
        <f>IF(Table1[[#This Row],[hourly_rate (USD)]]="",MEDIAN(Table1[hourly_rate (USD)]),Table1[[#This Row],[hourly_rate (USD)]])</f>
        <v>75</v>
      </c>
      <c r="O381" t="str">
        <f>TRIM(CLEAN(Table1[[#This Row],[Updated hourly_rate (USD)]]))</f>
        <v>75</v>
      </c>
      <c r="P381" t="str">
        <f>SUBSTITUTE(SUBSTITUTE(Table1[[#This Row],[Formatted hourly rate]],"USD ",""),"$","")</f>
        <v>75</v>
      </c>
      <c r="Q381">
        <v>4.2</v>
      </c>
      <c r="R381">
        <f>IF(Table1[[#This Row],[rating]]="",2.6,Table1[[#This Row],[rating]])</f>
        <v>4.2</v>
      </c>
      <c r="S381" t="s">
        <v>31</v>
      </c>
      <c r="T381" t="str">
        <f>TRIM(CLEAN(Table1[[#This Row],[is_active]]))</f>
        <v>N</v>
      </c>
      <c r="U38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81" s="11" t="str">
        <f>TRIM(IF(Table1[[#This Row],[is_active3]]="Unknown","TRUE",Table1[[#This Row],[is_active3]]))</f>
        <v>FALSE</v>
      </c>
      <c r="W381">
        <v>71</v>
      </c>
      <c r="X381">
        <f>IF(Table1[[#This Row],[client_satisfaction]]&gt;1,Table1[[#This Row],[client_satisfaction]]/100,Table1[[#This Row],[client_satisfaction]])</f>
        <v>0.71</v>
      </c>
      <c r="Y381">
        <f>IF(Table1[[#This Row],[client_satisfaction2]]=0,0.75,Table1[[#This Row],[client_satisfaction2]])</f>
        <v>0.71</v>
      </c>
    </row>
    <row r="382" spans="1:25" x14ac:dyDescent="0.25">
      <c r="A382" t="s">
        <v>844</v>
      </c>
      <c r="B382" t="s">
        <v>845</v>
      </c>
      <c r="C382" t="str">
        <f>PROPER(TRIM(SUBSTITUTE(SUBSTITUTE(SUBSTITUTE(Table1[[#This Row],[name]],"Ms. ",""),"Mr. ",""),"Mrs. ","")))</f>
        <v>Douglas Goodwin</v>
      </c>
      <c r="D382" t="s">
        <v>48</v>
      </c>
      <c r="E3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82">
        <v>37</v>
      </c>
      <c r="G382" t="str">
        <f>TRIM(IF(Table1[[#This Row],[age]]="","Unknown",Table1[[#This Row],[age]]))</f>
        <v>37</v>
      </c>
      <c r="H382" t="s">
        <v>15</v>
      </c>
      <c r="I382" t="s">
        <v>16</v>
      </c>
      <c r="J382" t="s">
        <v>114</v>
      </c>
      <c r="K382">
        <v>5</v>
      </c>
      <c r="L382" s="10" t="str">
        <f>TRIM(IF(Table1[[#This Row],[years_of_experience]]="","Unknown",Table1[[#This Row],[years_of_experience]]))</f>
        <v>5</v>
      </c>
      <c r="N382">
        <f>IF(Table1[[#This Row],[hourly_rate (USD)]]="",MEDIAN(Table1[hourly_rate (USD)]),Table1[[#This Row],[hourly_rate (USD)]])</f>
        <v>50</v>
      </c>
      <c r="O382" t="str">
        <f>TRIM(CLEAN(Table1[[#This Row],[Updated hourly_rate (USD)]]))</f>
        <v>50</v>
      </c>
      <c r="P382" t="str">
        <f>SUBSTITUTE(SUBSTITUTE(Table1[[#This Row],[Formatted hourly rate]],"USD ",""),"$","")</f>
        <v>50</v>
      </c>
      <c r="Q382">
        <v>4.8</v>
      </c>
      <c r="R382">
        <f>IF(Table1[[#This Row],[rating]]="",2.6,Table1[[#This Row],[rating]])</f>
        <v>4.8</v>
      </c>
      <c r="S382">
        <v>1</v>
      </c>
      <c r="T382" t="str">
        <f>TRIM(CLEAN(Table1[[#This Row],[is_active]]))</f>
        <v>1</v>
      </c>
      <c r="U38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82" s="11" t="str">
        <f>TRIM(IF(Table1[[#This Row],[is_active3]]="Unknown","TRUE",Table1[[#This Row],[is_active3]]))</f>
        <v>TRUE</v>
      </c>
      <c r="W382">
        <v>0.61</v>
      </c>
      <c r="X382">
        <f>IF(Table1[[#This Row],[client_satisfaction]]&gt;1,Table1[[#This Row],[client_satisfaction]]/100,Table1[[#This Row],[client_satisfaction]])</f>
        <v>0.61</v>
      </c>
      <c r="Y382">
        <f>IF(Table1[[#This Row],[client_satisfaction2]]=0,0.75,Table1[[#This Row],[client_satisfaction2]])</f>
        <v>0.61</v>
      </c>
    </row>
    <row r="383" spans="1:25" x14ac:dyDescent="0.25">
      <c r="A383" t="s">
        <v>846</v>
      </c>
      <c r="B383" t="s">
        <v>847</v>
      </c>
      <c r="C383" t="str">
        <f>PROPER(TRIM(SUBSTITUTE(SUBSTITUTE(SUBSTITUTE(Table1[[#This Row],[name]],"Ms. ",""),"Mr. ",""),"Mrs. ","")))</f>
        <v>James Mills</v>
      </c>
      <c r="D383" t="s">
        <v>61</v>
      </c>
      <c r="E3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83">
        <v>39</v>
      </c>
      <c r="G383" t="str">
        <f>TRIM(IF(Table1[[#This Row],[age]]="","Unknown",Table1[[#This Row],[age]]))</f>
        <v>39</v>
      </c>
      <c r="H383" t="s">
        <v>190</v>
      </c>
      <c r="I383" t="s">
        <v>72</v>
      </c>
      <c r="J383" t="s">
        <v>17</v>
      </c>
      <c r="K383">
        <v>18</v>
      </c>
      <c r="L383" s="10" t="str">
        <f>TRIM(IF(Table1[[#This Row],[years_of_experience]]="","Unknown",Table1[[#This Row],[years_of_experience]]))</f>
        <v>18</v>
      </c>
      <c r="M383">
        <v>75</v>
      </c>
      <c r="N383">
        <f>IF(Table1[[#This Row],[hourly_rate (USD)]]="",MEDIAN(Table1[hourly_rate (USD)]),Table1[[#This Row],[hourly_rate (USD)]])</f>
        <v>75</v>
      </c>
      <c r="O383" t="str">
        <f>TRIM(CLEAN(Table1[[#This Row],[Updated hourly_rate (USD)]]))</f>
        <v>75</v>
      </c>
      <c r="P383" t="str">
        <f>SUBSTITUTE(SUBSTITUTE(Table1[[#This Row],[Formatted hourly rate]],"USD ",""),"$","")</f>
        <v>75</v>
      </c>
      <c r="Q383">
        <v>4</v>
      </c>
      <c r="R383">
        <f>IF(Table1[[#This Row],[rating]]="",2.6,Table1[[#This Row],[rating]])</f>
        <v>4</v>
      </c>
      <c r="S383">
        <v>1</v>
      </c>
      <c r="T383" t="str">
        <f>TRIM(CLEAN(Table1[[#This Row],[is_active]]))</f>
        <v>1</v>
      </c>
      <c r="U3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83" s="11" t="str">
        <f>TRIM(IF(Table1[[#This Row],[is_active3]]="Unknown","TRUE",Table1[[#This Row],[is_active3]]))</f>
        <v>TRUE</v>
      </c>
      <c r="W383">
        <v>0.66</v>
      </c>
      <c r="X383">
        <f>IF(Table1[[#This Row],[client_satisfaction]]&gt;1,Table1[[#This Row],[client_satisfaction]]/100,Table1[[#This Row],[client_satisfaction]])</f>
        <v>0.66</v>
      </c>
      <c r="Y383">
        <f>IF(Table1[[#This Row],[client_satisfaction2]]=0,0.75,Table1[[#This Row],[client_satisfaction2]])</f>
        <v>0.66</v>
      </c>
    </row>
    <row r="384" spans="1:25" x14ac:dyDescent="0.25">
      <c r="A384" t="s">
        <v>848</v>
      </c>
      <c r="B384" t="s">
        <v>849</v>
      </c>
      <c r="C384" t="str">
        <f>PROPER(TRIM(SUBSTITUTE(SUBSTITUTE(SUBSTITUTE(Table1[[#This Row],[name]],"Ms. ",""),"Mr. ",""),"Mrs. ","")))</f>
        <v>Nicole Marks</v>
      </c>
      <c r="D384" t="s">
        <v>20</v>
      </c>
      <c r="E3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84">
        <v>46</v>
      </c>
      <c r="G384" t="str">
        <f>TRIM(IF(Table1[[#This Row],[age]]="","Unknown",Table1[[#This Row],[age]]))</f>
        <v>46</v>
      </c>
      <c r="H384" t="s">
        <v>139</v>
      </c>
      <c r="I384" t="s">
        <v>140</v>
      </c>
      <c r="J384" t="s">
        <v>51</v>
      </c>
      <c r="K384">
        <v>10</v>
      </c>
      <c r="L384" s="10" t="str">
        <f>TRIM(IF(Table1[[#This Row],[years_of_experience]]="","Unknown",Table1[[#This Row],[years_of_experience]]))</f>
        <v>10</v>
      </c>
      <c r="M384" t="s">
        <v>121</v>
      </c>
      <c r="N384" t="str">
        <f>IF(Table1[[#This Row],[hourly_rate (USD)]]="",MEDIAN(Table1[hourly_rate (USD)]),Table1[[#This Row],[hourly_rate (USD)]])</f>
        <v>$20</v>
      </c>
      <c r="O384" t="str">
        <f>TRIM(CLEAN(Table1[[#This Row],[Updated hourly_rate (USD)]]))</f>
        <v>$20</v>
      </c>
      <c r="P384" t="str">
        <f>SUBSTITUTE(SUBSTITUTE(Table1[[#This Row],[Formatted hourly rate]],"USD ",""),"$","")</f>
        <v>20</v>
      </c>
      <c r="Q384">
        <v>2.5</v>
      </c>
      <c r="R384">
        <f>IF(Table1[[#This Row],[rating]]="",2.6,Table1[[#This Row],[rating]])</f>
        <v>2.5</v>
      </c>
      <c r="S384" t="b">
        <v>1</v>
      </c>
      <c r="T384" t="str">
        <f>TRIM(CLEAN(Table1[[#This Row],[is_active]]))</f>
        <v>TRUE</v>
      </c>
      <c r="U38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84" s="11" t="str">
        <f>TRIM(IF(Table1[[#This Row],[is_active3]]="Unknown","TRUE",Table1[[#This Row],[is_active3]]))</f>
        <v>TRUE</v>
      </c>
      <c r="W384">
        <v>0.97</v>
      </c>
      <c r="X384">
        <f>IF(Table1[[#This Row],[client_satisfaction]]&gt;1,Table1[[#This Row],[client_satisfaction]]/100,Table1[[#This Row],[client_satisfaction]])</f>
        <v>0.97</v>
      </c>
      <c r="Y384">
        <f>IF(Table1[[#This Row],[client_satisfaction2]]=0,0.75,Table1[[#This Row],[client_satisfaction2]])</f>
        <v>0.97</v>
      </c>
    </row>
    <row r="385" spans="1:25" x14ac:dyDescent="0.25">
      <c r="A385" t="s">
        <v>850</v>
      </c>
      <c r="B385" t="s">
        <v>851</v>
      </c>
      <c r="C385" t="str">
        <f>PROPER(TRIM(SUBSTITUTE(SUBSTITUTE(SUBSTITUTE(Table1[[#This Row],[name]],"Ms. ",""),"Mr. ",""),"Mrs. ","")))</f>
        <v>Phyllis Dawson</v>
      </c>
      <c r="D385" t="s">
        <v>77</v>
      </c>
      <c r="E3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385" t="str">
        <f>TRIM(IF(Table1[[#This Row],[age]]="","Unknown",Table1[[#This Row],[age]]))</f>
        <v>Unknown</v>
      </c>
      <c r="H385" t="s">
        <v>67</v>
      </c>
      <c r="I385" t="s">
        <v>22</v>
      </c>
      <c r="J385" t="s">
        <v>73</v>
      </c>
      <c r="K385">
        <v>0</v>
      </c>
      <c r="L385" s="10" t="str">
        <f>TRIM(IF(Table1[[#This Row],[years_of_experience]]="","Unknown",Table1[[#This Row],[years_of_experience]]))</f>
        <v>0</v>
      </c>
      <c r="M385" t="s">
        <v>314</v>
      </c>
      <c r="N385" t="str">
        <f>IF(Table1[[#This Row],[hourly_rate (USD)]]="",MEDIAN(Table1[hourly_rate (USD)]),Table1[[#This Row],[hourly_rate (USD)]])</f>
        <v>USD 20</v>
      </c>
      <c r="O385" t="str">
        <f>TRIM(CLEAN(Table1[[#This Row],[Updated hourly_rate (USD)]]))</f>
        <v>USD 20</v>
      </c>
      <c r="P385" t="str">
        <f>SUBSTITUTE(SUBSTITUTE(Table1[[#This Row],[Formatted hourly rate]],"USD ",""),"$","")</f>
        <v>20</v>
      </c>
      <c r="Q385">
        <v>4.8</v>
      </c>
      <c r="R385">
        <f>IF(Table1[[#This Row],[rating]]="",2.6,Table1[[#This Row],[rating]])</f>
        <v>4.8</v>
      </c>
      <c r="S385">
        <v>0</v>
      </c>
      <c r="T385" t="str">
        <f>TRIM(CLEAN(Table1[[#This Row],[is_active]]))</f>
        <v>0</v>
      </c>
      <c r="U38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85" s="11" t="str">
        <f>TRIM(IF(Table1[[#This Row],[is_active3]]="Unknown","TRUE",Table1[[#This Row],[is_active3]]))</f>
        <v>FALSE</v>
      </c>
      <c r="W385">
        <v>0.74</v>
      </c>
      <c r="X385">
        <f>IF(Table1[[#This Row],[client_satisfaction]]&gt;1,Table1[[#This Row],[client_satisfaction]]/100,Table1[[#This Row],[client_satisfaction]])</f>
        <v>0.74</v>
      </c>
      <c r="Y385">
        <f>IF(Table1[[#This Row],[client_satisfaction2]]=0,0.75,Table1[[#This Row],[client_satisfaction2]])</f>
        <v>0.74</v>
      </c>
    </row>
    <row r="386" spans="1:25" x14ac:dyDescent="0.25">
      <c r="A386" t="s">
        <v>852</v>
      </c>
      <c r="B386" t="s">
        <v>853</v>
      </c>
      <c r="C386" t="str">
        <f>PROPER(TRIM(SUBSTITUTE(SUBSTITUTE(SUBSTITUTE(Table1[[#This Row],[name]],"Ms. ",""),"Mr. ",""),"Mrs. ","")))</f>
        <v>Renee Arnold</v>
      </c>
      <c r="D386" t="s">
        <v>14</v>
      </c>
      <c r="E3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86">
        <v>39</v>
      </c>
      <c r="G386" t="str">
        <f>TRIM(IF(Table1[[#This Row],[age]]="","Unknown",Table1[[#This Row],[age]]))</f>
        <v>39</v>
      </c>
      <c r="H386" t="s">
        <v>179</v>
      </c>
      <c r="I386" t="s">
        <v>72</v>
      </c>
      <c r="J386" t="s">
        <v>17</v>
      </c>
      <c r="K386">
        <v>21</v>
      </c>
      <c r="L386" s="10" t="str">
        <f>TRIM(IF(Table1[[#This Row],[years_of_experience]]="","Unknown",Table1[[#This Row],[years_of_experience]]))</f>
        <v>21</v>
      </c>
      <c r="M386">
        <v>30</v>
      </c>
      <c r="N386">
        <f>IF(Table1[[#This Row],[hourly_rate (USD)]]="",MEDIAN(Table1[hourly_rate (USD)]),Table1[[#This Row],[hourly_rate (USD)]])</f>
        <v>30</v>
      </c>
      <c r="O386" t="str">
        <f>TRIM(CLEAN(Table1[[#This Row],[Updated hourly_rate (USD)]]))</f>
        <v>30</v>
      </c>
      <c r="P386" t="str">
        <f>SUBSTITUTE(SUBSTITUTE(Table1[[#This Row],[Formatted hourly rate]],"USD ",""),"$","")</f>
        <v>30</v>
      </c>
      <c r="Q386">
        <v>4.7</v>
      </c>
      <c r="R386">
        <f>IF(Table1[[#This Row],[rating]]="",2.6,Table1[[#This Row],[rating]])</f>
        <v>4.7</v>
      </c>
      <c r="S386" t="b">
        <v>0</v>
      </c>
      <c r="T386" t="str">
        <f>TRIM(CLEAN(Table1[[#This Row],[is_active]]))</f>
        <v>FALSE</v>
      </c>
      <c r="U38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386" s="11" t="str">
        <f>TRIM(IF(Table1[[#This Row],[is_active3]]="Unknown","TRUE",Table1[[#This Row],[is_active3]]))</f>
        <v>TRUE</v>
      </c>
      <c r="W386">
        <v>0.61</v>
      </c>
      <c r="X386">
        <f>IF(Table1[[#This Row],[client_satisfaction]]&gt;1,Table1[[#This Row],[client_satisfaction]]/100,Table1[[#This Row],[client_satisfaction]])</f>
        <v>0.61</v>
      </c>
      <c r="Y386">
        <f>IF(Table1[[#This Row],[client_satisfaction2]]=0,0.75,Table1[[#This Row],[client_satisfaction2]])</f>
        <v>0.61</v>
      </c>
    </row>
    <row r="387" spans="1:25" x14ac:dyDescent="0.25">
      <c r="A387" t="s">
        <v>854</v>
      </c>
      <c r="B387" t="s">
        <v>855</v>
      </c>
      <c r="C387" t="str">
        <f>PROPER(TRIM(SUBSTITUTE(SUBSTITUTE(SUBSTITUTE(Table1[[#This Row],[name]],"Ms. ",""),"Mr. ",""),"Mrs. ","")))</f>
        <v>Eric Robinson</v>
      </c>
      <c r="D387" t="s">
        <v>92</v>
      </c>
      <c r="E3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87">
        <v>59</v>
      </c>
      <c r="G387" t="str">
        <f>TRIM(IF(Table1[[#This Row],[age]]="","Unknown",Table1[[#This Row],[age]]))</f>
        <v>59</v>
      </c>
      <c r="H387" t="s">
        <v>139</v>
      </c>
      <c r="I387" t="s">
        <v>140</v>
      </c>
      <c r="J387" t="s">
        <v>17</v>
      </c>
      <c r="K387">
        <v>25</v>
      </c>
      <c r="L387" s="10" t="str">
        <f>TRIM(IF(Table1[[#This Row],[years_of_experience]]="","Unknown",Table1[[#This Row],[years_of_experience]]))</f>
        <v>25</v>
      </c>
      <c r="M387">
        <v>20</v>
      </c>
      <c r="N387">
        <f>IF(Table1[[#This Row],[hourly_rate (USD)]]="",MEDIAN(Table1[hourly_rate (USD)]),Table1[[#This Row],[hourly_rate (USD)]])</f>
        <v>20</v>
      </c>
      <c r="O387" t="str">
        <f>TRIM(CLEAN(Table1[[#This Row],[Updated hourly_rate (USD)]]))</f>
        <v>20</v>
      </c>
      <c r="P387" t="str">
        <f>SUBSTITUTE(SUBSTITUTE(Table1[[#This Row],[Formatted hourly rate]],"USD ",""),"$","")</f>
        <v>20</v>
      </c>
      <c r="Q387">
        <v>4</v>
      </c>
      <c r="R387">
        <f>IF(Table1[[#This Row],[rating]]="",2.6,Table1[[#This Row],[rating]])</f>
        <v>4</v>
      </c>
      <c r="S387">
        <v>0</v>
      </c>
      <c r="T387" t="str">
        <f>TRIM(CLEAN(Table1[[#This Row],[is_active]]))</f>
        <v>0</v>
      </c>
      <c r="U38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87" s="11" t="str">
        <f>TRIM(IF(Table1[[#This Row],[is_active3]]="Unknown","TRUE",Table1[[#This Row],[is_active3]]))</f>
        <v>FALSE</v>
      </c>
      <c r="W387">
        <v>0.9</v>
      </c>
      <c r="X387">
        <f>IF(Table1[[#This Row],[client_satisfaction]]&gt;1,Table1[[#This Row],[client_satisfaction]]/100,Table1[[#This Row],[client_satisfaction]])</f>
        <v>0.9</v>
      </c>
      <c r="Y387">
        <f>IF(Table1[[#This Row],[client_satisfaction2]]=0,0.75,Table1[[#This Row],[client_satisfaction2]])</f>
        <v>0.9</v>
      </c>
    </row>
    <row r="388" spans="1:25" x14ac:dyDescent="0.25">
      <c r="A388" t="s">
        <v>856</v>
      </c>
      <c r="B388" t="s">
        <v>857</v>
      </c>
      <c r="C388" t="str">
        <f>PROPER(TRIM(SUBSTITUTE(SUBSTITUTE(SUBSTITUTE(Table1[[#This Row],[name]],"Ms. ",""),"Mr. ",""),"Mrs. ","")))</f>
        <v>Paul Brown</v>
      </c>
      <c r="D388" t="s">
        <v>48</v>
      </c>
      <c r="E3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88">
        <v>21</v>
      </c>
      <c r="G388" t="str">
        <f>TRIM(IF(Table1[[#This Row],[age]]="","Unknown",Table1[[#This Row],[age]]))</f>
        <v>21</v>
      </c>
      <c r="H388" t="s">
        <v>42</v>
      </c>
      <c r="I388" t="s">
        <v>43</v>
      </c>
      <c r="J388" t="s">
        <v>89</v>
      </c>
      <c r="K388">
        <v>0</v>
      </c>
      <c r="L388" s="10" t="str">
        <f>TRIM(IF(Table1[[#This Row],[years_of_experience]]="","Unknown",Table1[[#This Row],[years_of_experience]]))</f>
        <v>0</v>
      </c>
      <c r="M388" t="s">
        <v>36</v>
      </c>
      <c r="N388" t="str">
        <f>IF(Table1[[#This Row],[hourly_rate (USD)]]="",MEDIAN(Table1[hourly_rate (USD)]),Table1[[#This Row],[hourly_rate (USD)]])</f>
        <v>$40</v>
      </c>
      <c r="O388" t="str">
        <f>TRIM(CLEAN(Table1[[#This Row],[Updated hourly_rate (USD)]]))</f>
        <v>$40</v>
      </c>
      <c r="P388" t="str">
        <f>SUBSTITUTE(SUBSTITUTE(Table1[[#This Row],[Formatted hourly rate]],"USD ",""),"$","")</f>
        <v>40</v>
      </c>
      <c r="Q388">
        <v>4.0999999999999996</v>
      </c>
      <c r="R388">
        <f>IF(Table1[[#This Row],[rating]]="",2.6,Table1[[#This Row],[rating]])</f>
        <v>4.0999999999999996</v>
      </c>
      <c r="S388" t="s">
        <v>74</v>
      </c>
      <c r="T388" t="str">
        <f>TRIM(CLEAN(Table1[[#This Row],[is_active]]))</f>
        <v>Y</v>
      </c>
      <c r="U38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88" s="11" t="str">
        <f>TRIM(IF(Table1[[#This Row],[is_active3]]="Unknown","TRUE",Table1[[#This Row],[is_active3]]))</f>
        <v>TRUE</v>
      </c>
      <c r="W388">
        <v>0.97</v>
      </c>
      <c r="X388">
        <f>IF(Table1[[#This Row],[client_satisfaction]]&gt;1,Table1[[#This Row],[client_satisfaction]]/100,Table1[[#This Row],[client_satisfaction]])</f>
        <v>0.97</v>
      </c>
      <c r="Y388">
        <f>IF(Table1[[#This Row],[client_satisfaction2]]=0,0.75,Table1[[#This Row],[client_satisfaction2]])</f>
        <v>0.97</v>
      </c>
    </row>
    <row r="389" spans="1:25" x14ac:dyDescent="0.25">
      <c r="A389" t="s">
        <v>858</v>
      </c>
      <c r="B389" t="s">
        <v>859</v>
      </c>
      <c r="C389" t="str">
        <f>PROPER(TRIM(SUBSTITUTE(SUBSTITUTE(SUBSTITUTE(Table1[[#This Row],[name]],"Ms. ",""),"Mr. ",""),"Mrs. ","")))</f>
        <v>Sarah Proctor</v>
      </c>
      <c r="D389" t="s">
        <v>20</v>
      </c>
      <c r="E3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89">
        <v>23</v>
      </c>
      <c r="G389" t="str">
        <f>TRIM(IF(Table1[[#This Row],[age]]="","Unknown",Table1[[#This Row],[age]]))</f>
        <v>23</v>
      </c>
      <c r="H389" t="s">
        <v>128</v>
      </c>
      <c r="I389" t="s">
        <v>22</v>
      </c>
      <c r="J389" t="s">
        <v>89</v>
      </c>
      <c r="K389">
        <v>5</v>
      </c>
      <c r="L389" s="10" t="str">
        <f>TRIM(IF(Table1[[#This Row],[years_of_experience]]="","Unknown",Table1[[#This Row],[years_of_experience]]))</f>
        <v>5</v>
      </c>
      <c r="M389">
        <v>100</v>
      </c>
      <c r="N389">
        <f>IF(Table1[[#This Row],[hourly_rate (USD)]]="",MEDIAN(Table1[hourly_rate (USD)]),Table1[[#This Row],[hourly_rate (USD)]])</f>
        <v>100</v>
      </c>
      <c r="O389" t="str">
        <f>TRIM(CLEAN(Table1[[#This Row],[Updated hourly_rate (USD)]]))</f>
        <v>100</v>
      </c>
      <c r="P389" t="str">
        <f>SUBSTITUTE(SUBSTITUTE(Table1[[#This Row],[Formatted hourly rate]],"USD ",""),"$","")</f>
        <v>100</v>
      </c>
      <c r="Q389">
        <v>3.2</v>
      </c>
      <c r="R389">
        <f>IF(Table1[[#This Row],[rating]]="",2.6,Table1[[#This Row],[rating]])</f>
        <v>3.2</v>
      </c>
      <c r="S389">
        <v>1</v>
      </c>
      <c r="T389" t="str">
        <f>TRIM(CLEAN(Table1[[#This Row],[is_active]]))</f>
        <v>1</v>
      </c>
      <c r="U38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89" s="11" t="str">
        <f>TRIM(IF(Table1[[#This Row],[is_active3]]="Unknown","TRUE",Table1[[#This Row],[is_active3]]))</f>
        <v>TRUE</v>
      </c>
      <c r="X389">
        <f>IF(Table1[[#This Row],[client_satisfaction]]&gt;1,Table1[[#This Row],[client_satisfaction]]/100,Table1[[#This Row],[client_satisfaction]])</f>
        <v>0</v>
      </c>
      <c r="Y389">
        <f>IF(Table1[[#This Row],[client_satisfaction2]]=0,0.75,Table1[[#This Row],[client_satisfaction2]])</f>
        <v>0.75</v>
      </c>
    </row>
    <row r="390" spans="1:25" x14ac:dyDescent="0.25">
      <c r="A390" t="s">
        <v>860</v>
      </c>
      <c r="B390" t="s">
        <v>861</v>
      </c>
      <c r="C390" t="str">
        <f>PROPER(TRIM(SUBSTITUTE(SUBSTITUTE(SUBSTITUTE(Table1[[#This Row],[name]],"Ms. ",""),"Mr. ",""),"Mrs. ","")))</f>
        <v>Matthew Hicks</v>
      </c>
      <c r="D390" t="s">
        <v>48</v>
      </c>
      <c r="E3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90">
        <v>27</v>
      </c>
      <c r="G390" t="str">
        <f>TRIM(IF(Table1[[#This Row],[age]]="","Unknown",Table1[[#This Row],[age]]))</f>
        <v>27</v>
      </c>
      <c r="H390" t="s">
        <v>139</v>
      </c>
      <c r="I390" t="s">
        <v>140</v>
      </c>
      <c r="J390" t="s">
        <v>35</v>
      </c>
      <c r="K390">
        <v>1</v>
      </c>
      <c r="L390" s="10" t="str">
        <f>TRIM(IF(Table1[[#This Row],[years_of_experience]]="","Unknown",Table1[[#This Row],[years_of_experience]]))</f>
        <v>1</v>
      </c>
      <c r="M390">
        <v>20</v>
      </c>
      <c r="N390">
        <f>IF(Table1[[#This Row],[hourly_rate (USD)]]="",MEDIAN(Table1[hourly_rate (USD)]),Table1[[#This Row],[hourly_rate (USD)]])</f>
        <v>20</v>
      </c>
      <c r="O390" t="str">
        <f>TRIM(CLEAN(Table1[[#This Row],[Updated hourly_rate (USD)]]))</f>
        <v>20</v>
      </c>
      <c r="P390" t="str">
        <f>SUBSTITUTE(SUBSTITUTE(Table1[[#This Row],[Formatted hourly rate]],"USD ",""),"$","")</f>
        <v>20</v>
      </c>
      <c r="Q390">
        <v>4.3</v>
      </c>
      <c r="R390">
        <f>IF(Table1[[#This Row],[rating]]="",2.6,Table1[[#This Row],[rating]])</f>
        <v>4.3</v>
      </c>
      <c r="S390" t="s">
        <v>31</v>
      </c>
      <c r="T390" t="str">
        <f>TRIM(CLEAN(Table1[[#This Row],[is_active]]))</f>
        <v>N</v>
      </c>
      <c r="U39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90" s="11" t="str">
        <f>TRIM(IF(Table1[[#This Row],[is_active3]]="Unknown","TRUE",Table1[[#This Row],[is_active3]]))</f>
        <v>FALSE</v>
      </c>
      <c r="W390">
        <v>0.76</v>
      </c>
      <c r="X390">
        <f>IF(Table1[[#This Row],[client_satisfaction]]&gt;1,Table1[[#This Row],[client_satisfaction]]/100,Table1[[#This Row],[client_satisfaction]])</f>
        <v>0.76</v>
      </c>
      <c r="Y390">
        <f>IF(Table1[[#This Row],[client_satisfaction2]]=0,0.75,Table1[[#This Row],[client_satisfaction2]])</f>
        <v>0.76</v>
      </c>
    </row>
    <row r="391" spans="1:25" x14ac:dyDescent="0.25">
      <c r="A391" t="s">
        <v>862</v>
      </c>
      <c r="B391" t="s">
        <v>863</v>
      </c>
      <c r="C391" t="str">
        <f>PROPER(TRIM(SUBSTITUTE(SUBSTITUTE(SUBSTITUTE(Table1[[#This Row],[name]],"Ms. ",""),"Mr. ",""),"Mrs. ","")))</f>
        <v>Christopher Black</v>
      </c>
      <c r="D391" t="s">
        <v>48</v>
      </c>
      <c r="E3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91">
        <v>27</v>
      </c>
      <c r="G391" t="str">
        <f>TRIM(IF(Table1[[#This Row],[age]]="","Unknown",Table1[[#This Row],[age]]))</f>
        <v>27</v>
      </c>
      <c r="H391" t="s">
        <v>175</v>
      </c>
      <c r="I391" t="s">
        <v>176</v>
      </c>
      <c r="J391" t="s">
        <v>78</v>
      </c>
      <c r="K391">
        <v>4</v>
      </c>
      <c r="L391" s="10" t="str">
        <f>TRIM(IF(Table1[[#This Row],[years_of_experience]]="","Unknown",Table1[[#This Row],[years_of_experience]]))</f>
        <v>4</v>
      </c>
      <c r="M391">
        <v>40</v>
      </c>
      <c r="N391">
        <f>IF(Table1[[#This Row],[hourly_rate (USD)]]="",MEDIAN(Table1[hourly_rate (USD)]),Table1[[#This Row],[hourly_rate (USD)]])</f>
        <v>40</v>
      </c>
      <c r="O391" t="str">
        <f>TRIM(CLEAN(Table1[[#This Row],[Updated hourly_rate (USD)]]))</f>
        <v>40</v>
      </c>
      <c r="P391" t="str">
        <f>SUBSTITUTE(SUBSTITUTE(Table1[[#This Row],[Formatted hourly rate]],"USD ",""),"$","")</f>
        <v>40</v>
      </c>
      <c r="Q391">
        <v>4.4000000000000004</v>
      </c>
      <c r="R391">
        <f>IF(Table1[[#This Row],[rating]]="",2.6,Table1[[#This Row],[rating]])</f>
        <v>4.4000000000000004</v>
      </c>
      <c r="S391">
        <v>0</v>
      </c>
      <c r="T391" t="str">
        <f>TRIM(CLEAN(Table1[[#This Row],[is_active]]))</f>
        <v>0</v>
      </c>
      <c r="U39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91" s="11" t="str">
        <f>TRIM(IF(Table1[[#This Row],[is_active3]]="Unknown","TRUE",Table1[[#This Row],[is_active3]]))</f>
        <v>FALSE</v>
      </c>
      <c r="W391">
        <v>0.92</v>
      </c>
      <c r="X391">
        <f>IF(Table1[[#This Row],[client_satisfaction]]&gt;1,Table1[[#This Row],[client_satisfaction]]/100,Table1[[#This Row],[client_satisfaction]])</f>
        <v>0.92</v>
      </c>
      <c r="Y391">
        <f>IF(Table1[[#This Row],[client_satisfaction2]]=0,0.75,Table1[[#This Row],[client_satisfaction2]])</f>
        <v>0.92</v>
      </c>
    </row>
    <row r="392" spans="1:25" x14ac:dyDescent="0.25">
      <c r="A392" t="s">
        <v>864</v>
      </c>
      <c r="B392" t="s">
        <v>865</v>
      </c>
      <c r="C392" t="str">
        <f>PROPER(TRIM(SUBSTITUTE(SUBSTITUTE(SUBSTITUTE(Table1[[#This Row],[name]],"Ms. ",""),"Mr. ",""),"Mrs. ","")))</f>
        <v>Joanne Reyes</v>
      </c>
      <c r="D392" t="s">
        <v>34</v>
      </c>
      <c r="E3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92">
        <v>48</v>
      </c>
      <c r="G392" t="str">
        <f>TRIM(IF(Table1[[#This Row],[age]]="","Unknown",Table1[[#This Row],[age]]))</f>
        <v>48</v>
      </c>
      <c r="H392" t="s">
        <v>153</v>
      </c>
      <c r="I392" t="s">
        <v>154</v>
      </c>
      <c r="J392" t="s">
        <v>51</v>
      </c>
      <c r="K392">
        <v>21</v>
      </c>
      <c r="L392" s="10" t="str">
        <f>TRIM(IF(Table1[[#This Row],[years_of_experience]]="","Unknown",Table1[[#This Row],[years_of_experience]]))</f>
        <v>21</v>
      </c>
      <c r="M392">
        <v>40</v>
      </c>
      <c r="N392">
        <f>IF(Table1[[#This Row],[hourly_rate (USD)]]="",MEDIAN(Table1[hourly_rate (USD)]),Table1[[#This Row],[hourly_rate (USD)]])</f>
        <v>40</v>
      </c>
      <c r="O392" t="str">
        <f>TRIM(CLEAN(Table1[[#This Row],[Updated hourly_rate (USD)]]))</f>
        <v>40</v>
      </c>
      <c r="P392" t="str">
        <f>SUBSTITUTE(SUBSTITUTE(Table1[[#This Row],[Formatted hourly rate]],"USD ",""),"$","")</f>
        <v>40</v>
      </c>
      <c r="Q392">
        <v>2.2999999999999998</v>
      </c>
      <c r="R392">
        <f>IF(Table1[[#This Row],[rating]]="",2.6,Table1[[#This Row],[rating]])</f>
        <v>2.2999999999999998</v>
      </c>
      <c r="S392">
        <v>0</v>
      </c>
      <c r="T392" t="str">
        <f>TRIM(CLEAN(Table1[[#This Row],[is_active]]))</f>
        <v>0</v>
      </c>
      <c r="U39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92" s="11" t="str">
        <f>TRIM(IF(Table1[[#This Row],[is_active3]]="Unknown","TRUE",Table1[[#This Row],[is_active3]]))</f>
        <v>FALSE</v>
      </c>
      <c r="X392">
        <f>IF(Table1[[#This Row],[client_satisfaction]]&gt;1,Table1[[#This Row],[client_satisfaction]]/100,Table1[[#This Row],[client_satisfaction]])</f>
        <v>0</v>
      </c>
      <c r="Y392">
        <f>IF(Table1[[#This Row],[client_satisfaction2]]=0,0.75,Table1[[#This Row],[client_satisfaction2]])</f>
        <v>0.75</v>
      </c>
    </row>
    <row r="393" spans="1:25" x14ac:dyDescent="0.25">
      <c r="A393" t="s">
        <v>866</v>
      </c>
      <c r="B393" t="s">
        <v>867</v>
      </c>
      <c r="C393" t="str">
        <f>PROPER(TRIM(SUBSTITUTE(SUBSTITUTE(SUBSTITUTE(Table1[[#This Row],[name]],"Ms. ",""),"Mr. ",""),"Mrs. ","")))</f>
        <v>Isaac Gray</v>
      </c>
      <c r="D393" t="s">
        <v>61</v>
      </c>
      <c r="E3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93">
        <v>21</v>
      </c>
      <c r="G393" t="str">
        <f>TRIM(IF(Table1[[#This Row],[age]]="","Unknown",Table1[[#This Row],[age]]))</f>
        <v>21</v>
      </c>
      <c r="H393" t="s">
        <v>153</v>
      </c>
      <c r="I393" t="s">
        <v>154</v>
      </c>
      <c r="J393" t="s">
        <v>44</v>
      </c>
      <c r="K393">
        <v>1</v>
      </c>
      <c r="L393" s="10" t="str">
        <f>TRIM(IF(Table1[[#This Row],[years_of_experience]]="","Unknown",Table1[[#This Row],[years_of_experience]]))</f>
        <v>1</v>
      </c>
      <c r="M393" t="s">
        <v>121</v>
      </c>
      <c r="N393" t="str">
        <f>IF(Table1[[#This Row],[hourly_rate (USD)]]="",MEDIAN(Table1[hourly_rate (USD)]),Table1[[#This Row],[hourly_rate (USD)]])</f>
        <v>$20</v>
      </c>
      <c r="O393" t="str">
        <f>TRIM(CLEAN(Table1[[#This Row],[Updated hourly_rate (USD)]]))</f>
        <v>$20</v>
      </c>
      <c r="P393" t="str">
        <f>SUBSTITUTE(SUBSTITUTE(Table1[[#This Row],[Formatted hourly rate]],"USD ",""),"$","")</f>
        <v>20</v>
      </c>
      <c r="Q393">
        <v>2.4</v>
      </c>
      <c r="R393">
        <f>IF(Table1[[#This Row],[rating]]="",2.6,Table1[[#This Row],[rating]])</f>
        <v>2.4</v>
      </c>
      <c r="S393">
        <v>1</v>
      </c>
      <c r="T393" t="str">
        <f>TRIM(CLEAN(Table1[[#This Row],[is_active]]))</f>
        <v>1</v>
      </c>
      <c r="U3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93" s="11" t="str">
        <f>TRIM(IF(Table1[[#This Row],[is_active3]]="Unknown","TRUE",Table1[[#This Row],[is_active3]]))</f>
        <v>TRUE</v>
      </c>
      <c r="W393">
        <v>0.66</v>
      </c>
      <c r="X393">
        <f>IF(Table1[[#This Row],[client_satisfaction]]&gt;1,Table1[[#This Row],[client_satisfaction]]/100,Table1[[#This Row],[client_satisfaction]])</f>
        <v>0.66</v>
      </c>
      <c r="Y393">
        <f>IF(Table1[[#This Row],[client_satisfaction2]]=0,0.75,Table1[[#This Row],[client_satisfaction2]])</f>
        <v>0.66</v>
      </c>
    </row>
    <row r="394" spans="1:25" x14ac:dyDescent="0.25">
      <c r="A394" t="s">
        <v>868</v>
      </c>
      <c r="B394" t="s">
        <v>869</v>
      </c>
      <c r="C394" t="str">
        <f>PROPER(TRIM(SUBSTITUTE(SUBSTITUTE(SUBSTITUTE(Table1[[#This Row],[name]],"Ms. ",""),"Mr. ",""),"Mrs. ","")))</f>
        <v>Joshua Roberts</v>
      </c>
      <c r="D394" t="s">
        <v>48</v>
      </c>
      <c r="E3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94">
        <v>37</v>
      </c>
      <c r="G394" t="str">
        <f>TRIM(IF(Table1[[#This Row],[age]]="","Unknown",Table1[[#This Row],[age]]))</f>
        <v>37</v>
      </c>
      <c r="H394" t="s">
        <v>15</v>
      </c>
      <c r="I394" t="s">
        <v>16</v>
      </c>
      <c r="J394" t="s">
        <v>89</v>
      </c>
      <c r="L394" s="10" t="str">
        <f>TRIM(IF(Table1[[#This Row],[years_of_experience]]="","Unknown",Table1[[#This Row],[years_of_experience]]))</f>
        <v>Unknown</v>
      </c>
      <c r="M394">
        <v>50</v>
      </c>
      <c r="N394">
        <f>IF(Table1[[#This Row],[hourly_rate (USD)]]="",MEDIAN(Table1[hourly_rate (USD)]),Table1[[#This Row],[hourly_rate (USD)]])</f>
        <v>50</v>
      </c>
      <c r="O394" t="str">
        <f>TRIM(CLEAN(Table1[[#This Row],[Updated hourly_rate (USD)]]))</f>
        <v>50</v>
      </c>
      <c r="P394" t="str">
        <f>SUBSTITUTE(SUBSTITUTE(Table1[[#This Row],[Formatted hourly rate]],"USD ",""),"$","")</f>
        <v>50</v>
      </c>
      <c r="Q394">
        <v>4.5999999999999996</v>
      </c>
      <c r="R394">
        <f>IF(Table1[[#This Row],[rating]]="",2.6,Table1[[#This Row],[rating]])</f>
        <v>4.5999999999999996</v>
      </c>
      <c r="S394">
        <v>0</v>
      </c>
      <c r="T394" t="str">
        <f>TRIM(CLEAN(Table1[[#This Row],[is_active]]))</f>
        <v>0</v>
      </c>
      <c r="U39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94" s="11" t="str">
        <f>TRIM(IF(Table1[[#This Row],[is_active3]]="Unknown","TRUE",Table1[[#This Row],[is_active3]]))</f>
        <v>FALSE</v>
      </c>
      <c r="W394">
        <v>0.83</v>
      </c>
      <c r="X394">
        <f>IF(Table1[[#This Row],[client_satisfaction]]&gt;1,Table1[[#This Row],[client_satisfaction]]/100,Table1[[#This Row],[client_satisfaction]])</f>
        <v>0.83</v>
      </c>
      <c r="Y394">
        <f>IF(Table1[[#This Row],[client_satisfaction2]]=0,0.75,Table1[[#This Row],[client_satisfaction2]])</f>
        <v>0.83</v>
      </c>
    </row>
    <row r="395" spans="1:25" x14ac:dyDescent="0.25">
      <c r="A395" t="s">
        <v>870</v>
      </c>
      <c r="B395" t="s">
        <v>871</v>
      </c>
      <c r="C395" t="str">
        <f>PROPER(TRIM(SUBSTITUTE(SUBSTITUTE(SUBSTITUTE(Table1[[#This Row],[name]],"Ms. ",""),"Mr. ",""),"Mrs. ","")))</f>
        <v>Elizabeth Estrada</v>
      </c>
      <c r="D395" t="s">
        <v>34</v>
      </c>
      <c r="E3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95">
        <v>31</v>
      </c>
      <c r="G395" t="str">
        <f>TRIM(IF(Table1[[#This Row],[age]]="","Unknown",Table1[[#This Row],[age]]))</f>
        <v>31</v>
      </c>
      <c r="H395" t="s">
        <v>28</v>
      </c>
      <c r="I395" t="s">
        <v>29</v>
      </c>
      <c r="J395" t="s">
        <v>73</v>
      </c>
      <c r="K395">
        <v>10</v>
      </c>
      <c r="L395" s="10" t="str">
        <f>TRIM(IF(Table1[[#This Row],[years_of_experience]]="","Unknown",Table1[[#This Row],[years_of_experience]]))</f>
        <v>10</v>
      </c>
      <c r="M395">
        <v>50</v>
      </c>
      <c r="N395">
        <f>IF(Table1[[#This Row],[hourly_rate (USD)]]="",MEDIAN(Table1[hourly_rate (USD)]),Table1[[#This Row],[hourly_rate (USD)]])</f>
        <v>50</v>
      </c>
      <c r="O395" t="str">
        <f>TRIM(CLEAN(Table1[[#This Row],[Updated hourly_rate (USD)]]))</f>
        <v>50</v>
      </c>
      <c r="P395" t="str">
        <f>SUBSTITUTE(SUBSTITUTE(Table1[[#This Row],[Formatted hourly rate]],"USD ",""),"$","")</f>
        <v>50</v>
      </c>
      <c r="Q395">
        <v>0</v>
      </c>
      <c r="R395">
        <f>IF(Table1[[#This Row],[rating]]="",2.6,Table1[[#This Row],[rating]])</f>
        <v>0</v>
      </c>
      <c r="S395" t="s">
        <v>159</v>
      </c>
      <c r="T395" t="str">
        <f>TRIM(CLEAN(Table1[[#This Row],[is_active]]))</f>
        <v>no</v>
      </c>
      <c r="U39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95" s="11" t="str">
        <f>TRIM(IF(Table1[[#This Row],[is_active3]]="Unknown","TRUE",Table1[[#This Row],[is_active3]]))</f>
        <v>FALSE</v>
      </c>
      <c r="X395">
        <f>IF(Table1[[#This Row],[client_satisfaction]]&gt;1,Table1[[#This Row],[client_satisfaction]]/100,Table1[[#This Row],[client_satisfaction]])</f>
        <v>0</v>
      </c>
      <c r="Y395">
        <f>IF(Table1[[#This Row],[client_satisfaction2]]=0,0.75,Table1[[#This Row],[client_satisfaction2]])</f>
        <v>0.75</v>
      </c>
    </row>
    <row r="396" spans="1:25" x14ac:dyDescent="0.25">
      <c r="A396" t="s">
        <v>872</v>
      </c>
      <c r="B396" t="s">
        <v>873</v>
      </c>
      <c r="C396" t="str">
        <f>PROPER(TRIM(SUBSTITUTE(SUBSTITUTE(SUBSTITUTE(Table1[[#This Row],[name]],"Ms. ",""),"Mr. ",""),"Mrs. ","")))</f>
        <v>Lori Malone</v>
      </c>
      <c r="D396" t="s">
        <v>14</v>
      </c>
      <c r="E3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96">
        <v>41</v>
      </c>
      <c r="G396" t="str">
        <f>TRIM(IF(Table1[[#This Row],[age]]="","Unknown",Table1[[#This Row],[age]]))</f>
        <v>41</v>
      </c>
      <c r="H396" t="s">
        <v>139</v>
      </c>
      <c r="I396" t="s">
        <v>140</v>
      </c>
      <c r="J396" t="s">
        <v>17</v>
      </c>
      <c r="K396">
        <v>21</v>
      </c>
      <c r="L396" s="10" t="str">
        <f>TRIM(IF(Table1[[#This Row],[years_of_experience]]="","Unknown",Table1[[#This Row],[years_of_experience]]))</f>
        <v>21</v>
      </c>
      <c r="N396">
        <f>IF(Table1[[#This Row],[hourly_rate (USD)]]="",MEDIAN(Table1[hourly_rate (USD)]),Table1[[#This Row],[hourly_rate (USD)]])</f>
        <v>50</v>
      </c>
      <c r="O396" t="str">
        <f>TRIM(CLEAN(Table1[[#This Row],[Updated hourly_rate (USD)]]))</f>
        <v>50</v>
      </c>
      <c r="P396" t="str">
        <f>SUBSTITUTE(SUBSTITUTE(Table1[[#This Row],[Formatted hourly rate]],"USD ",""),"$","")</f>
        <v>50</v>
      </c>
      <c r="Q396">
        <v>0</v>
      </c>
      <c r="R396">
        <f>IF(Table1[[#This Row],[rating]]="",2.6,Table1[[#This Row],[rating]])</f>
        <v>0</v>
      </c>
      <c r="S396" t="s">
        <v>74</v>
      </c>
      <c r="T396" t="str">
        <f>TRIM(CLEAN(Table1[[#This Row],[is_active]]))</f>
        <v>Y</v>
      </c>
      <c r="U3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96" s="11" t="str">
        <f>TRIM(IF(Table1[[#This Row],[is_active3]]="Unknown","TRUE",Table1[[#This Row],[is_active3]]))</f>
        <v>TRUE</v>
      </c>
      <c r="X396">
        <f>IF(Table1[[#This Row],[client_satisfaction]]&gt;1,Table1[[#This Row],[client_satisfaction]]/100,Table1[[#This Row],[client_satisfaction]])</f>
        <v>0</v>
      </c>
      <c r="Y396">
        <f>IF(Table1[[#This Row],[client_satisfaction2]]=0,0.75,Table1[[#This Row],[client_satisfaction2]])</f>
        <v>0.75</v>
      </c>
    </row>
    <row r="397" spans="1:25" x14ac:dyDescent="0.25">
      <c r="A397" t="s">
        <v>874</v>
      </c>
      <c r="B397" t="s">
        <v>875</v>
      </c>
      <c r="C397" t="str">
        <f>PROPER(TRIM(SUBSTITUTE(SUBSTITUTE(SUBSTITUTE(Table1[[#This Row],[name]],"Ms. ",""),"Mr. ",""),"Mrs. ","")))</f>
        <v>Anthony Huynh Md</v>
      </c>
      <c r="D397" t="s">
        <v>27</v>
      </c>
      <c r="E3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397">
        <v>31</v>
      </c>
      <c r="G397" t="str">
        <f>TRIM(IF(Table1[[#This Row],[age]]="","Unknown",Table1[[#This Row],[age]]))</f>
        <v>31</v>
      </c>
      <c r="H397" t="s">
        <v>124</v>
      </c>
      <c r="I397" t="s">
        <v>125</v>
      </c>
      <c r="J397" t="s">
        <v>78</v>
      </c>
      <c r="K397">
        <v>0</v>
      </c>
      <c r="L397" s="10" t="str">
        <f>TRIM(IF(Table1[[#This Row],[years_of_experience]]="","Unknown",Table1[[#This Row],[years_of_experience]]))</f>
        <v>0</v>
      </c>
      <c r="M397" t="s">
        <v>121</v>
      </c>
      <c r="N397" t="str">
        <f>IF(Table1[[#This Row],[hourly_rate (USD)]]="",MEDIAN(Table1[hourly_rate (USD)]),Table1[[#This Row],[hourly_rate (USD)]])</f>
        <v>$20</v>
      </c>
      <c r="O397" t="str">
        <f>TRIM(CLEAN(Table1[[#This Row],[Updated hourly_rate (USD)]]))</f>
        <v>$20</v>
      </c>
      <c r="P397" t="str">
        <f>SUBSTITUTE(SUBSTITUTE(Table1[[#This Row],[Formatted hourly rate]],"USD ",""),"$","")</f>
        <v>20</v>
      </c>
      <c r="Q397">
        <v>4.2</v>
      </c>
      <c r="R397">
        <f>IF(Table1[[#This Row],[rating]]="",2.6,Table1[[#This Row],[rating]])</f>
        <v>4.2</v>
      </c>
      <c r="S397" t="s">
        <v>74</v>
      </c>
      <c r="T397" t="str">
        <f>TRIM(CLEAN(Table1[[#This Row],[is_active]]))</f>
        <v>Y</v>
      </c>
      <c r="U39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97" s="11" t="str">
        <f>TRIM(IF(Table1[[#This Row],[is_active3]]="Unknown","TRUE",Table1[[#This Row],[is_active3]]))</f>
        <v>TRUE</v>
      </c>
      <c r="W397">
        <v>82</v>
      </c>
      <c r="X397">
        <f>IF(Table1[[#This Row],[client_satisfaction]]&gt;1,Table1[[#This Row],[client_satisfaction]]/100,Table1[[#This Row],[client_satisfaction]])</f>
        <v>0.82</v>
      </c>
      <c r="Y397">
        <f>IF(Table1[[#This Row],[client_satisfaction2]]=0,0.75,Table1[[#This Row],[client_satisfaction2]])</f>
        <v>0.82</v>
      </c>
    </row>
    <row r="398" spans="1:25" x14ac:dyDescent="0.25">
      <c r="A398" t="s">
        <v>876</v>
      </c>
      <c r="B398" t="s">
        <v>877</v>
      </c>
      <c r="C398" t="str">
        <f>PROPER(TRIM(SUBSTITUTE(SUBSTITUTE(SUBSTITUTE(Table1[[#This Row],[name]],"Ms. ",""),"Mr. ",""),"Mrs. ","")))</f>
        <v>Mindy York</v>
      </c>
      <c r="D398" t="s">
        <v>20</v>
      </c>
      <c r="E3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98">
        <v>58</v>
      </c>
      <c r="G398" t="str">
        <f>TRIM(IF(Table1[[#This Row],[age]]="","Unknown",Table1[[#This Row],[age]]))</f>
        <v>58</v>
      </c>
      <c r="H398" t="s">
        <v>71</v>
      </c>
      <c r="I398" t="s">
        <v>72</v>
      </c>
      <c r="J398" t="s">
        <v>51</v>
      </c>
      <c r="K398">
        <v>0</v>
      </c>
      <c r="L398" s="10" t="str">
        <f>TRIM(IF(Table1[[#This Row],[years_of_experience]]="","Unknown",Table1[[#This Row],[years_of_experience]]))</f>
        <v>0</v>
      </c>
      <c r="M398">
        <v>50</v>
      </c>
      <c r="N398">
        <f>IF(Table1[[#This Row],[hourly_rate (USD)]]="",MEDIAN(Table1[hourly_rate (USD)]),Table1[[#This Row],[hourly_rate (USD)]])</f>
        <v>50</v>
      </c>
      <c r="O398" t="str">
        <f>TRIM(CLEAN(Table1[[#This Row],[Updated hourly_rate (USD)]]))</f>
        <v>50</v>
      </c>
      <c r="P398" t="str">
        <f>SUBSTITUTE(SUBSTITUTE(Table1[[#This Row],[Formatted hourly rate]],"USD ",""),"$","")</f>
        <v>50</v>
      </c>
      <c r="Q398">
        <v>2.2999999999999998</v>
      </c>
      <c r="R398">
        <f>IF(Table1[[#This Row],[rating]]="",2.6,Table1[[#This Row],[rating]])</f>
        <v>2.2999999999999998</v>
      </c>
      <c r="S398">
        <v>0</v>
      </c>
      <c r="T398" t="str">
        <f>TRIM(CLEAN(Table1[[#This Row],[is_active]]))</f>
        <v>0</v>
      </c>
      <c r="U39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398" s="11" t="str">
        <f>TRIM(IF(Table1[[#This Row],[is_active3]]="Unknown","TRUE",Table1[[#This Row],[is_active3]]))</f>
        <v>FALSE</v>
      </c>
      <c r="W398">
        <v>0.77</v>
      </c>
      <c r="X398">
        <f>IF(Table1[[#This Row],[client_satisfaction]]&gt;1,Table1[[#This Row],[client_satisfaction]]/100,Table1[[#This Row],[client_satisfaction]])</f>
        <v>0.77</v>
      </c>
      <c r="Y398">
        <f>IF(Table1[[#This Row],[client_satisfaction2]]=0,0.75,Table1[[#This Row],[client_satisfaction2]])</f>
        <v>0.77</v>
      </c>
    </row>
    <row r="399" spans="1:25" x14ac:dyDescent="0.25">
      <c r="A399" t="s">
        <v>878</v>
      </c>
      <c r="B399" t="s">
        <v>879</v>
      </c>
      <c r="C399" t="str">
        <f>PROPER(TRIM(SUBSTITUTE(SUBSTITUTE(SUBSTITUTE(Table1[[#This Row],[name]],"Ms. ",""),"Mr. ",""),"Mrs. ","")))</f>
        <v>Christine Cherry</v>
      </c>
      <c r="D399" t="s">
        <v>14</v>
      </c>
      <c r="E3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399">
        <v>45</v>
      </c>
      <c r="G399" t="str">
        <f>TRIM(IF(Table1[[#This Row],[age]]="","Unknown",Table1[[#This Row],[age]]))</f>
        <v>45</v>
      </c>
      <c r="H399" t="s">
        <v>42</v>
      </c>
      <c r="I399" t="s">
        <v>43</v>
      </c>
      <c r="J399" t="s">
        <v>51</v>
      </c>
      <c r="K399">
        <v>17</v>
      </c>
      <c r="L399" s="10" t="str">
        <f>TRIM(IF(Table1[[#This Row],[years_of_experience]]="","Unknown",Table1[[#This Row],[years_of_experience]]))</f>
        <v>17</v>
      </c>
      <c r="M399" t="s">
        <v>64</v>
      </c>
      <c r="N399" t="str">
        <f>IF(Table1[[#This Row],[hourly_rate (USD)]]="",MEDIAN(Table1[hourly_rate (USD)]),Table1[[#This Row],[hourly_rate (USD)]])</f>
        <v>$50</v>
      </c>
      <c r="O399" t="str">
        <f>TRIM(CLEAN(Table1[[#This Row],[Updated hourly_rate (USD)]]))</f>
        <v>$50</v>
      </c>
      <c r="P399" t="str">
        <f>SUBSTITUTE(SUBSTITUTE(Table1[[#This Row],[Formatted hourly rate]],"USD ",""),"$","")</f>
        <v>50</v>
      </c>
      <c r="Q399">
        <v>4.7</v>
      </c>
      <c r="R399">
        <f>IF(Table1[[#This Row],[rating]]="",2.6,Table1[[#This Row],[rating]])</f>
        <v>4.7</v>
      </c>
      <c r="S399">
        <v>1</v>
      </c>
      <c r="T399" t="str">
        <f>TRIM(CLEAN(Table1[[#This Row],[is_active]]))</f>
        <v>1</v>
      </c>
      <c r="U39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399" s="11" t="str">
        <f>TRIM(IF(Table1[[#This Row],[is_active3]]="Unknown","TRUE",Table1[[#This Row],[is_active3]]))</f>
        <v>TRUE</v>
      </c>
      <c r="W399">
        <v>0.73</v>
      </c>
      <c r="X399">
        <f>IF(Table1[[#This Row],[client_satisfaction]]&gt;1,Table1[[#This Row],[client_satisfaction]]/100,Table1[[#This Row],[client_satisfaction]])</f>
        <v>0.73</v>
      </c>
      <c r="Y399">
        <f>IF(Table1[[#This Row],[client_satisfaction2]]=0,0.75,Table1[[#This Row],[client_satisfaction2]])</f>
        <v>0.73</v>
      </c>
    </row>
    <row r="400" spans="1:25" x14ac:dyDescent="0.25">
      <c r="A400" t="s">
        <v>880</v>
      </c>
      <c r="B400" t="s">
        <v>881</v>
      </c>
      <c r="C400" t="str">
        <f>PROPER(TRIM(SUBSTITUTE(SUBSTITUTE(SUBSTITUTE(Table1[[#This Row],[name]],"Ms. ",""),"Mr. ",""),"Mrs. ","")))</f>
        <v>Daniel Foster</v>
      </c>
      <c r="D400" t="s">
        <v>48</v>
      </c>
      <c r="E4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00">
        <v>51</v>
      </c>
      <c r="G400" t="str">
        <f>TRIM(IF(Table1[[#This Row],[age]]="","Unknown",Table1[[#This Row],[age]]))</f>
        <v>51</v>
      </c>
      <c r="H400" t="s">
        <v>112</v>
      </c>
      <c r="I400" t="s">
        <v>113</v>
      </c>
      <c r="J400" t="s">
        <v>78</v>
      </c>
      <c r="K400">
        <v>5</v>
      </c>
      <c r="L400" s="10" t="str">
        <f>TRIM(IF(Table1[[#This Row],[years_of_experience]]="","Unknown",Table1[[#This Row],[years_of_experience]]))</f>
        <v>5</v>
      </c>
      <c r="N400">
        <f>IF(Table1[[#This Row],[hourly_rate (USD)]]="",MEDIAN(Table1[hourly_rate (USD)]),Table1[[#This Row],[hourly_rate (USD)]])</f>
        <v>50</v>
      </c>
      <c r="O400" t="str">
        <f>TRIM(CLEAN(Table1[[#This Row],[Updated hourly_rate (USD)]]))</f>
        <v>50</v>
      </c>
      <c r="P400" t="str">
        <f>SUBSTITUTE(SUBSTITUTE(Table1[[#This Row],[Formatted hourly rate]],"USD ",""),"$","")</f>
        <v>50</v>
      </c>
      <c r="Q400">
        <v>3</v>
      </c>
      <c r="R400">
        <f>IF(Table1[[#This Row],[rating]]="",2.6,Table1[[#This Row],[rating]])</f>
        <v>3</v>
      </c>
      <c r="S400">
        <v>1</v>
      </c>
      <c r="T400" t="str">
        <f>TRIM(CLEAN(Table1[[#This Row],[is_active]]))</f>
        <v>1</v>
      </c>
      <c r="U4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00" s="11" t="str">
        <f>TRIM(IF(Table1[[#This Row],[is_active3]]="Unknown","TRUE",Table1[[#This Row],[is_active3]]))</f>
        <v>TRUE</v>
      </c>
      <c r="W400">
        <v>0.88</v>
      </c>
      <c r="X400">
        <f>IF(Table1[[#This Row],[client_satisfaction]]&gt;1,Table1[[#This Row],[client_satisfaction]]/100,Table1[[#This Row],[client_satisfaction]])</f>
        <v>0.88</v>
      </c>
      <c r="Y400">
        <f>IF(Table1[[#This Row],[client_satisfaction2]]=0,0.75,Table1[[#This Row],[client_satisfaction2]])</f>
        <v>0.88</v>
      </c>
    </row>
    <row r="401" spans="1:25" x14ac:dyDescent="0.25">
      <c r="A401" t="s">
        <v>882</v>
      </c>
      <c r="B401" t="s">
        <v>883</v>
      </c>
      <c r="C401" t="str">
        <f>PROPER(TRIM(SUBSTITUTE(SUBSTITUTE(SUBSTITUTE(Table1[[#This Row],[name]],"Ms. ",""),"Mr. ",""),"Mrs. ","")))</f>
        <v>David Valencia</v>
      </c>
      <c r="D401" t="s">
        <v>61</v>
      </c>
      <c r="E4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01">
        <v>54</v>
      </c>
      <c r="G401" t="str">
        <f>TRIM(IF(Table1[[#This Row],[age]]="","Unknown",Table1[[#This Row],[age]]))</f>
        <v>54</v>
      </c>
      <c r="H401" t="s">
        <v>58</v>
      </c>
      <c r="I401" t="s">
        <v>22</v>
      </c>
      <c r="J401" t="s">
        <v>73</v>
      </c>
      <c r="K401">
        <v>3</v>
      </c>
      <c r="L401" s="10" t="str">
        <f>TRIM(IF(Table1[[#This Row],[years_of_experience]]="","Unknown",Table1[[#This Row],[years_of_experience]]))</f>
        <v>3</v>
      </c>
      <c r="M401" t="s">
        <v>109</v>
      </c>
      <c r="N401" t="str">
        <f>IF(Table1[[#This Row],[hourly_rate (USD)]]="",MEDIAN(Table1[hourly_rate (USD)]),Table1[[#This Row],[hourly_rate (USD)]])</f>
        <v>USD 30</v>
      </c>
      <c r="O401" t="str">
        <f>TRIM(CLEAN(Table1[[#This Row],[Updated hourly_rate (USD)]]))</f>
        <v>USD 30</v>
      </c>
      <c r="P401" t="str">
        <f>SUBSTITUTE(SUBSTITUTE(Table1[[#This Row],[Formatted hourly rate]],"USD ",""),"$","")</f>
        <v>30</v>
      </c>
      <c r="Q401">
        <v>2.4</v>
      </c>
      <c r="R401">
        <f>IF(Table1[[#This Row],[rating]]="",2.6,Table1[[#This Row],[rating]])</f>
        <v>2.4</v>
      </c>
      <c r="S401">
        <v>0</v>
      </c>
      <c r="T401" t="str">
        <f>TRIM(CLEAN(Table1[[#This Row],[is_active]]))</f>
        <v>0</v>
      </c>
      <c r="U40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01" s="11" t="str">
        <f>TRIM(IF(Table1[[#This Row],[is_active3]]="Unknown","TRUE",Table1[[#This Row],[is_active3]]))</f>
        <v>FALSE</v>
      </c>
      <c r="W401">
        <v>0.81</v>
      </c>
      <c r="X401">
        <f>IF(Table1[[#This Row],[client_satisfaction]]&gt;1,Table1[[#This Row],[client_satisfaction]]/100,Table1[[#This Row],[client_satisfaction]])</f>
        <v>0.81</v>
      </c>
      <c r="Y401">
        <f>IF(Table1[[#This Row],[client_satisfaction2]]=0,0.75,Table1[[#This Row],[client_satisfaction2]])</f>
        <v>0.81</v>
      </c>
    </row>
    <row r="402" spans="1:25" x14ac:dyDescent="0.25">
      <c r="A402" t="s">
        <v>884</v>
      </c>
      <c r="B402" t="s">
        <v>885</v>
      </c>
      <c r="C402" t="str">
        <f>PROPER(TRIM(SUBSTITUTE(SUBSTITUTE(SUBSTITUTE(Table1[[#This Row],[name]],"Ms. ",""),"Mr. ",""),"Mrs. ","")))</f>
        <v>Ethan Adams</v>
      </c>
      <c r="D402" t="s">
        <v>92</v>
      </c>
      <c r="E4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02">
        <v>22</v>
      </c>
      <c r="G402" t="str">
        <f>TRIM(IF(Table1[[#This Row],[age]]="","Unknown",Table1[[#This Row],[age]]))</f>
        <v>22</v>
      </c>
      <c r="H402" t="s">
        <v>124</v>
      </c>
      <c r="I402" t="s">
        <v>125</v>
      </c>
      <c r="J402" t="s">
        <v>51</v>
      </c>
      <c r="K402">
        <v>1</v>
      </c>
      <c r="L402" s="10" t="str">
        <f>TRIM(IF(Table1[[#This Row],[years_of_experience]]="","Unknown",Table1[[#This Row],[years_of_experience]]))</f>
        <v>1</v>
      </c>
      <c r="M402">
        <v>20</v>
      </c>
      <c r="N402">
        <f>IF(Table1[[#This Row],[hourly_rate (USD)]]="",MEDIAN(Table1[hourly_rate (USD)]),Table1[[#This Row],[hourly_rate (USD)]])</f>
        <v>20</v>
      </c>
      <c r="O402" t="str">
        <f>TRIM(CLEAN(Table1[[#This Row],[Updated hourly_rate (USD)]]))</f>
        <v>20</v>
      </c>
      <c r="P402" t="str">
        <f>SUBSTITUTE(SUBSTITUTE(Table1[[#This Row],[Formatted hourly rate]],"USD ",""),"$","")</f>
        <v>20</v>
      </c>
      <c r="Q402">
        <v>1.7</v>
      </c>
      <c r="R402">
        <f>IF(Table1[[#This Row],[rating]]="",2.6,Table1[[#This Row],[rating]])</f>
        <v>1.7</v>
      </c>
      <c r="S402" t="s">
        <v>31</v>
      </c>
      <c r="T402" t="str">
        <f>TRIM(CLEAN(Table1[[#This Row],[is_active]]))</f>
        <v>N</v>
      </c>
      <c r="U40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02" s="11" t="str">
        <f>TRIM(IF(Table1[[#This Row],[is_active3]]="Unknown","TRUE",Table1[[#This Row],[is_active3]]))</f>
        <v>FALSE</v>
      </c>
      <c r="W402">
        <v>0.78</v>
      </c>
      <c r="X402">
        <f>IF(Table1[[#This Row],[client_satisfaction]]&gt;1,Table1[[#This Row],[client_satisfaction]]/100,Table1[[#This Row],[client_satisfaction]])</f>
        <v>0.78</v>
      </c>
      <c r="Y402">
        <f>IF(Table1[[#This Row],[client_satisfaction2]]=0,0.75,Table1[[#This Row],[client_satisfaction2]])</f>
        <v>0.78</v>
      </c>
    </row>
    <row r="403" spans="1:25" x14ac:dyDescent="0.25">
      <c r="A403" t="s">
        <v>886</v>
      </c>
      <c r="B403" t="s">
        <v>887</v>
      </c>
      <c r="C403" t="str">
        <f>PROPER(TRIM(SUBSTITUTE(SUBSTITUTE(SUBSTITUTE(Table1[[#This Row],[name]],"Ms. ",""),"Mr. ",""),"Mrs. ","")))</f>
        <v>Brett Moore</v>
      </c>
      <c r="D403" t="s">
        <v>92</v>
      </c>
      <c r="E4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03">
        <v>36</v>
      </c>
      <c r="G403" t="str">
        <f>TRIM(IF(Table1[[#This Row],[age]]="","Unknown",Table1[[#This Row],[age]]))</f>
        <v>36</v>
      </c>
      <c r="H403" t="s">
        <v>62</v>
      </c>
      <c r="I403" t="s">
        <v>63</v>
      </c>
      <c r="J403" t="s">
        <v>78</v>
      </c>
      <c r="K403">
        <v>2</v>
      </c>
      <c r="L403" s="10" t="str">
        <f>TRIM(IF(Table1[[#This Row],[years_of_experience]]="","Unknown",Table1[[#This Row],[years_of_experience]]))</f>
        <v>2</v>
      </c>
      <c r="M403">
        <v>75</v>
      </c>
      <c r="N403">
        <f>IF(Table1[[#This Row],[hourly_rate (USD)]]="",MEDIAN(Table1[hourly_rate (USD)]),Table1[[#This Row],[hourly_rate (USD)]])</f>
        <v>75</v>
      </c>
      <c r="O403" t="str">
        <f>TRIM(CLEAN(Table1[[#This Row],[Updated hourly_rate (USD)]]))</f>
        <v>75</v>
      </c>
      <c r="P403" t="str">
        <f>SUBSTITUTE(SUBSTITUTE(Table1[[#This Row],[Formatted hourly rate]],"USD ",""),"$","")</f>
        <v>75</v>
      </c>
      <c r="Q403">
        <v>0</v>
      </c>
      <c r="R403">
        <f>IF(Table1[[#This Row],[rating]]="",2.6,Table1[[#This Row],[rating]])</f>
        <v>0</v>
      </c>
      <c r="S403" t="b">
        <v>0</v>
      </c>
      <c r="T403" t="str">
        <f>TRIM(CLEAN(Table1[[#This Row],[is_active]]))</f>
        <v>FALSE</v>
      </c>
      <c r="U40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03" s="11" t="str">
        <f>TRIM(IF(Table1[[#This Row],[is_active3]]="Unknown","TRUE",Table1[[#This Row],[is_active3]]))</f>
        <v>TRUE</v>
      </c>
      <c r="W403">
        <v>0.92</v>
      </c>
      <c r="X403">
        <f>IF(Table1[[#This Row],[client_satisfaction]]&gt;1,Table1[[#This Row],[client_satisfaction]]/100,Table1[[#This Row],[client_satisfaction]])</f>
        <v>0.92</v>
      </c>
      <c r="Y403">
        <f>IF(Table1[[#This Row],[client_satisfaction2]]=0,0.75,Table1[[#This Row],[client_satisfaction2]])</f>
        <v>0.92</v>
      </c>
    </row>
    <row r="404" spans="1:25" x14ac:dyDescent="0.25">
      <c r="A404" t="s">
        <v>888</v>
      </c>
      <c r="B404" t="s">
        <v>889</v>
      </c>
      <c r="C404" t="str">
        <f>PROPER(TRIM(SUBSTITUTE(SUBSTITUTE(SUBSTITUTE(Table1[[#This Row],[name]],"Ms. ",""),"Mr. ",""),"Mrs. ","")))</f>
        <v>Phillip Griffin</v>
      </c>
      <c r="D404" t="s">
        <v>61</v>
      </c>
      <c r="E4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04">
        <v>50</v>
      </c>
      <c r="G404" t="str">
        <f>TRIM(IF(Table1[[#This Row],[age]]="","Unknown",Table1[[#This Row],[age]]))</f>
        <v>50</v>
      </c>
      <c r="H404" t="s">
        <v>28</v>
      </c>
      <c r="I404" t="s">
        <v>29</v>
      </c>
      <c r="J404" t="s">
        <v>89</v>
      </c>
      <c r="K404">
        <v>32</v>
      </c>
      <c r="L404" s="10" t="str">
        <f>TRIM(IF(Table1[[#This Row],[years_of_experience]]="","Unknown",Table1[[#This Row],[years_of_experience]]))</f>
        <v>32</v>
      </c>
      <c r="M404" t="s">
        <v>45</v>
      </c>
      <c r="N404" t="str">
        <f>IF(Table1[[#This Row],[hourly_rate (USD)]]="",MEDIAN(Table1[hourly_rate (USD)]),Table1[[#This Row],[hourly_rate (USD)]])</f>
        <v>$30</v>
      </c>
      <c r="O404" t="str">
        <f>TRIM(CLEAN(Table1[[#This Row],[Updated hourly_rate (USD)]]))</f>
        <v>$30</v>
      </c>
      <c r="P404" t="str">
        <f>SUBSTITUTE(SUBSTITUTE(Table1[[#This Row],[Formatted hourly rate]],"USD ",""),"$","")</f>
        <v>30</v>
      </c>
      <c r="R404">
        <f>IF(Table1[[#This Row],[rating]]="",2.6,Table1[[#This Row],[rating]])</f>
        <v>2.6</v>
      </c>
      <c r="S404">
        <v>0</v>
      </c>
      <c r="T404" t="str">
        <f>TRIM(CLEAN(Table1[[#This Row],[is_active]]))</f>
        <v>0</v>
      </c>
      <c r="U40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04" s="11" t="str">
        <f>TRIM(IF(Table1[[#This Row],[is_active3]]="Unknown","TRUE",Table1[[#This Row],[is_active3]]))</f>
        <v>FALSE</v>
      </c>
      <c r="W404">
        <v>0.64</v>
      </c>
      <c r="X404">
        <f>IF(Table1[[#This Row],[client_satisfaction]]&gt;1,Table1[[#This Row],[client_satisfaction]]/100,Table1[[#This Row],[client_satisfaction]])</f>
        <v>0.64</v>
      </c>
      <c r="Y404">
        <f>IF(Table1[[#This Row],[client_satisfaction2]]=0,0.75,Table1[[#This Row],[client_satisfaction2]])</f>
        <v>0.64</v>
      </c>
    </row>
    <row r="405" spans="1:25" x14ac:dyDescent="0.25">
      <c r="A405" t="s">
        <v>890</v>
      </c>
      <c r="B405" t="s">
        <v>891</v>
      </c>
      <c r="C405" t="str">
        <f>PROPER(TRIM(SUBSTITUTE(SUBSTITUTE(SUBSTITUTE(Table1[[#This Row],[name]],"Ms. ",""),"Mr. ",""),"Mrs. ","")))</f>
        <v>Stacie Wall</v>
      </c>
      <c r="D405" t="s">
        <v>77</v>
      </c>
      <c r="E4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05">
        <v>41</v>
      </c>
      <c r="G405" t="str">
        <f>TRIM(IF(Table1[[#This Row],[age]]="","Unknown",Table1[[#This Row],[age]]))</f>
        <v>41</v>
      </c>
      <c r="H405" t="s">
        <v>21</v>
      </c>
      <c r="I405" t="s">
        <v>22</v>
      </c>
      <c r="J405" t="s">
        <v>17</v>
      </c>
      <c r="K405">
        <v>14</v>
      </c>
      <c r="L405" s="10" t="str">
        <f>TRIM(IF(Table1[[#This Row],[years_of_experience]]="","Unknown",Table1[[#This Row],[years_of_experience]]))</f>
        <v>14</v>
      </c>
      <c r="M405">
        <v>30</v>
      </c>
      <c r="N405">
        <f>IF(Table1[[#This Row],[hourly_rate (USD)]]="",MEDIAN(Table1[hourly_rate (USD)]),Table1[[#This Row],[hourly_rate (USD)]])</f>
        <v>30</v>
      </c>
      <c r="O405" t="str">
        <f>TRIM(CLEAN(Table1[[#This Row],[Updated hourly_rate (USD)]]))</f>
        <v>30</v>
      </c>
      <c r="P405" t="str">
        <f>SUBSTITUTE(SUBSTITUTE(Table1[[#This Row],[Formatted hourly rate]],"USD ",""),"$","")</f>
        <v>30</v>
      </c>
      <c r="Q405">
        <v>0</v>
      </c>
      <c r="R405">
        <f>IF(Table1[[#This Row],[rating]]="",2.6,Table1[[#This Row],[rating]])</f>
        <v>0</v>
      </c>
      <c r="S405" t="s">
        <v>74</v>
      </c>
      <c r="T405" t="str">
        <f>TRIM(CLEAN(Table1[[#This Row],[is_active]]))</f>
        <v>Y</v>
      </c>
      <c r="U40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05" s="11" t="str">
        <f>TRIM(IF(Table1[[#This Row],[is_active3]]="Unknown","TRUE",Table1[[#This Row],[is_active3]]))</f>
        <v>TRUE</v>
      </c>
      <c r="W405">
        <v>0.78</v>
      </c>
      <c r="X405">
        <f>IF(Table1[[#This Row],[client_satisfaction]]&gt;1,Table1[[#This Row],[client_satisfaction]]/100,Table1[[#This Row],[client_satisfaction]])</f>
        <v>0.78</v>
      </c>
      <c r="Y405">
        <f>IF(Table1[[#This Row],[client_satisfaction2]]=0,0.75,Table1[[#This Row],[client_satisfaction2]])</f>
        <v>0.78</v>
      </c>
    </row>
    <row r="406" spans="1:25" x14ac:dyDescent="0.25">
      <c r="A406" t="s">
        <v>892</v>
      </c>
      <c r="B406" t="s">
        <v>893</v>
      </c>
      <c r="C406" t="str">
        <f>PROPER(TRIM(SUBSTITUTE(SUBSTITUTE(SUBSTITUTE(Table1[[#This Row],[name]],"Ms. ",""),"Mr. ",""),"Mrs. ","")))</f>
        <v>Jacob Austin</v>
      </c>
      <c r="D406" t="s">
        <v>92</v>
      </c>
      <c r="E4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406" t="str">
        <f>TRIM(IF(Table1[[#This Row],[age]]="","Unknown",Table1[[#This Row],[age]]))</f>
        <v>Unknown</v>
      </c>
      <c r="H406" t="s">
        <v>153</v>
      </c>
      <c r="I406" t="s">
        <v>154</v>
      </c>
      <c r="J406" t="s">
        <v>35</v>
      </c>
      <c r="K406">
        <v>10</v>
      </c>
      <c r="L406" s="10" t="str">
        <f>TRIM(IF(Table1[[#This Row],[years_of_experience]]="","Unknown",Table1[[#This Row],[years_of_experience]]))</f>
        <v>10</v>
      </c>
      <c r="M406">
        <v>20</v>
      </c>
      <c r="N406">
        <f>IF(Table1[[#This Row],[hourly_rate (USD)]]="",MEDIAN(Table1[hourly_rate (USD)]),Table1[[#This Row],[hourly_rate (USD)]])</f>
        <v>20</v>
      </c>
      <c r="O406" t="str">
        <f>TRIM(CLEAN(Table1[[#This Row],[Updated hourly_rate (USD)]]))</f>
        <v>20</v>
      </c>
      <c r="P406" t="str">
        <f>SUBSTITUTE(SUBSTITUTE(Table1[[#This Row],[Formatted hourly rate]],"USD ",""),"$","")</f>
        <v>20</v>
      </c>
      <c r="Q406">
        <v>1.8</v>
      </c>
      <c r="R406">
        <f>IF(Table1[[#This Row],[rating]]="",2.6,Table1[[#This Row],[rating]])</f>
        <v>1.8</v>
      </c>
      <c r="S406" t="s">
        <v>68</v>
      </c>
      <c r="T406" t="str">
        <f>TRIM(CLEAN(Table1[[#This Row],[is_active]]))</f>
        <v>yes</v>
      </c>
      <c r="U40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06" s="11" t="str">
        <f>TRIM(IF(Table1[[#This Row],[is_active3]]="Unknown","TRUE",Table1[[#This Row],[is_active3]]))</f>
        <v>TRUE</v>
      </c>
      <c r="W406">
        <v>85</v>
      </c>
      <c r="X406">
        <f>IF(Table1[[#This Row],[client_satisfaction]]&gt;1,Table1[[#This Row],[client_satisfaction]]/100,Table1[[#This Row],[client_satisfaction]])</f>
        <v>0.85</v>
      </c>
      <c r="Y406">
        <f>IF(Table1[[#This Row],[client_satisfaction2]]=0,0.75,Table1[[#This Row],[client_satisfaction2]])</f>
        <v>0.85</v>
      </c>
    </row>
    <row r="407" spans="1:25" x14ac:dyDescent="0.25">
      <c r="A407" t="s">
        <v>894</v>
      </c>
      <c r="B407" t="s">
        <v>895</v>
      </c>
      <c r="C407" t="str">
        <f>PROPER(TRIM(SUBSTITUTE(SUBSTITUTE(SUBSTITUTE(Table1[[#This Row],[name]],"Ms. ",""),"Mr. ",""),"Mrs. ","")))</f>
        <v>Sabrina Davidson</v>
      </c>
      <c r="D407" t="s">
        <v>20</v>
      </c>
      <c r="E4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07">
        <v>51</v>
      </c>
      <c r="G407" t="str">
        <f>TRIM(IF(Table1[[#This Row],[age]]="","Unknown",Table1[[#This Row],[age]]))</f>
        <v>51</v>
      </c>
      <c r="H407" t="s">
        <v>42</v>
      </c>
      <c r="I407" t="s">
        <v>43</v>
      </c>
      <c r="J407" t="s">
        <v>78</v>
      </c>
      <c r="K407">
        <v>27</v>
      </c>
      <c r="L407" s="10" t="str">
        <f>TRIM(IF(Table1[[#This Row],[years_of_experience]]="","Unknown",Table1[[#This Row],[years_of_experience]]))</f>
        <v>27</v>
      </c>
      <c r="M407" t="s">
        <v>64</v>
      </c>
      <c r="N407" t="str">
        <f>IF(Table1[[#This Row],[hourly_rate (USD)]]="",MEDIAN(Table1[hourly_rate (USD)]),Table1[[#This Row],[hourly_rate (USD)]])</f>
        <v>$50</v>
      </c>
      <c r="O407" t="str">
        <f>TRIM(CLEAN(Table1[[#This Row],[Updated hourly_rate (USD)]]))</f>
        <v>$50</v>
      </c>
      <c r="P407" t="str">
        <f>SUBSTITUTE(SUBSTITUTE(Table1[[#This Row],[Formatted hourly rate]],"USD ",""),"$","")</f>
        <v>50</v>
      </c>
      <c r="Q407">
        <v>0</v>
      </c>
      <c r="R407">
        <f>IF(Table1[[#This Row],[rating]]="",2.6,Table1[[#This Row],[rating]])</f>
        <v>0</v>
      </c>
      <c r="S407" t="s">
        <v>159</v>
      </c>
      <c r="T407" t="str">
        <f>TRIM(CLEAN(Table1[[#This Row],[is_active]]))</f>
        <v>no</v>
      </c>
      <c r="U40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07" s="11" t="str">
        <f>TRIM(IF(Table1[[#This Row],[is_active3]]="Unknown","TRUE",Table1[[#This Row],[is_active3]]))</f>
        <v>FALSE</v>
      </c>
      <c r="W407">
        <v>0.78</v>
      </c>
      <c r="X407">
        <f>IF(Table1[[#This Row],[client_satisfaction]]&gt;1,Table1[[#This Row],[client_satisfaction]]/100,Table1[[#This Row],[client_satisfaction]])</f>
        <v>0.78</v>
      </c>
      <c r="Y407">
        <f>IF(Table1[[#This Row],[client_satisfaction2]]=0,0.75,Table1[[#This Row],[client_satisfaction2]])</f>
        <v>0.78</v>
      </c>
    </row>
    <row r="408" spans="1:25" x14ac:dyDescent="0.25">
      <c r="A408" t="s">
        <v>896</v>
      </c>
      <c r="B408" t="s">
        <v>897</v>
      </c>
      <c r="C408" t="str">
        <f>PROPER(TRIM(SUBSTITUTE(SUBSTITUTE(SUBSTITUTE(Table1[[#This Row],[name]],"Ms. ",""),"Mr. ",""),"Mrs. ","")))</f>
        <v>Dustin Douglas</v>
      </c>
      <c r="D408" t="s">
        <v>27</v>
      </c>
      <c r="E4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08">
        <v>21</v>
      </c>
      <c r="G408" t="str">
        <f>TRIM(IF(Table1[[#This Row],[age]]="","Unknown",Table1[[#This Row],[age]]))</f>
        <v>21</v>
      </c>
      <c r="H408" t="s">
        <v>135</v>
      </c>
      <c r="I408" t="s">
        <v>136</v>
      </c>
      <c r="J408" t="s">
        <v>44</v>
      </c>
      <c r="K408">
        <v>2</v>
      </c>
      <c r="L408" s="10" t="str">
        <f>TRIM(IF(Table1[[#This Row],[years_of_experience]]="","Unknown",Table1[[#This Row],[years_of_experience]]))</f>
        <v>2</v>
      </c>
      <c r="M408" t="s">
        <v>45</v>
      </c>
      <c r="N408" t="str">
        <f>IF(Table1[[#This Row],[hourly_rate (USD)]]="",MEDIAN(Table1[hourly_rate (USD)]),Table1[[#This Row],[hourly_rate (USD)]])</f>
        <v>$30</v>
      </c>
      <c r="O408" t="str">
        <f>TRIM(CLEAN(Table1[[#This Row],[Updated hourly_rate (USD)]]))</f>
        <v>$30</v>
      </c>
      <c r="P408" t="str">
        <f>SUBSTITUTE(SUBSTITUTE(Table1[[#This Row],[Formatted hourly rate]],"USD ",""),"$","")</f>
        <v>30</v>
      </c>
      <c r="Q408">
        <v>3.8</v>
      </c>
      <c r="R408">
        <f>IF(Table1[[#This Row],[rating]]="",2.6,Table1[[#This Row],[rating]])</f>
        <v>3.8</v>
      </c>
      <c r="S408">
        <v>1</v>
      </c>
      <c r="T408" t="str">
        <f>TRIM(CLEAN(Table1[[#This Row],[is_active]]))</f>
        <v>1</v>
      </c>
      <c r="U40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08" s="11" t="str">
        <f>TRIM(IF(Table1[[#This Row],[is_active3]]="Unknown","TRUE",Table1[[#This Row],[is_active3]]))</f>
        <v>TRUE</v>
      </c>
      <c r="W408">
        <v>0.98</v>
      </c>
      <c r="X408">
        <f>IF(Table1[[#This Row],[client_satisfaction]]&gt;1,Table1[[#This Row],[client_satisfaction]]/100,Table1[[#This Row],[client_satisfaction]])</f>
        <v>0.98</v>
      </c>
      <c r="Y408">
        <f>IF(Table1[[#This Row],[client_satisfaction2]]=0,0.75,Table1[[#This Row],[client_satisfaction2]])</f>
        <v>0.98</v>
      </c>
    </row>
    <row r="409" spans="1:25" x14ac:dyDescent="0.25">
      <c r="A409" t="s">
        <v>898</v>
      </c>
      <c r="B409" t="s">
        <v>899</v>
      </c>
      <c r="C409" t="str">
        <f>PROPER(TRIM(SUBSTITUTE(SUBSTITUTE(SUBSTITUTE(Table1[[#This Row],[name]],"Ms. ",""),"Mr. ",""),"Mrs. ","")))</f>
        <v>Steven Norris</v>
      </c>
      <c r="D409" t="s">
        <v>61</v>
      </c>
      <c r="E4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09">
        <v>51</v>
      </c>
      <c r="G409" t="str">
        <f>TRIM(IF(Table1[[#This Row],[age]]="","Unknown",Table1[[#This Row],[age]]))</f>
        <v>51</v>
      </c>
      <c r="H409" t="s">
        <v>85</v>
      </c>
      <c r="I409" t="s">
        <v>86</v>
      </c>
      <c r="J409" t="s">
        <v>44</v>
      </c>
      <c r="K409">
        <v>33</v>
      </c>
      <c r="L409" s="10" t="str">
        <f>TRIM(IF(Table1[[#This Row],[years_of_experience]]="","Unknown",Table1[[#This Row],[years_of_experience]]))</f>
        <v>33</v>
      </c>
      <c r="M409" t="s">
        <v>55</v>
      </c>
      <c r="N409" t="str">
        <f>IF(Table1[[#This Row],[hourly_rate (USD)]]="",MEDIAN(Table1[hourly_rate (USD)]),Table1[[#This Row],[hourly_rate (USD)]])</f>
        <v>USD 40</v>
      </c>
      <c r="O409" t="str">
        <f>TRIM(CLEAN(Table1[[#This Row],[Updated hourly_rate (USD)]]))</f>
        <v>USD 40</v>
      </c>
      <c r="P409" t="str">
        <f>SUBSTITUTE(SUBSTITUTE(Table1[[#This Row],[Formatted hourly rate]],"USD ",""),"$","")</f>
        <v>40</v>
      </c>
      <c r="Q409">
        <v>0</v>
      </c>
      <c r="R409">
        <f>IF(Table1[[#This Row],[rating]]="",2.6,Table1[[#This Row],[rating]])</f>
        <v>0</v>
      </c>
      <c r="S409" t="s">
        <v>74</v>
      </c>
      <c r="T409" t="str">
        <f>TRIM(CLEAN(Table1[[#This Row],[is_active]]))</f>
        <v>Y</v>
      </c>
      <c r="U40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09" s="11" t="str">
        <f>TRIM(IF(Table1[[#This Row],[is_active3]]="Unknown","TRUE",Table1[[#This Row],[is_active3]]))</f>
        <v>TRUE</v>
      </c>
      <c r="W409">
        <v>0.63</v>
      </c>
      <c r="X409">
        <f>IF(Table1[[#This Row],[client_satisfaction]]&gt;1,Table1[[#This Row],[client_satisfaction]]/100,Table1[[#This Row],[client_satisfaction]])</f>
        <v>0.63</v>
      </c>
      <c r="Y409">
        <f>IF(Table1[[#This Row],[client_satisfaction2]]=0,0.75,Table1[[#This Row],[client_satisfaction2]])</f>
        <v>0.63</v>
      </c>
    </row>
    <row r="410" spans="1:25" x14ac:dyDescent="0.25">
      <c r="A410" t="s">
        <v>900</v>
      </c>
      <c r="B410" t="s">
        <v>901</v>
      </c>
      <c r="C410" t="str">
        <f>PROPER(TRIM(SUBSTITUTE(SUBSTITUTE(SUBSTITUTE(Table1[[#This Row],[name]],"Ms. ",""),"Mr. ",""),"Mrs. ","")))</f>
        <v>Mindy Sullivan</v>
      </c>
      <c r="D410" t="s">
        <v>39</v>
      </c>
      <c r="E4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10">
        <v>37</v>
      </c>
      <c r="G410" t="str">
        <f>TRIM(IF(Table1[[#This Row],[age]]="","Unknown",Table1[[#This Row],[age]]))</f>
        <v>37</v>
      </c>
      <c r="H410" t="s">
        <v>49</v>
      </c>
      <c r="I410" t="s">
        <v>50</v>
      </c>
      <c r="J410" t="s">
        <v>30</v>
      </c>
      <c r="K410">
        <v>11</v>
      </c>
      <c r="L410" s="10" t="str">
        <f>TRIM(IF(Table1[[#This Row],[years_of_experience]]="","Unknown",Table1[[#This Row],[years_of_experience]]))</f>
        <v>11</v>
      </c>
      <c r="M410" t="s">
        <v>55</v>
      </c>
      <c r="N410" t="str">
        <f>IF(Table1[[#This Row],[hourly_rate (USD)]]="",MEDIAN(Table1[hourly_rate (USD)]),Table1[[#This Row],[hourly_rate (USD)]])</f>
        <v>USD 40</v>
      </c>
      <c r="O410" t="str">
        <f>TRIM(CLEAN(Table1[[#This Row],[Updated hourly_rate (USD)]]))</f>
        <v>USD 40</v>
      </c>
      <c r="P410" t="str">
        <f>SUBSTITUTE(SUBSTITUTE(Table1[[#This Row],[Formatted hourly rate]],"USD ",""),"$","")</f>
        <v>40</v>
      </c>
      <c r="Q410">
        <v>3.6</v>
      </c>
      <c r="R410">
        <f>IF(Table1[[#This Row],[rating]]="",2.6,Table1[[#This Row],[rating]])</f>
        <v>3.6</v>
      </c>
      <c r="S410" t="s">
        <v>31</v>
      </c>
      <c r="T410" t="str">
        <f>TRIM(CLEAN(Table1[[#This Row],[is_active]]))</f>
        <v>N</v>
      </c>
      <c r="U41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10" s="11" t="str">
        <f>TRIM(IF(Table1[[#This Row],[is_active3]]="Unknown","TRUE",Table1[[#This Row],[is_active3]]))</f>
        <v>FALSE</v>
      </c>
      <c r="W410">
        <v>0.73</v>
      </c>
      <c r="X410">
        <f>IF(Table1[[#This Row],[client_satisfaction]]&gt;1,Table1[[#This Row],[client_satisfaction]]/100,Table1[[#This Row],[client_satisfaction]])</f>
        <v>0.73</v>
      </c>
      <c r="Y410">
        <f>IF(Table1[[#This Row],[client_satisfaction2]]=0,0.75,Table1[[#This Row],[client_satisfaction2]])</f>
        <v>0.73</v>
      </c>
    </row>
    <row r="411" spans="1:25" x14ac:dyDescent="0.25">
      <c r="A411" t="s">
        <v>902</v>
      </c>
      <c r="B411" t="s">
        <v>903</v>
      </c>
      <c r="C411" t="str">
        <f>PROPER(TRIM(SUBSTITUTE(SUBSTITUTE(SUBSTITUTE(Table1[[#This Row],[name]],"Ms. ",""),"Mr. ",""),"Mrs. ","")))</f>
        <v>Elizabeth Stone</v>
      </c>
      <c r="D411" t="s">
        <v>14</v>
      </c>
      <c r="E4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11">
        <v>20</v>
      </c>
      <c r="G411" t="str">
        <f>TRIM(IF(Table1[[#This Row],[age]]="","Unknown",Table1[[#This Row],[age]]))</f>
        <v>20</v>
      </c>
      <c r="H411" t="s">
        <v>190</v>
      </c>
      <c r="I411" t="s">
        <v>72</v>
      </c>
      <c r="J411" t="s">
        <v>30</v>
      </c>
      <c r="K411">
        <v>2</v>
      </c>
      <c r="L411" s="10" t="str">
        <f>TRIM(IF(Table1[[#This Row],[years_of_experience]]="","Unknown",Table1[[#This Row],[years_of_experience]]))</f>
        <v>2</v>
      </c>
      <c r="M411">
        <v>30</v>
      </c>
      <c r="N411">
        <f>IF(Table1[[#This Row],[hourly_rate (USD)]]="",MEDIAN(Table1[hourly_rate (USD)]),Table1[[#This Row],[hourly_rate (USD)]])</f>
        <v>30</v>
      </c>
      <c r="O411" t="str">
        <f>TRIM(CLEAN(Table1[[#This Row],[Updated hourly_rate (USD)]]))</f>
        <v>30</v>
      </c>
      <c r="P411" t="str">
        <f>SUBSTITUTE(SUBSTITUTE(Table1[[#This Row],[Formatted hourly rate]],"USD ",""),"$","")</f>
        <v>30</v>
      </c>
      <c r="Q411">
        <v>0</v>
      </c>
      <c r="R411">
        <f>IF(Table1[[#This Row],[rating]]="",2.6,Table1[[#This Row],[rating]])</f>
        <v>0</v>
      </c>
      <c r="S411">
        <v>0</v>
      </c>
      <c r="T411" t="str">
        <f>TRIM(CLEAN(Table1[[#This Row],[is_active]]))</f>
        <v>0</v>
      </c>
      <c r="U41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11" s="11" t="str">
        <f>TRIM(IF(Table1[[#This Row],[is_active3]]="Unknown","TRUE",Table1[[#This Row],[is_active3]]))</f>
        <v>FALSE</v>
      </c>
      <c r="W411">
        <v>0.94</v>
      </c>
      <c r="X411">
        <f>IF(Table1[[#This Row],[client_satisfaction]]&gt;1,Table1[[#This Row],[client_satisfaction]]/100,Table1[[#This Row],[client_satisfaction]])</f>
        <v>0.94</v>
      </c>
      <c r="Y411">
        <f>IF(Table1[[#This Row],[client_satisfaction2]]=0,0.75,Table1[[#This Row],[client_satisfaction2]])</f>
        <v>0.94</v>
      </c>
    </row>
    <row r="412" spans="1:25" x14ac:dyDescent="0.25">
      <c r="A412" t="s">
        <v>904</v>
      </c>
      <c r="B412" t="s">
        <v>905</v>
      </c>
      <c r="C412" t="str">
        <f>PROPER(TRIM(SUBSTITUTE(SUBSTITUTE(SUBSTITUTE(Table1[[#This Row],[name]],"Ms. ",""),"Mr. ",""),"Mrs. ","")))</f>
        <v>Diane Flores</v>
      </c>
      <c r="D412" t="s">
        <v>77</v>
      </c>
      <c r="E4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12">
        <v>50</v>
      </c>
      <c r="G412" t="str">
        <f>TRIM(IF(Table1[[#This Row],[age]]="","Unknown",Table1[[#This Row],[age]]))</f>
        <v>50</v>
      </c>
      <c r="H412" t="s">
        <v>21</v>
      </c>
      <c r="I412" t="s">
        <v>22</v>
      </c>
      <c r="J412" t="s">
        <v>35</v>
      </c>
      <c r="K412">
        <v>31</v>
      </c>
      <c r="L412" s="10" t="str">
        <f>TRIM(IF(Table1[[#This Row],[years_of_experience]]="","Unknown",Table1[[#This Row],[years_of_experience]]))</f>
        <v>31</v>
      </c>
      <c r="M412" t="s">
        <v>64</v>
      </c>
      <c r="N412" t="str">
        <f>IF(Table1[[#This Row],[hourly_rate (USD)]]="",MEDIAN(Table1[hourly_rate (USD)]),Table1[[#This Row],[hourly_rate (USD)]])</f>
        <v>$50</v>
      </c>
      <c r="O412" t="str">
        <f>TRIM(CLEAN(Table1[[#This Row],[Updated hourly_rate (USD)]]))</f>
        <v>$50</v>
      </c>
      <c r="P412" t="str">
        <f>SUBSTITUTE(SUBSTITUTE(Table1[[#This Row],[Formatted hourly rate]],"USD ",""),"$","")</f>
        <v>50</v>
      </c>
      <c r="Q412">
        <v>4.0999999999999996</v>
      </c>
      <c r="R412">
        <f>IF(Table1[[#This Row],[rating]]="",2.6,Table1[[#This Row],[rating]])</f>
        <v>4.0999999999999996</v>
      </c>
      <c r="T412" t="str">
        <f>TRIM(CLEAN(Table1[[#This Row],[is_active]]))</f>
        <v/>
      </c>
      <c r="U41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12" s="11" t="str">
        <f>TRIM(IF(Table1[[#This Row],[is_active3]]="Unknown","TRUE",Table1[[#This Row],[is_active3]]))</f>
        <v>TRUE</v>
      </c>
      <c r="W412">
        <v>0.81</v>
      </c>
      <c r="X412">
        <f>IF(Table1[[#This Row],[client_satisfaction]]&gt;1,Table1[[#This Row],[client_satisfaction]]/100,Table1[[#This Row],[client_satisfaction]])</f>
        <v>0.81</v>
      </c>
      <c r="Y412">
        <f>IF(Table1[[#This Row],[client_satisfaction2]]=0,0.75,Table1[[#This Row],[client_satisfaction2]])</f>
        <v>0.81</v>
      </c>
    </row>
    <row r="413" spans="1:25" x14ac:dyDescent="0.25">
      <c r="A413" t="s">
        <v>906</v>
      </c>
      <c r="B413" t="s">
        <v>907</v>
      </c>
      <c r="C413" t="str">
        <f>PROPER(TRIM(SUBSTITUTE(SUBSTITUTE(SUBSTITUTE(Table1[[#This Row],[name]],"Ms. ",""),"Mr. ",""),"Mrs. ","")))</f>
        <v>Jessica Erickson</v>
      </c>
      <c r="D413" t="s">
        <v>20</v>
      </c>
      <c r="E4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13">
        <v>58</v>
      </c>
      <c r="G413" t="str">
        <f>TRIM(IF(Table1[[#This Row],[age]]="","Unknown",Table1[[#This Row],[age]]))</f>
        <v>58</v>
      </c>
      <c r="H413" t="s">
        <v>62</v>
      </c>
      <c r="I413" t="s">
        <v>63</v>
      </c>
      <c r="J413" t="s">
        <v>30</v>
      </c>
      <c r="K413">
        <v>17</v>
      </c>
      <c r="L413" s="10" t="str">
        <f>TRIM(IF(Table1[[#This Row],[years_of_experience]]="","Unknown",Table1[[#This Row],[years_of_experience]]))</f>
        <v>17</v>
      </c>
      <c r="M413" t="s">
        <v>64</v>
      </c>
      <c r="N413" t="str">
        <f>IF(Table1[[#This Row],[hourly_rate (USD)]]="",MEDIAN(Table1[hourly_rate (USD)]),Table1[[#This Row],[hourly_rate (USD)]])</f>
        <v>$50</v>
      </c>
      <c r="O413" t="str">
        <f>TRIM(CLEAN(Table1[[#This Row],[Updated hourly_rate (USD)]]))</f>
        <v>$50</v>
      </c>
      <c r="P413" t="str">
        <f>SUBSTITUTE(SUBSTITUTE(Table1[[#This Row],[Formatted hourly rate]],"USD ",""),"$","")</f>
        <v>50</v>
      </c>
      <c r="Q413">
        <v>2.6</v>
      </c>
      <c r="R413">
        <f>IF(Table1[[#This Row],[rating]]="",2.6,Table1[[#This Row],[rating]])</f>
        <v>2.6</v>
      </c>
      <c r="S413">
        <v>1</v>
      </c>
      <c r="T413" t="str">
        <f>TRIM(CLEAN(Table1[[#This Row],[is_active]]))</f>
        <v>1</v>
      </c>
      <c r="U4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13" s="11" t="str">
        <f>TRIM(IF(Table1[[#This Row],[is_active3]]="Unknown","TRUE",Table1[[#This Row],[is_active3]]))</f>
        <v>TRUE</v>
      </c>
      <c r="W413">
        <v>0.61</v>
      </c>
      <c r="X413">
        <f>IF(Table1[[#This Row],[client_satisfaction]]&gt;1,Table1[[#This Row],[client_satisfaction]]/100,Table1[[#This Row],[client_satisfaction]])</f>
        <v>0.61</v>
      </c>
      <c r="Y413">
        <f>IF(Table1[[#This Row],[client_satisfaction2]]=0,0.75,Table1[[#This Row],[client_satisfaction2]])</f>
        <v>0.61</v>
      </c>
    </row>
    <row r="414" spans="1:25" x14ac:dyDescent="0.25">
      <c r="A414" t="s">
        <v>908</v>
      </c>
      <c r="B414" t="s">
        <v>909</v>
      </c>
      <c r="C414" t="str">
        <f>PROPER(TRIM(SUBSTITUTE(SUBSTITUTE(SUBSTITUTE(Table1[[#This Row],[name]],"Ms. ",""),"Mr. ",""),"Mrs. ","")))</f>
        <v>Sara Moses</v>
      </c>
      <c r="D414" t="s">
        <v>20</v>
      </c>
      <c r="E4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14">
        <v>40</v>
      </c>
      <c r="G414" t="str">
        <f>TRIM(IF(Table1[[#This Row],[age]]="","Unknown",Table1[[#This Row],[age]]))</f>
        <v>40</v>
      </c>
      <c r="H414" t="s">
        <v>107</v>
      </c>
      <c r="I414" t="s">
        <v>108</v>
      </c>
      <c r="J414" t="s">
        <v>73</v>
      </c>
      <c r="K414">
        <v>2</v>
      </c>
      <c r="L414" s="10" t="str">
        <f>TRIM(IF(Table1[[#This Row],[years_of_experience]]="","Unknown",Table1[[#This Row],[years_of_experience]]))</f>
        <v>2</v>
      </c>
      <c r="M414" t="s">
        <v>229</v>
      </c>
      <c r="N414" t="str">
        <f>IF(Table1[[#This Row],[hourly_rate (USD)]]="",MEDIAN(Table1[hourly_rate (USD)]),Table1[[#This Row],[hourly_rate (USD)]])</f>
        <v>$100</v>
      </c>
      <c r="O414" t="str">
        <f>TRIM(CLEAN(Table1[[#This Row],[Updated hourly_rate (USD)]]))</f>
        <v>$100</v>
      </c>
      <c r="P414" t="str">
        <f>SUBSTITUTE(SUBSTITUTE(Table1[[#This Row],[Formatted hourly rate]],"USD ",""),"$","")</f>
        <v>100</v>
      </c>
      <c r="Q414">
        <v>0</v>
      </c>
      <c r="R414">
        <f>IF(Table1[[#This Row],[rating]]="",2.6,Table1[[#This Row],[rating]])</f>
        <v>0</v>
      </c>
      <c r="S414">
        <v>0</v>
      </c>
      <c r="T414" t="str">
        <f>TRIM(CLEAN(Table1[[#This Row],[is_active]]))</f>
        <v>0</v>
      </c>
      <c r="U41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14" s="11" t="str">
        <f>TRIM(IF(Table1[[#This Row],[is_active3]]="Unknown","TRUE",Table1[[#This Row],[is_active3]]))</f>
        <v>FALSE</v>
      </c>
      <c r="X414">
        <f>IF(Table1[[#This Row],[client_satisfaction]]&gt;1,Table1[[#This Row],[client_satisfaction]]/100,Table1[[#This Row],[client_satisfaction]])</f>
        <v>0</v>
      </c>
      <c r="Y414">
        <f>IF(Table1[[#This Row],[client_satisfaction2]]=0,0.75,Table1[[#This Row],[client_satisfaction2]])</f>
        <v>0.75</v>
      </c>
    </row>
    <row r="415" spans="1:25" x14ac:dyDescent="0.25">
      <c r="A415" t="s">
        <v>910</v>
      </c>
      <c r="B415" t="s">
        <v>911</v>
      </c>
      <c r="C415" t="str">
        <f>PROPER(TRIM(SUBSTITUTE(SUBSTITUTE(SUBSTITUTE(Table1[[#This Row],[name]],"Ms. ",""),"Mr. ",""),"Mrs. ","")))</f>
        <v>Allison Henderson</v>
      </c>
      <c r="D415" t="s">
        <v>34</v>
      </c>
      <c r="E4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15">
        <v>26</v>
      </c>
      <c r="G415" t="str">
        <f>TRIM(IF(Table1[[#This Row],[age]]="","Unknown",Table1[[#This Row],[age]]))</f>
        <v>26</v>
      </c>
      <c r="H415" t="s">
        <v>139</v>
      </c>
      <c r="I415" t="s">
        <v>140</v>
      </c>
      <c r="J415" t="s">
        <v>35</v>
      </c>
      <c r="K415">
        <v>2</v>
      </c>
      <c r="L415" s="10" t="str">
        <f>TRIM(IF(Table1[[#This Row],[years_of_experience]]="","Unknown",Table1[[#This Row],[years_of_experience]]))</f>
        <v>2</v>
      </c>
      <c r="M415">
        <v>20</v>
      </c>
      <c r="N415">
        <f>IF(Table1[[#This Row],[hourly_rate (USD)]]="",MEDIAN(Table1[hourly_rate (USD)]),Table1[[#This Row],[hourly_rate (USD)]])</f>
        <v>20</v>
      </c>
      <c r="O415" t="str">
        <f>TRIM(CLEAN(Table1[[#This Row],[Updated hourly_rate (USD)]]))</f>
        <v>20</v>
      </c>
      <c r="P415" t="str">
        <f>SUBSTITUTE(SUBSTITUTE(Table1[[#This Row],[Formatted hourly rate]],"USD ",""),"$","")</f>
        <v>20</v>
      </c>
      <c r="Q415">
        <v>1.3</v>
      </c>
      <c r="R415">
        <f>IF(Table1[[#This Row],[rating]]="",2.6,Table1[[#This Row],[rating]])</f>
        <v>1.3</v>
      </c>
      <c r="S415" t="s">
        <v>159</v>
      </c>
      <c r="T415" t="str">
        <f>TRIM(CLEAN(Table1[[#This Row],[is_active]]))</f>
        <v>no</v>
      </c>
      <c r="U41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15" s="11" t="str">
        <f>TRIM(IF(Table1[[#This Row],[is_active3]]="Unknown","TRUE",Table1[[#This Row],[is_active3]]))</f>
        <v>FALSE</v>
      </c>
      <c r="W415">
        <v>0.83</v>
      </c>
      <c r="X415">
        <f>IF(Table1[[#This Row],[client_satisfaction]]&gt;1,Table1[[#This Row],[client_satisfaction]]/100,Table1[[#This Row],[client_satisfaction]])</f>
        <v>0.83</v>
      </c>
      <c r="Y415">
        <f>IF(Table1[[#This Row],[client_satisfaction2]]=0,0.75,Table1[[#This Row],[client_satisfaction2]])</f>
        <v>0.83</v>
      </c>
    </row>
    <row r="416" spans="1:25" x14ac:dyDescent="0.25">
      <c r="A416" t="s">
        <v>912</v>
      </c>
      <c r="B416" t="s">
        <v>913</v>
      </c>
      <c r="C416" t="str">
        <f>PROPER(TRIM(SUBSTITUTE(SUBSTITUTE(SUBSTITUTE(Table1[[#This Row],[name]],"Ms. ",""),"Mr. ",""),"Mrs. ","")))</f>
        <v>Susan Dixon</v>
      </c>
      <c r="D416" t="s">
        <v>20</v>
      </c>
      <c r="E4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16">
        <v>44</v>
      </c>
      <c r="G416" t="str">
        <f>TRIM(IF(Table1[[#This Row],[age]]="","Unknown",Table1[[#This Row],[age]]))</f>
        <v>44</v>
      </c>
      <c r="H416" t="s">
        <v>112</v>
      </c>
      <c r="I416" t="s">
        <v>113</v>
      </c>
      <c r="J416" t="s">
        <v>78</v>
      </c>
      <c r="K416">
        <v>22</v>
      </c>
      <c r="L416" s="10" t="str">
        <f>TRIM(IF(Table1[[#This Row],[years_of_experience]]="","Unknown",Table1[[#This Row],[years_of_experience]]))</f>
        <v>22</v>
      </c>
      <c r="M416">
        <v>30</v>
      </c>
      <c r="N416">
        <f>IF(Table1[[#This Row],[hourly_rate (USD)]]="",MEDIAN(Table1[hourly_rate (USD)]),Table1[[#This Row],[hourly_rate (USD)]])</f>
        <v>30</v>
      </c>
      <c r="O416" t="str">
        <f>TRIM(CLEAN(Table1[[#This Row],[Updated hourly_rate (USD)]]))</f>
        <v>30</v>
      </c>
      <c r="P416" t="str">
        <f>SUBSTITUTE(SUBSTITUTE(Table1[[#This Row],[Formatted hourly rate]],"USD ",""),"$","")</f>
        <v>30</v>
      </c>
      <c r="Q416">
        <v>4.0999999999999996</v>
      </c>
      <c r="R416">
        <f>IF(Table1[[#This Row],[rating]]="",2.6,Table1[[#This Row],[rating]])</f>
        <v>4.0999999999999996</v>
      </c>
      <c r="S416" t="s">
        <v>74</v>
      </c>
      <c r="T416" t="str">
        <f>TRIM(CLEAN(Table1[[#This Row],[is_active]]))</f>
        <v>Y</v>
      </c>
      <c r="U41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16" s="11" t="str">
        <f>TRIM(IF(Table1[[#This Row],[is_active3]]="Unknown","TRUE",Table1[[#This Row],[is_active3]]))</f>
        <v>TRUE</v>
      </c>
      <c r="X416">
        <f>IF(Table1[[#This Row],[client_satisfaction]]&gt;1,Table1[[#This Row],[client_satisfaction]]/100,Table1[[#This Row],[client_satisfaction]])</f>
        <v>0</v>
      </c>
      <c r="Y416">
        <f>IF(Table1[[#This Row],[client_satisfaction2]]=0,0.75,Table1[[#This Row],[client_satisfaction2]])</f>
        <v>0.75</v>
      </c>
    </row>
    <row r="417" spans="1:25" x14ac:dyDescent="0.25">
      <c r="A417" t="s">
        <v>914</v>
      </c>
      <c r="B417" t="s">
        <v>915</v>
      </c>
      <c r="C417" t="str">
        <f>PROPER(TRIM(SUBSTITUTE(SUBSTITUTE(SUBSTITUTE(Table1[[#This Row],[name]],"Ms. ",""),"Mr. ",""),"Mrs. ","")))</f>
        <v>David Morrison</v>
      </c>
      <c r="D417" t="s">
        <v>27</v>
      </c>
      <c r="E4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17">
        <v>42</v>
      </c>
      <c r="G417" t="str">
        <f>TRIM(IF(Table1[[#This Row],[age]]="","Unknown",Table1[[#This Row],[age]]))</f>
        <v>42</v>
      </c>
      <c r="H417" t="s">
        <v>179</v>
      </c>
      <c r="I417" t="s">
        <v>72</v>
      </c>
      <c r="J417" t="s">
        <v>114</v>
      </c>
      <c r="K417">
        <v>8</v>
      </c>
      <c r="L417" s="10" t="str">
        <f>TRIM(IF(Table1[[#This Row],[years_of_experience]]="","Unknown",Table1[[#This Row],[years_of_experience]]))</f>
        <v>8</v>
      </c>
      <c r="M417" t="s">
        <v>64</v>
      </c>
      <c r="N417" t="str">
        <f>IF(Table1[[#This Row],[hourly_rate (USD)]]="",MEDIAN(Table1[hourly_rate (USD)]),Table1[[#This Row],[hourly_rate (USD)]])</f>
        <v>$50</v>
      </c>
      <c r="O417" t="str">
        <f>TRIM(CLEAN(Table1[[#This Row],[Updated hourly_rate (USD)]]))</f>
        <v>$50</v>
      </c>
      <c r="P417" t="str">
        <f>SUBSTITUTE(SUBSTITUTE(Table1[[#This Row],[Formatted hourly rate]],"USD ",""),"$","")</f>
        <v>50</v>
      </c>
      <c r="Q417">
        <v>2.4</v>
      </c>
      <c r="R417">
        <f>IF(Table1[[#This Row],[rating]]="",2.6,Table1[[#This Row],[rating]])</f>
        <v>2.4</v>
      </c>
      <c r="S417" t="s">
        <v>159</v>
      </c>
      <c r="T417" t="str">
        <f>TRIM(CLEAN(Table1[[#This Row],[is_active]]))</f>
        <v>no</v>
      </c>
      <c r="U41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17" s="11" t="str">
        <f>TRIM(IF(Table1[[#This Row],[is_active3]]="Unknown","TRUE",Table1[[#This Row],[is_active3]]))</f>
        <v>FALSE</v>
      </c>
      <c r="W417">
        <v>0.68</v>
      </c>
      <c r="X417">
        <f>IF(Table1[[#This Row],[client_satisfaction]]&gt;1,Table1[[#This Row],[client_satisfaction]]/100,Table1[[#This Row],[client_satisfaction]])</f>
        <v>0.68</v>
      </c>
      <c r="Y417">
        <f>IF(Table1[[#This Row],[client_satisfaction2]]=0,0.75,Table1[[#This Row],[client_satisfaction2]])</f>
        <v>0.68</v>
      </c>
    </row>
    <row r="418" spans="1:25" x14ac:dyDescent="0.25">
      <c r="A418" t="s">
        <v>916</v>
      </c>
      <c r="B418" t="s">
        <v>336</v>
      </c>
      <c r="C418" t="str">
        <f>PROPER(TRIM(SUBSTITUTE(SUBSTITUTE(SUBSTITUTE(Table1[[#This Row],[name]],"Ms. ",""),"Mr. ",""),"Mrs. ","")))</f>
        <v>Jason Carter</v>
      </c>
      <c r="D418" t="s">
        <v>92</v>
      </c>
      <c r="E4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18">
        <v>38</v>
      </c>
      <c r="G418" t="str">
        <f>TRIM(IF(Table1[[#This Row],[age]]="","Unknown",Table1[[#This Row],[age]]))</f>
        <v>38</v>
      </c>
      <c r="H418" t="s">
        <v>179</v>
      </c>
      <c r="I418" t="s">
        <v>72</v>
      </c>
      <c r="J418" t="s">
        <v>51</v>
      </c>
      <c r="K418">
        <v>9</v>
      </c>
      <c r="L418" s="10" t="str">
        <f>TRIM(IF(Table1[[#This Row],[years_of_experience]]="","Unknown",Table1[[#This Row],[years_of_experience]]))</f>
        <v>9</v>
      </c>
      <c r="M418" t="s">
        <v>64</v>
      </c>
      <c r="N418" t="str">
        <f>IF(Table1[[#This Row],[hourly_rate (USD)]]="",MEDIAN(Table1[hourly_rate (USD)]),Table1[[#This Row],[hourly_rate (USD)]])</f>
        <v>$50</v>
      </c>
      <c r="O418" t="str">
        <f>TRIM(CLEAN(Table1[[#This Row],[Updated hourly_rate (USD)]]))</f>
        <v>$50</v>
      </c>
      <c r="P418" t="str">
        <f>SUBSTITUTE(SUBSTITUTE(Table1[[#This Row],[Formatted hourly rate]],"USD ",""),"$","")</f>
        <v>50</v>
      </c>
      <c r="Q418">
        <v>0</v>
      </c>
      <c r="R418">
        <f>IF(Table1[[#This Row],[rating]]="",2.6,Table1[[#This Row],[rating]])</f>
        <v>0</v>
      </c>
      <c r="S418">
        <v>0</v>
      </c>
      <c r="T418" t="str">
        <f>TRIM(CLEAN(Table1[[#This Row],[is_active]]))</f>
        <v>0</v>
      </c>
      <c r="U4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18" s="11" t="str">
        <f>TRIM(IF(Table1[[#This Row],[is_active3]]="Unknown","TRUE",Table1[[#This Row],[is_active3]]))</f>
        <v>FALSE</v>
      </c>
      <c r="W418">
        <v>0.74</v>
      </c>
      <c r="X418">
        <f>IF(Table1[[#This Row],[client_satisfaction]]&gt;1,Table1[[#This Row],[client_satisfaction]]/100,Table1[[#This Row],[client_satisfaction]])</f>
        <v>0.74</v>
      </c>
      <c r="Y418">
        <f>IF(Table1[[#This Row],[client_satisfaction2]]=0,0.75,Table1[[#This Row],[client_satisfaction2]])</f>
        <v>0.74</v>
      </c>
    </row>
    <row r="419" spans="1:25" x14ac:dyDescent="0.25">
      <c r="A419" t="s">
        <v>917</v>
      </c>
      <c r="B419" t="s">
        <v>918</v>
      </c>
      <c r="C419" t="str">
        <f>PROPER(TRIM(SUBSTITUTE(SUBSTITUTE(SUBSTITUTE(Table1[[#This Row],[name]],"Ms. ",""),"Mr. ",""),"Mrs. ","")))</f>
        <v>James Jacobs</v>
      </c>
      <c r="D419" t="s">
        <v>27</v>
      </c>
      <c r="E4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19">
        <v>51</v>
      </c>
      <c r="G419" t="str">
        <f>TRIM(IF(Table1[[#This Row],[age]]="","Unknown",Table1[[#This Row],[age]]))</f>
        <v>51</v>
      </c>
      <c r="H419" t="s">
        <v>139</v>
      </c>
      <c r="I419" t="s">
        <v>140</v>
      </c>
      <c r="J419" t="s">
        <v>35</v>
      </c>
      <c r="K419">
        <v>32</v>
      </c>
      <c r="L419" s="10" t="str">
        <f>TRIM(IF(Table1[[#This Row],[years_of_experience]]="","Unknown",Table1[[#This Row],[years_of_experience]]))</f>
        <v>32</v>
      </c>
      <c r="M419">
        <v>100</v>
      </c>
      <c r="N419">
        <f>IF(Table1[[#This Row],[hourly_rate (USD)]]="",MEDIAN(Table1[hourly_rate (USD)]),Table1[[#This Row],[hourly_rate (USD)]])</f>
        <v>100</v>
      </c>
      <c r="O419" t="str">
        <f>TRIM(CLEAN(Table1[[#This Row],[Updated hourly_rate (USD)]]))</f>
        <v>100</v>
      </c>
      <c r="P419" t="str">
        <f>SUBSTITUTE(SUBSTITUTE(Table1[[#This Row],[Formatted hourly rate]],"USD ",""),"$","")</f>
        <v>100</v>
      </c>
      <c r="Q419">
        <v>4.4000000000000004</v>
      </c>
      <c r="R419">
        <f>IF(Table1[[#This Row],[rating]]="",2.6,Table1[[#This Row],[rating]])</f>
        <v>4.4000000000000004</v>
      </c>
      <c r="S419" t="b">
        <v>0</v>
      </c>
      <c r="T419" t="str">
        <f>TRIM(CLEAN(Table1[[#This Row],[is_active]]))</f>
        <v>FALSE</v>
      </c>
      <c r="U41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19" s="11" t="str">
        <f>TRIM(IF(Table1[[#This Row],[is_active3]]="Unknown","TRUE",Table1[[#This Row],[is_active3]]))</f>
        <v>TRUE</v>
      </c>
      <c r="W419">
        <v>91</v>
      </c>
      <c r="X419">
        <f>IF(Table1[[#This Row],[client_satisfaction]]&gt;1,Table1[[#This Row],[client_satisfaction]]/100,Table1[[#This Row],[client_satisfaction]])</f>
        <v>0.91</v>
      </c>
      <c r="Y419">
        <f>IF(Table1[[#This Row],[client_satisfaction2]]=0,0.75,Table1[[#This Row],[client_satisfaction2]])</f>
        <v>0.91</v>
      </c>
    </row>
    <row r="420" spans="1:25" x14ac:dyDescent="0.25">
      <c r="A420" t="s">
        <v>919</v>
      </c>
      <c r="B420" t="s">
        <v>920</v>
      </c>
      <c r="C420" t="str">
        <f>PROPER(TRIM(SUBSTITUTE(SUBSTITUTE(SUBSTITUTE(Table1[[#This Row],[name]],"Ms. ",""),"Mr. ",""),"Mrs. ","")))</f>
        <v>Kathleen Quinn</v>
      </c>
      <c r="D420" t="s">
        <v>39</v>
      </c>
      <c r="E4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0">
        <v>36</v>
      </c>
      <c r="G420" t="str">
        <f>TRIM(IF(Table1[[#This Row],[age]]="","Unknown",Table1[[#This Row],[age]]))</f>
        <v>36</v>
      </c>
      <c r="H420" t="s">
        <v>135</v>
      </c>
      <c r="I420" t="s">
        <v>136</v>
      </c>
      <c r="J420" t="s">
        <v>44</v>
      </c>
      <c r="K420">
        <v>8</v>
      </c>
      <c r="L420" s="10" t="str">
        <f>TRIM(IF(Table1[[#This Row],[years_of_experience]]="","Unknown",Table1[[#This Row],[years_of_experience]]))</f>
        <v>8</v>
      </c>
      <c r="M420" t="s">
        <v>24</v>
      </c>
      <c r="N420" t="str">
        <f>IF(Table1[[#This Row],[hourly_rate (USD)]]="",MEDIAN(Table1[hourly_rate (USD)]),Table1[[#This Row],[hourly_rate (USD)]])</f>
        <v>USD 100</v>
      </c>
      <c r="O420" t="str">
        <f>TRIM(CLEAN(Table1[[#This Row],[Updated hourly_rate (USD)]]))</f>
        <v>USD 100</v>
      </c>
      <c r="P420" t="str">
        <f>SUBSTITUTE(SUBSTITUTE(Table1[[#This Row],[Formatted hourly rate]],"USD ",""),"$","")</f>
        <v>100</v>
      </c>
      <c r="Q420">
        <v>2.2000000000000002</v>
      </c>
      <c r="R420">
        <f>IF(Table1[[#This Row],[rating]]="",2.6,Table1[[#This Row],[rating]])</f>
        <v>2.2000000000000002</v>
      </c>
      <c r="S420">
        <v>1</v>
      </c>
      <c r="T420" t="str">
        <f>TRIM(CLEAN(Table1[[#This Row],[is_active]]))</f>
        <v>1</v>
      </c>
      <c r="U42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20" s="11" t="str">
        <f>TRIM(IF(Table1[[#This Row],[is_active3]]="Unknown","TRUE",Table1[[#This Row],[is_active3]]))</f>
        <v>TRUE</v>
      </c>
      <c r="W420">
        <v>0.97</v>
      </c>
      <c r="X420">
        <f>IF(Table1[[#This Row],[client_satisfaction]]&gt;1,Table1[[#This Row],[client_satisfaction]]/100,Table1[[#This Row],[client_satisfaction]])</f>
        <v>0.97</v>
      </c>
      <c r="Y420">
        <f>IF(Table1[[#This Row],[client_satisfaction2]]=0,0.75,Table1[[#This Row],[client_satisfaction2]])</f>
        <v>0.97</v>
      </c>
    </row>
    <row r="421" spans="1:25" x14ac:dyDescent="0.25">
      <c r="A421" t="s">
        <v>921</v>
      </c>
      <c r="B421" t="s">
        <v>922</v>
      </c>
      <c r="C421" t="str">
        <f>PROPER(TRIM(SUBSTITUTE(SUBSTITUTE(SUBSTITUTE(Table1[[#This Row],[name]],"Ms. ",""),"Mr. ",""),"Mrs. ","")))</f>
        <v>Natalie Frank Md</v>
      </c>
      <c r="D421" t="s">
        <v>20</v>
      </c>
      <c r="E4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1">
        <v>37</v>
      </c>
      <c r="G421" t="str">
        <f>TRIM(IF(Table1[[#This Row],[age]]="","Unknown",Table1[[#This Row],[age]]))</f>
        <v>37</v>
      </c>
      <c r="H421" t="s">
        <v>21</v>
      </c>
      <c r="I421" t="s">
        <v>22</v>
      </c>
      <c r="J421" t="s">
        <v>23</v>
      </c>
      <c r="K421">
        <v>10</v>
      </c>
      <c r="L421" s="10" t="str">
        <f>TRIM(IF(Table1[[#This Row],[years_of_experience]]="","Unknown",Table1[[#This Row],[years_of_experience]]))</f>
        <v>10</v>
      </c>
      <c r="M421">
        <v>30</v>
      </c>
      <c r="N421">
        <f>IF(Table1[[#This Row],[hourly_rate (USD)]]="",MEDIAN(Table1[hourly_rate (USD)]),Table1[[#This Row],[hourly_rate (USD)]])</f>
        <v>30</v>
      </c>
      <c r="O421" t="str">
        <f>TRIM(CLEAN(Table1[[#This Row],[Updated hourly_rate (USD)]]))</f>
        <v>30</v>
      </c>
      <c r="P421" t="str">
        <f>SUBSTITUTE(SUBSTITUTE(Table1[[#This Row],[Formatted hourly rate]],"USD ",""),"$","")</f>
        <v>30</v>
      </c>
      <c r="Q421">
        <v>0</v>
      </c>
      <c r="R421">
        <f>IF(Table1[[#This Row],[rating]]="",2.6,Table1[[#This Row],[rating]])</f>
        <v>0</v>
      </c>
      <c r="S421">
        <v>0</v>
      </c>
      <c r="T421" t="str">
        <f>TRIM(CLEAN(Table1[[#This Row],[is_active]]))</f>
        <v>0</v>
      </c>
      <c r="U4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21" s="11" t="str">
        <f>TRIM(IF(Table1[[#This Row],[is_active3]]="Unknown","TRUE",Table1[[#This Row],[is_active3]]))</f>
        <v>FALSE</v>
      </c>
      <c r="W421">
        <v>0.96</v>
      </c>
      <c r="X421">
        <f>IF(Table1[[#This Row],[client_satisfaction]]&gt;1,Table1[[#This Row],[client_satisfaction]]/100,Table1[[#This Row],[client_satisfaction]])</f>
        <v>0.96</v>
      </c>
      <c r="Y421">
        <f>IF(Table1[[#This Row],[client_satisfaction2]]=0,0.75,Table1[[#This Row],[client_satisfaction2]])</f>
        <v>0.96</v>
      </c>
    </row>
    <row r="422" spans="1:25" x14ac:dyDescent="0.25">
      <c r="A422" t="s">
        <v>923</v>
      </c>
      <c r="B422" t="s">
        <v>924</v>
      </c>
      <c r="C422" t="str">
        <f>PROPER(TRIM(SUBSTITUTE(SUBSTITUTE(SUBSTITUTE(Table1[[#This Row],[name]],"Ms. ",""),"Mr. ",""),"Mrs. ","")))</f>
        <v>Michael Reed</v>
      </c>
      <c r="D422" t="s">
        <v>27</v>
      </c>
      <c r="E4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22">
        <v>31</v>
      </c>
      <c r="G422" t="str">
        <f>TRIM(IF(Table1[[#This Row],[age]]="","Unknown",Table1[[#This Row],[age]]))</f>
        <v>31</v>
      </c>
      <c r="H422" t="s">
        <v>153</v>
      </c>
      <c r="I422" t="s">
        <v>154</v>
      </c>
      <c r="J422" t="s">
        <v>89</v>
      </c>
      <c r="K422">
        <v>0</v>
      </c>
      <c r="L422" s="10" t="str">
        <f>TRIM(IF(Table1[[#This Row],[years_of_experience]]="","Unknown",Table1[[#This Row],[years_of_experience]]))</f>
        <v>0</v>
      </c>
      <c r="M422">
        <v>50</v>
      </c>
      <c r="N422">
        <f>IF(Table1[[#This Row],[hourly_rate (USD)]]="",MEDIAN(Table1[hourly_rate (USD)]),Table1[[#This Row],[hourly_rate (USD)]])</f>
        <v>50</v>
      </c>
      <c r="O422" t="str">
        <f>TRIM(CLEAN(Table1[[#This Row],[Updated hourly_rate (USD)]]))</f>
        <v>50</v>
      </c>
      <c r="P422" t="str">
        <f>SUBSTITUTE(SUBSTITUTE(Table1[[#This Row],[Formatted hourly rate]],"USD ",""),"$","")</f>
        <v>50</v>
      </c>
      <c r="Q422">
        <v>1.1000000000000001</v>
      </c>
      <c r="R422">
        <f>IF(Table1[[#This Row],[rating]]="",2.6,Table1[[#This Row],[rating]])</f>
        <v>1.1000000000000001</v>
      </c>
      <c r="S422" t="s">
        <v>74</v>
      </c>
      <c r="T422" t="str">
        <f>TRIM(CLEAN(Table1[[#This Row],[is_active]]))</f>
        <v>Y</v>
      </c>
      <c r="U42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22" s="11" t="str">
        <f>TRIM(IF(Table1[[#This Row],[is_active3]]="Unknown","TRUE",Table1[[#This Row],[is_active3]]))</f>
        <v>TRUE</v>
      </c>
      <c r="W422">
        <v>0.73</v>
      </c>
      <c r="X422">
        <f>IF(Table1[[#This Row],[client_satisfaction]]&gt;1,Table1[[#This Row],[client_satisfaction]]/100,Table1[[#This Row],[client_satisfaction]])</f>
        <v>0.73</v>
      </c>
      <c r="Y422">
        <f>IF(Table1[[#This Row],[client_satisfaction2]]=0,0.75,Table1[[#This Row],[client_satisfaction2]])</f>
        <v>0.73</v>
      </c>
    </row>
    <row r="423" spans="1:25" x14ac:dyDescent="0.25">
      <c r="A423" t="s">
        <v>925</v>
      </c>
      <c r="B423" t="s">
        <v>926</v>
      </c>
      <c r="C423" t="str">
        <f>PROPER(TRIM(SUBSTITUTE(SUBSTITUTE(SUBSTITUTE(Table1[[#This Row],[name]],"Ms. ",""),"Mr. ",""),"Mrs. ","")))</f>
        <v>Sheila Smith</v>
      </c>
      <c r="D423" t="s">
        <v>14</v>
      </c>
      <c r="E4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3">
        <v>47</v>
      </c>
      <c r="G423" t="str">
        <f>TRIM(IF(Table1[[#This Row],[age]]="","Unknown",Table1[[#This Row],[age]]))</f>
        <v>47</v>
      </c>
      <c r="H423" t="s">
        <v>93</v>
      </c>
      <c r="I423" t="s">
        <v>94</v>
      </c>
      <c r="J423" t="s">
        <v>78</v>
      </c>
      <c r="K423">
        <v>22</v>
      </c>
      <c r="L423" s="10" t="str">
        <f>TRIM(IF(Table1[[#This Row],[years_of_experience]]="","Unknown",Table1[[#This Row],[years_of_experience]]))</f>
        <v>22</v>
      </c>
      <c r="N423">
        <f>IF(Table1[[#This Row],[hourly_rate (USD)]]="",MEDIAN(Table1[hourly_rate (USD)]),Table1[[#This Row],[hourly_rate (USD)]])</f>
        <v>50</v>
      </c>
      <c r="O423" t="str">
        <f>TRIM(CLEAN(Table1[[#This Row],[Updated hourly_rate (USD)]]))</f>
        <v>50</v>
      </c>
      <c r="P423" t="str">
        <f>SUBSTITUTE(SUBSTITUTE(Table1[[#This Row],[Formatted hourly rate]],"USD ",""),"$","")</f>
        <v>50</v>
      </c>
      <c r="Q423">
        <v>1.4</v>
      </c>
      <c r="R423">
        <f>IF(Table1[[#This Row],[rating]]="",2.6,Table1[[#This Row],[rating]])</f>
        <v>1.4</v>
      </c>
      <c r="S423" t="s">
        <v>68</v>
      </c>
      <c r="T423" t="str">
        <f>TRIM(CLEAN(Table1[[#This Row],[is_active]]))</f>
        <v>yes</v>
      </c>
      <c r="U42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23" s="11" t="str">
        <f>TRIM(IF(Table1[[#This Row],[is_active3]]="Unknown","TRUE",Table1[[#This Row],[is_active3]]))</f>
        <v>TRUE</v>
      </c>
      <c r="W423">
        <v>0.72</v>
      </c>
      <c r="X423">
        <f>IF(Table1[[#This Row],[client_satisfaction]]&gt;1,Table1[[#This Row],[client_satisfaction]]/100,Table1[[#This Row],[client_satisfaction]])</f>
        <v>0.72</v>
      </c>
      <c r="Y423">
        <f>IF(Table1[[#This Row],[client_satisfaction2]]=0,0.75,Table1[[#This Row],[client_satisfaction2]])</f>
        <v>0.72</v>
      </c>
    </row>
    <row r="424" spans="1:25" x14ac:dyDescent="0.25">
      <c r="A424" t="s">
        <v>927</v>
      </c>
      <c r="B424" t="s">
        <v>928</v>
      </c>
      <c r="C424" t="str">
        <f>PROPER(TRIM(SUBSTITUTE(SUBSTITUTE(SUBSTITUTE(Table1[[#This Row],[name]],"Ms. ",""),"Mr. ",""),"Mrs. ","")))</f>
        <v>Morgan Ford</v>
      </c>
      <c r="D424" t="s">
        <v>39</v>
      </c>
      <c r="E4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4">
        <v>60</v>
      </c>
      <c r="G424" t="str">
        <f>TRIM(IF(Table1[[#This Row],[age]]="","Unknown",Table1[[#This Row],[age]]))</f>
        <v>60</v>
      </c>
      <c r="H424" t="s">
        <v>179</v>
      </c>
      <c r="I424" t="s">
        <v>72</v>
      </c>
      <c r="J424" t="s">
        <v>73</v>
      </c>
      <c r="K424">
        <v>34</v>
      </c>
      <c r="L424" s="10" t="str">
        <f>TRIM(IF(Table1[[#This Row],[years_of_experience]]="","Unknown",Table1[[#This Row],[years_of_experience]]))</f>
        <v>34</v>
      </c>
      <c r="M424" t="s">
        <v>229</v>
      </c>
      <c r="N424" t="str">
        <f>IF(Table1[[#This Row],[hourly_rate (USD)]]="",MEDIAN(Table1[hourly_rate (USD)]),Table1[[#This Row],[hourly_rate (USD)]])</f>
        <v>$100</v>
      </c>
      <c r="O424" t="str">
        <f>TRIM(CLEAN(Table1[[#This Row],[Updated hourly_rate (USD)]]))</f>
        <v>$100</v>
      </c>
      <c r="P424" t="str">
        <f>SUBSTITUTE(SUBSTITUTE(Table1[[#This Row],[Formatted hourly rate]],"USD ",""),"$","")</f>
        <v>100</v>
      </c>
      <c r="Q424">
        <v>0</v>
      </c>
      <c r="R424">
        <f>IF(Table1[[#This Row],[rating]]="",2.6,Table1[[#This Row],[rating]])</f>
        <v>0</v>
      </c>
      <c r="S424" t="b">
        <v>1</v>
      </c>
      <c r="T424" t="str">
        <f>TRIM(CLEAN(Table1[[#This Row],[is_active]]))</f>
        <v>TRUE</v>
      </c>
      <c r="U42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24" s="11" t="str">
        <f>TRIM(IF(Table1[[#This Row],[is_active3]]="Unknown","TRUE",Table1[[#This Row],[is_active3]]))</f>
        <v>TRUE</v>
      </c>
      <c r="W424">
        <v>0.74</v>
      </c>
      <c r="X424">
        <f>IF(Table1[[#This Row],[client_satisfaction]]&gt;1,Table1[[#This Row],[client_satisfaction]]/100,Table1[[#This Row],[client_satisfaction]])</f>
        <v>0.74</v>
      </c>
      <c r="Y424">
        <f>IF(Table1[[#This Row],[client_satisfaction2]]=0,0.75,Table1[[#This Row],[client_satisfaction2]])</f>
        <v>0.74</v>
      </c>
    </row>
    <row r="425" spans="1:25" x14ac:dyDescent="0.25">
      <c r="A425" t="s">
        <v>929</v>
      </c>
      <c r="B425" t="s">
        <v>930</v>
      </c>
      <c r="C425" t="str">
        <f>PROPER(TRIM(SUBSTITUTE(SUBSTITUTE(SUBSTITUTE(Table1[[#This Row],[name]],"Ms. ",""),"Mr. ",""),"Mrs. ","")))</f>
        <v>Linda Schultz</v>
      </c>
      <c r="D425" t="s">
        <v>20</v>
      </c>
      <c r="E4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5">
        <v>48</v>
      </c>
      <c r="G425" t="str">
        <f>TRIM(IF(Table1[[#This Row],[age]]="","Unknown",Table1[[#This Row],[age]]))</f>
        <v>48</v>
      </c>
      <c r="H425" t="s">
        <v>71</v>
      </c>
      <c r="I425" t="s">
        <v>72</v>
      </c>
      <c r="J425" t="s">
        <v>23</v>
      </c>
      <c r="K425">
        <v>5</v>
      </c>
      <c r="L425" s="10" t="str">
        <f>TRIM(IF(Table1[[#This Row],[years_of_experience]]="","Unknown",Table1[[#This Row],[years_of_experience]]))</f>
        <v>5</v>
      </c>
      <c r="M425">
        <v>30</v>
      </c>
      <c r="N425">
        <f>IF(Table1[[#This Row],[hourly_rate (USD)]]="",MEDIAN(Table1[hourly_rate (USD)]),Table1[[#This Row],[hourly_rate (USD)]])</f>
        <v>30</v>
      </c>
      <c r="O425" t="str">
        <f>TRIM(CLEAN(Table1[[#This Row],[Updated hourly_rate (USD)]]))</f>
        <v>30</v>
      </c>
      <c r="P425" t="str">
        <f>SUBSTITUTE(SUBSTITUTE(Table1[[#This Row],[Formatted hourly rate]],"USD ",""),"$","")</f>
        <v>30</v>
      </c>
      <c r="Q425">
        <v>1.5</v>
      </c>
      <c r="R425">
        <f>IF(Table1[[#This Row],[rating]]="",2.6,Table1[[#This Row],[rating]])</f>
        <v>1.5</v>
      </c>
      <c r="S425" t="s">
        <v>31</v>
      </c>
      <c r="T425" t="str">
        <f>TRIM(CLEAN(Table1[[#This Row],[is_active]]))</f>
        <v>N</v>
      </c>
      <c r="U42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25" s="11" t="str">
        <f>TRIM(IF(Table1[[#This Row],[is_active3]]="Unknown","TRUE",Table1[[#This Row],[is_active3]]))</f>
        <v>FALSE</v>
      </c>
      <c r="X425">
        <f>IF(Table1[[#This Row],[client_satisfaction]]&gt;1,Table1[[#This Row],[client_satisfaction]]/100,Table1[[#This Row],[client_satisfaction]])</f>
        <v>0</v>
      </c>
      <c r="Y425">
        <f>IF(Table1[[#This Row],[client_satisfaction2]]=0,0.75,Table1[[#This Row],[client_satisfaction2]])</f>
        <v>0.75</v>
      </c>
    </row>
    <row r="426" spans="1:25" x14ac:dyDescent="0.25">
      <c r="A426" t="s">
        <v>931</v>
      </c>
      <c r="B426" t="s">
        <v>932</v>
      </c>
      <c r="C426" t="str">
        <f>PROPER(TRIM(SUBSTITUTE(SUBSTITUTE(SUBSTITUTE(Table1[[#This Row],[name]],"Ms. ",""),"Mr. ",""),"Mrs. ","")))</f>
        <v>Regina Daniel</v>
      </c>
      <c r="D426" t="s">
        <v>34</v>
      </c>
      <c r="E4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6">
        <v>24</v>
      </c>
      <c r="G426" t="str">
        <f>TRIM(IF(Table1[[#This Row],[age]]="","Unknown",Table1[[#This Row],[age]]))</f>
        <v>24</v>
      </c>
      <c r="H426" t="s">
        <v>93</v>
      </c>
      <c r="I426" t="s">
        <v>94</v>
      </c>
      <c r="J426" t="s">
        <v>44</v>
      </c>
      <c r="K426">
        <v>3</v>
      </c>
      <c r="L426" s="10" t="str">
        <f>TRIM(IF(Table1[[#This Row],[years_of_experience]]="","Unknown",Table1[[#This Row],[years_of_experience]]))</f>
        <v>3</v>
      </c>
      <c r="M426">
        <v>20</v>
      </c>
      <c r="N426">
        <f>IF(Table1[[#This Row],[hourly_rate (USD)]]="",MEDIAN(Table1[hourly_rate (USD)]),Table1[[#This Row],[hourly_rate (USD)]])</f>
        <v>20</v>
      </c>
      <c r="O426" t="str">
        <f>TRIM(CLEAN(Table1[[#This Row],[Updated hourly_rate (USD)]]))</f>
        <v>20</v>
      </c>
      <c r="P426" t="str">
        <f>SUBSTITUTE(SUBSTITUTE(Table1[[#This Row],[Formatted hourly rate]],"USD ",""),"$","")</f>
        <v>20</v>
      </c>
      <c r="Q426">
        <v>0</v>
      </c>
      <c r="R426">
        <f>IF(Table1[[#This Row],[rating]]="",2.6,Table1[[#This Row],[rating]])</f>
        <v>0</v>
      </c>
      <c r="S426">
        <v>1</v>
      </c>
      <c r="T426" t="str">
        <f>TRIM(CLEAN(Table1[[#This Row],[is_active]]))</f>
        <v>1</v>
      </c>
      <c r="U42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26" s="11" t="str">
        <f>TRIM(IF(Table1[[#This Row],[is_active3]]="Unknown","TRUE",Table1[[#This Row],[is_active3]]))</f>
        <v>TRUE</v>
      </c>
      <c r="X426">
        <f>IF(Table1[[#This Row],[client_satisfaction]]&gt;1,Table1[[#This Row],[client_satisfaction]]/100,Table1[[#This Row],[client_satisfaction]])</f>
        <v>0</v>
      </c>
      <c r="Y426">
        <f>IF(Table1[[#This Row],[client_satisfaction2]]=0,0.75,Table1[[#This Row],[client_satisfaction2]])</f>
        <v>0.75</v>
      </c>
    </row>
    <row r="427" spans="1:25" x14ac:dyDescent="0.25">
      <c r="A427" t="s">
        <v>933</v>
      </c>
      <c r="B427" t="s">
        <v>934</v>
      </c>
      <c r="C427" t="str">
        <f>PROPER(TRIM(SUBSTITUTE(SUBSTITUTE(SUBSTITUTE(Table1[[#This Row],[name]],"Ms. ",""),"Mr. ",""),"Mrs. ","")))</f>
        <v>Allison Perkins</v>
      </c>
      <c r="D427" t="s">
        <v>20</v>
      </c>
      <c r="E4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7">
        <v>35</v>
      </c>
      <c r="G427" t="str">
        <f>TRIM(IF(Table1[[#This Row],[age]]="","Unknown",Table1[[#This Row],[age]]))</f>
        <v>35</v>
      </c>
      <c r="H427" t="s">
        <v>42</v>
      </c>
      <c r="I427" t="s">
        <v>43</v>
      </c>
      <c r="J427" t="s">
        <v>114</v>
      </c>
      <c r="K427">
        <v>10</v>
      </c>
      <c r="L427" s="10" t="str">
        <f>TRIM(IF(Table1[[#This Row],[years_of_experience]]="","Unknown",Table1[[#This Row],[years_of_experience]]))</f>
        <v>10</v>
      </c>
      <c r="M427">
        <v>75</v>
      </c>
      <c r="N427">
        <f>IF(Table1[[#This Row],[hourly_rate (USD)]]="",MEDIAN(Table1[hourly_rate (USD)]),Table1[[#This Row],[hourly_rate (USD)]])</f>
        <v>75</v>
      </c>
      <c r="O427" t="str">
        <f>TRIM(CLEAN(Table1[[#This Row],[Updated hourly_rate (USD)]]))</f>
        <v>75</v>
      </c>
      <c r="P427" t="str">
        <f>SUBSTITUTE(SUBSTITUTE(Table1[[#This Row],[Formatted hourly rate]],"USD ",""),"$","")</f>
        <v>75</v>
      </c>
      <c r="Q427">
        <v>0</v>
      </c>
      <c r="R427">
        <f>IF(Table1[[#This Row],[rating]]="",2.6,Table1[[#This Row],[rating]])</f>
        <v>0</v>
      </c>
      <c r="T427" t="str">
        <f>TRIM(CLEAN(Table1[[#This Row],[is_active]]))</f>
        <v/>
      </c>
      <c r="U42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27" s="11" t="str">
        <f>TRIM(IF(Table1[[#This Row],[is_active3]]="Unknown","TRUE",Table1[[#This Row],[is_active3]]))</f>
        <v>TRUE</v>
      </c>
      <c r="W427">
        <v>0.74</v>
      </c>
      <c r="X427">
        <f>IF(Table1[[#This Row],[client_satisfaction]]&gt;1,Table1[[#This Row],[client_satisfaction]]/100,Table1[[#This Row],[client_satisfaction]])</f>
        <v>0.74</v>
      </c>
      <c r="Y427">
        <f>IF(Table1[[#This Row],[client_satisfaction2]]=0,0.75,Table1[[#This Row],[client_satisfaction2]])</f>
        <v>0.74</v>
      </c>
    </row>
    <row r="428" spans="1:25" x14ac:dyDescent="0.25">
      <c r="A428" t="s">
        <v>935</v>
      </c>
      <c r="B428" t="s">
        <v>936</v>
      </c>
      <c r="C428" t="str">
        <f>PROPER(TRIM(SUBSTITUTE(SUBSTITUTE(SUBSTITUTE(Table1[[#This Row],[name]],"Ms. ",""),"Mr. ",""),"Mrs. ","")))</f>
        <v>Bradley Weaver</v>
      </c>
      <c r="D428" t="s">
        <v>61</v>
      </c>
      <c r="E4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28">
        <v>35</v>
      </c>
      <c r="G428" t="str">
        <f>TRIM(IF(Table1[[#This Row],[age]]="","Unknown",Table1[[#This Row],[age]]))</f>
        <v>35</v>
      </c>
      <c r="H428" t="s">
        <v>58</v>
      </c>
      <c r="I428" t="s">
        <v>22</v>
      </c>
      <c r="J428" t="s">
        <v>89</v>
      </c>
      <c r="L428" s="10" t="str">
        <f>TRIM(IF(Table1[[#This Row],[years_of_experience]]="","Unknown",Table1[[#This Row],[years_of_experience]]))</f>
        <v>Unknown</v>
      </c>
      <c r="M428">
        <v>100</v>
      </c>
      <c r="N428">
        <f>IF(Table1[[#This Row],[hourly_rate (USD)]]="",MEDIAN(Table1[hourly_rate (USD)]),Table1[[#This Row],[hourly_rate (USD)]])</f>
        <v>100</v>
      </c>
      <c r="O428" t="str">
        <f>TRIM(CLEAN(Table1[[#This Row],[Updated hourly_rate (USD)]]))</f>
        <v>100</v>
      </c>
      <c r="P428" t="str">
        <f>SUBSTITUTE(SUBSTITUTE(Table1[[#This Row],[Formatted hourly rate]],"USD ",""),"$","")</f>
        <v>100</v>
      </c>
      <c r="Q428">
        <v>3.5</v>
      </c>
      <c r="R428">
        <f>IF(Table1[[#This Row],[rating]]="",2.6,Table1[[#This Row],[rating]])</f>
        <v>3.5</v>
      </c>
      <c r="S428" t="s">
        <v>74</v>
      </c>
      <c r="T428" t="str">
        <f>TRIM(CLEAN(Table1[[#This Row],[is_active]]))</f>
        <v>Y</v>
      </c>
      <c r="U42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28" s="11" t="str">
        <f>TRIM(IF(Table1[[#This Row],[is_active3]]="Unknown","TRUE",Table1[[#This Row],[is_active3]]))</f>
        <v>TRUE</v>
      </c>
      <c r="W428">
        <v>0.71</v>
      </c>
      <c r="X428">
        <f>IF(Table1[[#This Row],[client_satisfaction]]&gt;1,Table1[[#This Row],[client_satisfaction]]/100,Table1[[#This Row],[client_satisfaction]])</f>
        <v>0.71</v>
      </c>
      <c r="Y428">
        <f>IF(Table1[[#This Row],[client_satisfaction2]]=0,0.75,Table1[[#This Row],[client_satisfaction2]])</f>
        <v>0.71</v>
      </c>
    </row>
    <row r="429" spans="1:25" x14ac:dyDescent="0.25">
      <c r="A429" t="s">
        <v>937</v>
      </c>
      <c r="B429" t="s">
        <v>938</v>
      </c>
      <c r="C429" t="str">
        <f>PROPER(TRIM(SUBSTITUTE(SUBSTITUTE(SUBSTITUTE(Table1[[#This Row],[name]],"Ms. ",""),"Mr. ",""),"Mrs. ","")))</f>
        <v>Sarah Hall</v>
      </c>
      <c r="D429" t="s">
        <v>77</v>
      </c>
      <c r="E4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29">
        <v>29</v>
      </c>
      <c r="G429" t="str">
        <f>TRIM(IF(Table1[[#This Row],[age]]="","Unknown",Table1[[#This Row],[age]]))</f>
        <v>29</v>
      </c>
      <c r="H429" t="s">
        <v>42</v>
      </c>
      <c r="I429" t="s">
        <v>43</v>
      </c>
      <c r="J429" t="s">
        <v>73</v>
      </c>
      <c r="K429">
        <v>6</v>
      </c>
      <c r="L429" s="10" t="str">
        <f>TRIM(IF(Table1[[#This Row],[years_of_experience]]="","Unknown",Table1[[#This Row],[years_of_experience]]))</f>
        <v>6</v>
      </c>
      <c r="N429">
        <f>IF(Table1[[#This Row],[hourly_rate (USD)]]="",MEDIAN(Table1[hourly_rate (USD)]),Table1[[#This Row],[hourly_rate (USD)]])</f>
        <v>50</v>
      </c>
      <c r="O429" t="str">
        <f>TRIM(CLEAN(Table1[[#This Row],[Updated hourly_rate (USD)]]))</f>
        <v>50</v>
      </c>
      <c r="P429" t="str">
        <f>SUBSTITUTE(SUBSTITUTE(Table1[[#This Row],[Formatted hourly rate]],"USD ",""),"$","")</f>
        <v>50</v>
      </c>
      <c r="Q429">
        <v>4.8</v>
      </c>
      <c r="R429">
        <f>IF(Table1[[#This Row],[rating]]="",2.6,Table1[[#This Row],[rating]])</f>
        <v>4.8</v>
      </c>
      <c r="S429" t="s">
        <v>31</v>
      </c>
      <c r="T429" t="str">
        <f>TRIM(CLEAN(Table1[[#This Row],[is_active]]))</f>
        <v>N</v>
      </c>
      <c r="U42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29" s="11" t="str">
        <f>TRIM(IF(Table1[[#This Row],[is_active3]]="Unknown","TRUE",Table1[[#This Row],[is_active3]]))</f>
        <v>FALSE</v>
      </c>
      <c r="W429">
        <v>0.83</v>
      </c>
      <c r="X429">
        <f>IF(Table1[[#This Row],[client_satisfaction]]&gt;1,Table1[[#This Row],[client_satisfaction]]/100,Table1[[#This Row],[client_satisfaction]])</f>
        <v>0.83</v>
      </c>
      <c r="Y429">
        <f>IF(Table1[[#This Row],[client_satisfaction2]]=0,0.75,Table1[[#This Row],[client_satisfaction2]])</f>
        <v>0.83</v>
      </c>
    </row>
    <row r="430" spans="1:25" x14ac:dyDescent="0.25">
      <c r="A430" t="s">
        <v>939</v>
      </c>
      <c r="B430" t="s">
        <v>940</v>
      </c>
      <c r="C430" t="str">
        <f>PROPER(TRIM(SUBSTITUTE(SUBSTITUTE(SUBSTITUTE(Table1[[#This Row],[name]],"Ms. ",""),"Mr. ",""),"Mrs. ","")))</f>
        <v>Diana Walton</v>
      </c>
      <c r="D430" t="s">
        <v>77</v>
      </c>
      <c r="E4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30">
        <v>36</v>
      </c>
      <c r="G430" t="str">
        <f>TRIM(IF(Table1[[#This Row],[age]]="","Unknown",Table1[[#This Row],[age]]))</f>
        <v>36</v>
      </c>
      <c r="H430" t="s">
        <v>15</v>
      </c>
      <c r="I430" t="s">
        <v>16</v>
      </c>
      <c r="J430" t="s">
        <v>114</v>
      </c>
      <c r="K430">
        <v>1</v>
      </c>
      <c r="L430" s="10" t="str">
        <f>TRIM(IF(Table1[[#This Row],[years_of_experience]]="","Unknown",Table1[[#This Row],[years_of_experience]]))</f>
        <v>1</v>
      </c>
      <c r="M430" t="s">
        <v>170</v>
      </c>
      <c r="N430" t="str">
        <f>IF(Table1[[#This Row],[hourly_rate (USD)]]="",MEDIAN(Table1[hourly_rate (USD)]),Table1[[#This Row],[hourly_rate (USD)]])</f>
        <v>$75</v>
      </c>
      <c r="O430" t="str">
        <f>TRIM(CLEAN(Table1[[#This Row],[Updated hourly_rate (USD)]]))</f>
        <v>$75</v>
      </c>
      <c r="P430" t="str">
        <f>SUBSTITUTE(SUBSTITUTE(Table1[[#This Row],[Formatted hourly rate]],"USD ",""),"$","")</f>
        <v>75</v>
      </c>
      <c r="R430">
        <f>IF(Table1[[#This Row],[rating]]="",2.6,Table1[[#This Row],[rating]])</f>
        <v>2.6</v>
      </c>
      <c r="T430" t="str">
        <f>TRIM(CLEAN(Table1[[#This Row],[is_active]]))</f>
        <v/>
      </c>
      <c r="U43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30" s="11" t="str">
        <f>TRIM(IF(Table1[[#This Row],[is_active3]]="Unknown","TRUE",Table1[[#This Row],[is_active3]]))</f>
        <v>TRUE</v>
      </c>
      <c r="W430">
        <v>0.63</v>
      </c>
      <c r="X430">
        <f>IF(Table1[[#This Row],[client_satisfaction]]&gt;1,Table1[[#This Row],[client_satisfaction]]/100,Table1[[#This Row],[client_satisfaction]])</f>
        <v>0.63</v>
      </c>
      <c r="Y430">
        <f>IF(Table1[[#This Row],[client_satisfaction2]]=0,0.75,Table1[[#This Row],[client_satisfaction2]])</f>
        <v>0.63</v>
      </c>
    </row>
    <row r="431" spans="1:25" x14ac:dyDescent="0.25">
      <c r="A431" t="s">
        <v>941</v>
      </c>
      <c r="B431" t="s">
        <v>942</v>
      </c>
      <c r="C431" t="str">
        <f>PROPER(TRIM(SUBSTITUTE(SUBSTITUTE(SUBSTITUTE(Table1[[#This Row],[name]],"Ms. ",""),"Mr. ",""),"Mrs. ","")))</f>
        <v>Donna Davis</v>
      </c>
      <c r="D431" t="s">
        <v>20</v>
      </c>
      <c r="E4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31">
        <v>44</v>
      </c>
      <c r="G431" t="str">
        <f>TRIM(IF(Table1[[#This Row],[age]]="","Unknown",Table1[[#This Row],[age]]))</f>
        <v>44</v>
      </c>
      <c r="H431" t="s">
        <v>128</v>
      </c>
      <c r="I431" t="s">
        <v>22</v>
      </c>
      <c r="J431" t="s">
        <v>44</v>
      </c>
      <c r="K431">
        <v>0</v>
      </c>
      <c r="L431" s="10" t="str">
        <f>TRIM(IF(Table1[[#This Row],[years_of_experience]]="","Unknown",Table1[[#This Row],[years_of_experience]]))</f>
        <v>0</v>
      </c>
      <c r="N431">
        <f>IF(Table1[[#This Row],[hourly_rate (USD)]]="",MEDIAN(Table1[hourly_rate (USD)]),Table1[[#This Row],[hourly_rate (USD)]])</f>
        <v>50</v>
      </c>
      <c r="O431" t="str">
        <f>TRIM(CLEAN(Table1[[#This Row],[Updated hourly_rate (USD)]]))</f>
        <v>50</v>
      </c>
      <c r="P431" t="str">
        <f>SUBSTITUTE(SUBSTITUTE(Table1[[#This Row],[Formatted hourly rate]],"USD ",""),"$","")</f>
        <v>50</v>
      </c>
      <c r="Q431">
        <v>4.8</v>
      </c>
      <c r="R431">
        <f>IF(Table1[[#This Row],[rating]]="",2.6,Table1[[#This Row],[rating]])</f>
        <v>4.8</v>
      </c>
      <c r="T431" t="str">
        <f>TRIM(CLEAN(Table1[[#This Row],[is_active]]))</f>
        <v/>
      </c>
      <c r="U43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31" s="11" t="str">
        <f>TRIM(IF(Table1[[#This Row],[is_active3]]="Unknown","TRUE",Table1[[#This Row],[is_active3]]))</f>
        <v>TRUE</v>
      </c>
      <c r="W431">
        <v>0.84</v>
      </c>
      <c r="X431">
        <f>IF(Table1[[#This Row],[client_satisfaction]]&gt;1,Table1[[#This Row],[client_satisfaction]]/100,Table1[[#This Row],[client_satisfaction]])</f>
        <v>0.84</v>
      </c>
      <c r="Y431">
        <f>IF(Table1[[#This Row],[client_satisfaction2]]=0,0.75,Table1[[#This Row],[client_satisfaction2]])</f>
        <v>0.84</v>
      </c>
    </row>
    <row r="432" spans="1:25" x14ac:dyDescent="0.25">
      <c r="A432" t="s">
        <v>943</v>
      </c>
      <c r="B432" t="s">
        <v>944</v>
      </c>
      <c r="C432" t="str">
        <f>PROPER(TRIM(SUBSTITUTE(SUBSTITUTE(SUBSTITUTE(Table1[[#This Row],[name]],"Ms. ",""),"Mr. ",""),"Mrs. ","")))</f>
        <v>Christopher Mcclain</v>
      </c>
      <c r="D432" t="s">
        <v>61</v>
      </c>
      <c r="E4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32">
        <v>44</v>
      </c>
      <c r="G432" t="str">
        <f>TRIM(IF(Table1[[#This Row],[age]]="","Unknown",Table1[[#This Row],[age]]))</f>
        <v>44</v>
      </c>
      <c r="H432" t="s">
        <v>153</v>
      </c>
      <c r="I432" t="s">
        <v>154</v>
      </c>
      <c r="J432" t="s">
        <v>35</v>
      </c>
      <c r="L432" s="10" t="str">
        <f>TRIM(IF(Table1[[#This Row],[years_of_experience]]="","Unknown",Table1[[#This Row],[years_of_experience]]))</f>
        <v>Unknown</v>
      </c>
      <c r="N432">
        <f>IF(Table1[[#This Row],[hourly_rate (USD)]]="",MEDIAN(Table1[hourly_rate (USD)]),Table1[[#This Row],[hourly_rate (USD)]])</f>
        <v>50</v>
      </c>
      <c r="O432" t="str">
        <f>TRIM(CLEAN(Table1[[#This Row],[Updated hourly_rate (USD)]]))</f>
        <v>50</v>
      </c>
      <c r="P432" t="str">
        <f>SUBSTITUTE(SUBSTITUTE(Table1[[#This Row],[Formatted hourly rate]],"USD ",""),"$","")</f>
        <v>50</v>
      </c>
      <c r="Q432">
        <v>1.4</v>
      </c>
      <c r="R432">
        <f>IF(Table1[[#This Row],[rating]]="",2.6,Table1[[#This Row],[rating]])</f>
        <v>1.4</v>
      </c>
      <c r="S432">
        <v>0</v>
      </c>
      <c r="T432" t="str">
        <f>TRIM(CLEAN(Table1[[#This Row],[is_active]]))</f>
        <v>0</v>
      </c>
      <c r="U43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32" s="11" t="str">
        <f>TRIM(IF(Table1[[#This Row],[is_active3]]="Unknown","TRUE",Table1[[#This Row],[is_active3]]))</f>
        <v>FALSE</v>
      </c>
      <c r="W432">
        <v>0.93</v>
      </c>
      <c r="X432">
        <f>IF(Table1[[#This Row],[client_satisfaction]]&gt;1,Table1[[#This Row],[client_satisfaction]]/100,Table1[[#This Row],[client_satisfaction]])</f>
        <v>0.93</v>
      </c>
      <c r="Y432">
        <f>IF(Table1[[#This Row],[client_satisfaction2]]=0,0.75,Table1[[#This Row],[client_satisfaction2]])</f>
        <v>0.93</v>
      </c>
    </row>
    <row r="433" spans="1:25" x14ac:dyDescent="0.25">
      <c r="A433" t="s">
        <v>945</v>
      </c>
      <c r="B433" t="s">
        <v>946</v>
      </c>
      <c r="C433" t="str">
        <f>PROPER(TRIM(SUBSTITUTE(SUBSTITUTE(SUBSTITUTE(Table1[[#This Row],[name]],"Ms. ",""),"Mr. ",""),"Mrs. ","")))</f>
        <v>Dr. Paul Williamson</v>
      </c>
      <c r="D433" t="s">
        <v>48</v>
      </c>
      <c r="E4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33">
        <v>40</v>
      </c>
      <c r="G433" t="str">
        <f>TRIM(IF(Table1[[#This Row],[age]]="","Unknown",Table1[[#This Row],[age]]))</f>
        <v>40</v>
      </c>
      <c r="H433" t="s">
        <v>93</v>
      </c>
      <c r="I433" t="s">
        <v>94</v>
      </c>
      <c r="J433" t="s">
        <v>44</v>
      </c>
      <c r="K433">
        <v>13</v>
      </c>
      <c r="L433" s="10" t="str">
        <f>TRIM(IF(Table1[[#This Row],[years_of_experience]]="","Unknown",Table1[[#This Row],[years_of_experience]]))</f>
        <v>13</v>
      </c>
      <c r="M433" t="s">
        <v>24</v>
      </c>
      <c r="N433" t="str">
        <f>IF(Table1[[#This Row],[hourly_rate (USD)]]="",MEDIAN(Table1[hourly_rate (USD)]),Table1[[#This Row],[hourly_rate (USD)]])</f>
        <v>USD 100</v>
      </c>
      <c r="O433" t="str">
        <f>TRIM(CLEAN(Table1[[#This Row],[Updated hourly_rate (USD)]]))</f>
        <v>USD 100</v>
      </c>
      <c r="P433" t="str">
        <f>SUBSTITUTE(SUBSTITUTE(Table1[[#This Row],[Formatted hourly rate]],"USD ",""),"$","")</f>
        <v>100</v>
      </c>
      <c r="Q433">
        <v>1.1000000000000001</v>
      </c>
      <c r="R433">
        <f>IF(Table1[[#This Row],[rating]]="",2.6,Table1[[#This Row],[rating]])</f>
        <v>1.1000000000000001</v>
      </c>
      <c r="S433">
        <v>1</v>
      </c>
      <c r="T433" t="str">
        <f>TRIM(CLEAN(Table1[[#This Row],[is_active]]))</f>
        <v>1</v>
      </c>
      <c r="U4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33" s="11" t="str">
        <f>TRIM(IF(Table1[[#This Row],[is_active3]]="Unknown","TRUE",Table1[[#This Row],[is_active3]]))</f>
        <v>TRUE</v>
      </c>
      <c r="X433">
        <f>IF(Table1[[#This Row],[client_satisfaction]]&gt;1,Table1[[#This Row],[client_satisfaction]]/100,Table1[[#This Row],[client_satisfaction]])</f>
        <v>0</v>
      </c>
      <c r="Y433">
        <f>IF(Table1[[#This Row],[client_satisfaction2]]=0,0.75,Table1[[#This Row],[client_satisfaction2]])</f>
        <v>0.75</v>
      </c>
    </row>
    <row r="434" spans="1:25" x14ac:dyDescent="0.25">
      <c r="A434" t="s">
        <v>947</v>
      </c>
      <c r="B434" t="s">
        <v>948</v>
      </c>
      <c r="C434" t="str">
        <f>PROPER(TRIM(SUBSTITUTE(SUBSTITUTE(SUBSTITUTE(Table1[[#This Row],[name]],"Ms. ",""),"Mr. ",""),"Mrs. ","")))</f>
        <v>Barbara Brown</v>
      </c>
      <c r="D434" t="s">
        <v>34</v>
      </c>
      <c r="E4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34">
        <v>53</v>
      </c>
      <c r="G434" t="str">
        <f>TRIM(IF(Table1[[#This Row],[age]]="","Unknown",Table1[[#This Row],[age]]))</f>
        <v>53</v>
      </c>
      <c r="H434" t="s">
        <v>42</v>
      </c>
      <c r="I434" t="s">
        <v>43</v>
      </c>
      <c r="J434" t="s">
        <v>114</v>
      </c>
      <c r="K434">
        <v>13</v>
      </c>
      <c r="L434" s="10" t="str">
        <f>TRIM(IF(Table1[[#This Row],[years_of_experience]]="","Unknown",Table1[[#This Row],[years_of_experience]]))</f>
        <v>13</v>
      </c>
      <c r="M434" t="s">
        <v>64</v>
      </c>
      <c r="N434" t="str">
        <f>IF(Table1[[#This Row],[hourly_rate (USD)]]="",MEDIAN(Table1[hourly_rate (USD)]),Table1[[#This Row],[hourly_rate (USD)]])</f>
        <v>$50</v>
      </c>
      <c r="O434" t="str">
        <f>TRIM(CLEAN(Table1[[#This Row],[Updated hourly_rate (USD)]]))</f>
        <v>$50</v>
      </c>
      <c r="P434" t="str">
        <f>SUBSTITUTE(SUBSTITUTE(Table1[[#This Row],[Formatted hourly rate]],"USD ",""),"$","")</f>
        <v>50</v>
      </c>
      <c r="Q434">
        <v>3.3</v>
      </c>
      <c r="R434">
        <f>IF(Table1[[#This Row],[rating]]="",2.6,Table1[[#This Row],[rating]])</f>
        <v>3.3</v>
      </c>
      <c r="S434" t="s">
        <v>74</v>
      </c>
      <c r="T434" t="str">
        <f>TRIM(CLEAN(Table1[[#This Row],[is_active]]))</f>
        <v>Y</v>
      </c>
      <c r="U43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34" s="11" t="str">
        <f>TRIM(IF(Table1[[#This Row],[is_active3]]="Unknown","TRUE",Table1[[#This Row],[is_active3]]))</f>
        <v>TRUE</v>
      </c>
      <c r="W434">
        <v>0.93</v>
      </c>
      <c r="X434">
        <f>IF(Table1[[#This Row],[client_satisfaction]]&gt;1,Table1[[#This Row],[client_satisfaction]]/100,Table1[[#This Row],[client_satisfaction]])</f>
        <v>0.93</v>
      </c>
      <c r="Y434">
        <f>IF(Table1[[#This Row],[client_satisfaction2]]=0,0.75,Table1[[#This Row],[client_satisfaction2]])</f>
        <v>0.93</v>
      </c>
    </row>
    <row r="435" spans="1:25" x14ac:dyDescent="0.25">
      <c r="A435" t="s">
        <v>949</v>
      </c>
      <c r="B435" t="s">
        <v>950</v>
      </c>
      <c r="C435" t="str">
        <f>PROPER(TRIM(SUBSTITUTE(SUBSTITUTE(SUBSTITUTE(Table1[[#This Row],[name]],"Ms. ",""),"Mr. ",""),"Mrs. ","")))</f>
        <v>Kimberly Allen</v>
      </c>
      <c r="D435" t="s">
        <v>14</v>
      </c>
      <c r="E4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35">
        <v>35</v>
      </c>
      <c r="G435" t="str">
        <f>TRIM(IF(Table1[[#This Row],[age]]="","Unknown",Table1[[#This Row],[age]]))</f>
        <v>35</v>
      </c>
      <c r="H435" t="s">
        <v>28</v>
      </c>
      <c r="I435" t="s">
        <v>29</v>
      </c>
      <c r="J435" t="s">
        <v>17</v>
      </c>
      <c r="K435">
        <v>0</v>
      </c>
      <c r="L435" s="10" t="str">
        <f>TRIM(IF(Table1[[#This Row],[years_of_experience]]="","Unknown",Table1[[#This Row],[years_of_experience]]))</f>
        <v>0</v>
      </c>
      <c r="M435" t="s">
        <v>109</v>
      </c>
      <c r="N435" t="str">
        <f>IF(Table1[[#This Row],[hourly_rate (USD)]]="",MEDIAN(Table1[hourly_rate (USD)]),Table1[[#This Row],[hourly_rate (USD)]])</f>
        <v>USD 30</v>
      </c>
      <c r="O435" t="str">
        <f>TRIM(CLEAN(Table1[[#This Row],[Updated hourly_rate (USD)]]))</f>
        <v>USD 30</v>
      </c>
      <c r="P435" t="str">
        <f>SUBSTITUTE(SUBSTITUTE(Table1[[#This Row],[Formatted hourly rate]],"USD ",""),"$","")</f>
        <v>30</v>
      </c>
      <c r="Q435">
        <v>4.5999999999999996</v>
      </c>
      <c r="R435">
        <f>IF(Table1[[#This Row],[rating]]="",2.6,Table1[[#This Row],[rating]])</f>
        <v>4.5999999999999996</v>
      </c>
      <c r="T435" t="str">
        <f>TRIM(CLEAN(Table1[[#This Row],[is_active]]))</f>
        <v/>
      </c>
      <c r="U43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35" s="11" t="str">
        <f>TRIM(IF(Table1[[#This Row],[is_active3]]="Unknown","TRUE",Table1[[#This Row],[is_active3]]))</f>
        <v>TRUE</v>
      </c>
      <c r="W435">
        <v>0.97</v>
      </c>
      <c r="X435">
        <f>IF(Table1[[#This Row],[client_satisfaction]]&gt;1,Table1[[#This Row],[client_satisfaction]]/100,Table1[[#This Row],[client_satisfaction]])</f>
        <v>0.97</v>
      </c>
      <c r="Y435">
        <f>IF(Table1[[#This Row],[client_satisfaction2]]=0,0.75,Table1[[#This Row],[client_satisfaction2]])</f>
        <v>0.97</v>
      </c>
    </row>
    <row r="436" spans="1:25" x14ac:dyDescent="0.25">
      <c r="A436" t="s">
        <v>951</v>
      </c>
      <c r="B436" t="s">
        <v>952</v>
      </c>
      <c r="C436" t="str">
        <f>PROPER(TRIM(SUBSTITUTE(SUBSTITUTE(SUBSTITUTE(Table1[[#This Row],[name]],"Ms. ",""),"Mr. ",""),"Mrs. ","")))</f>
        <v>Elizabeth Edwards</v>
      </c>
      <c r="D436" t="s">
        <v>20</v>
      </c>
      <c r="E4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36">
        <v>27</v>
      </c>
      <c r="G436" t="str">
        <f>TRIM(IF(Table1[[#This Row],[age]]="","Unknown",Table1[[#This Row],[age]]))</f>
        <v>27</v>
      </c>
      <c r="H436" t="s">
        <v>71</v>
      </c>
      <c r="I436" t="s">
        <v>72</v>
      </c>
      <c r="J436" t="s">
        <v>114</v>
      </c>
      <c r="K436">
        <v>7</v>
      </c>
      <c r="L436" s="10" t="str">
        <f>TRIM(IF(Table1[[#This Row],[years_of_experience]]="","Unknown",Table1[[#This Row],[years_of_experience]]))</f>
        <v>7</v>
      </c>
      <c r="M436" t="s">
        <v>52</v>
      </c>
      <c r="N436" t="str">
        <f>IF(Table1[[#This Row],[hourly_rate (USD)]]="",MEDIAN(Table1[hourly_rate (USD)]),Table1[[#This Row],[hourly_rate (USD)]])</f>
        <v>USD 75</v>
      </c>
      <c r="O436" t="str">
        <f>TRIM(CLEAN(Table1[[#This Row],[Updated hourly_rate (USD)]]))</f>
        <v>USD 75</v>
      </c>
      <c r="P436" t="str">
        <f>SUBSTITUTE(SUBSTITUTE(Table1[[#This Row],[Formatted hourly rate]],"USD ",""),"$","")</f>
        <v>75</v>
      </c>
      <c r="Q436">
        <v>2.8</v>
      </c>
      <c r="R436">
        <f>IF(Table1[[#This Row],[rating]]="",2.6,Table1[[#This Row],[rating]])</f>
        <v>2.8</v>
      </c>
      <c r="S436">
        <v>1</v>
      </c>
      <c r="T436" t="str">
        <f>TRIM(CLEAN(Table1[[#This Row],[is_active]]))</f>
        <v>1</v>
      </c>
      <c r="U43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36" s="11" t="str">
        <f>TRIM(IF(Table1[[#This Row],[is_active3]]="Unknown","TRUE",Table1[[#This Row],[is_active3]]))</f>
        <v>TRUE</v>
      </c>
      <c r="W436">
        <v>0.92</v>
      </c>
      <c r="X436">
        <f>IF(Table1[[#This Row],[client_satisfaction]]&gt;1,Table1[[#This Row],[client_satisfaction]]/100,Table1[[#This Row],[client_satisfaction]])</f>
        <v>0.92</v>
      </c>
      <c r="Y436">
        <f>IF(Table1[[#This Row],[client_satisfaction2]]=0,0.75,Table1[[#This Row],[client_satisfaction2]])</f>
        <v>0.92</v>
      </c>
    </row>
    <row r="437" spans="1:25" x14ac:dyDescent="0.25">
      <c r="A437" t="s">
        <v>953</v>
      </c>
      <c r="B437" t="s">
        <v>954</v>
      </c>
      <c r="C437" t="str">
        <f>PROPER(TRIM(SUBSTITUTE(SUBSTITUTE(SUBSTITUTE(Table1[[#This Row],[name]],"Ms. ",""),"Mr. ",""),"Mrs. ","")))</f>
        <v>Anthony Downs</v>
      </c>
      <c r="D437" t="s">
        <v>61</v>
      </c>
      <c r="E4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37">
        <v>34</v>
      </c>
      <c r="G437" t="str">
        <f>TRIM(IF(Table1[[#This Row],[age]]="","Unknown",Table1[[#This Row],[age]]))</f>
        <v>34</v>
      </c>
      <c r="H437" t="s">
        <v>21</v>
      </c>
      <c r="I437" t="s">
        <v>22</v>
      </c>
      <c r="J437" t="s">
        <v>89</v>
      </c>
      <c r="K437">
        <v>6</v>
      </c>
      <c r="L437" s="10" t="str">
        <f>TRIM(IF(Table1[[#This Row],[years_of_experience]]="","Unknown",Table1[[#This Row],[years_of_experience]]))</f>
        <v>6</v>
      </c>
      <c r="M437">
        <v>50</v>
      </c>
      <c r="N437">
        <f>IF(Table1[[#This Row],[hourly_rate (USD)]]="",MEDIAN(Table1[hourly_rate (USD)]),Table1[[#This Row],[hourly_rate (USD)]])</f>
        <v>50</v>
      </c>
      <c r="O437" t="str">
        <f>TRIM(CLEAN(Table1[[#This Row],[Updated hourly_rate (USD)]]))</f>
        <v>50</v>
      </c>
      <c r="P437" t="str">
        <f>SUBSTITUTE(SUBSTITUTE(Table1[[#This Row],[Formatted hourly rate]],"USD ",""),"$","")</f>
        <v>50</v>
      </c>
      <c r="Q437">
        <v>5</v>
      </c>
      <c r="R437">
        <f>IF(Table1[[#This Row],[rating]]="",2.6,Table1[[#This Row],[rating]])</f>
        <v>5</v>
      </c>
      <c r="S437" t="s">
        <v>74</v>
      </c>
      <c r="T437" t="str">
        <f>TRIM(CLEAN(Table1[[#This Row],[is_active]]))</f>
        <v>Y</v>
      </c>
      <c r="U4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37" s="11" t="str">
        <f>TRIM(IF(Table1[[#This Row],[is_active3]]="Unknown","TRUE",Table1[[#This Row],[is_active3]]))</f>
        <v>TRUE</v>
      </c>
      <c r="W437">
        <v>0.92</v>
      </c>
      <c r="X437">
        <f>IF(Table1[[#This Row],[client_satisfaction]]&gt;1,Table1[[#This Row],[client_satisfaction]]/100,Table1[[#This Row],[client_satisfaction]])</f>
        <v>0.92</v>
      </c>
      <c r="Y437">
        <f>IF(Table1[[#This Row],[client_satisfaction2]]=0,0.75,Table1[[#This Row],[client_satisfaction2]])</f>
        <v>0.92</v>
      </c>
    </row>
    <row r="438" spans="1:25" x14ac:dyDescent="0.25">
      <c r="A438" t="s">
        <v>955</v>
      </c>
      <c r="B438" t="s">
        <v>956</v>
      </c>
      <c r="C438" t="str">
        <f>PROPER(TRIM(SUBSTITUTE(SUBSTITUTE(SUBSTITUTE(Table1[[#This Row],[name]],"Ms. ",""),"Mr. ",""),"Mrs. ","")))</f>
        <v>Jack Ortega</v>
      </c>
      <c r="D438" t="s">
        <v>27</v>
      </c>
      <c r="E4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38">
        <v>24</v>
      </c>
      <c r="G438" t="str">
        <f>TRIM(IF(Table1[[#This Row],[age]]="","Unknown",Table1[[#This Row],[age]]))</f>
        <v>24</v>
      </c>
      <c r="H438" t="s">
        <v>93</v>
      </c>
      <c r="I438" t="s">
        <v>94</v>
      </c>
      <c r="J438" t="s">
        <v>78</v>
      </c>
      <c r="K438">
        <v>2</v>
      </c>
      <c r="L438" s="10" t="str">
        <f>TRIM(IF(Table1[[#This Row],[years_of_experience]]="","Unknown",Table1[[#This Row],[years_of_experience]]))</f>
        <v>2</v>
      </c>
      <c r="M438">
        <v>75</v>
      </c>
      <c r="N438">
        <f>IF(Table1[[#This Row],[hourly_rate (USD)]]="",MEDIAN(Table1[hourly_rate (USD)]),Table1[[#This Row],[hourly_rate (USD)]])</f>
        <v>75</v>
      </c>
      <c r="O438" t="str">
        <f>TRIM(CLEAN(Table1[[#This Row],[Updated hourly_rate (USD)]]))</f>
        <v>75</v>
      </c>
      <c r="P438" t="str">
        <f>SUBSTITUTE(SUBSTITUTE(Table1[[#This Row],[Formatted hourly rate]],"USD ",""),"$","")</f>
        <v>75</v>
      </c>
      <c r="Q438">
        <v>4.7</v>
      </c>
      <c r="R438">
        <f>IF(Table1[[#This Row],[rating]]="",2.6,Table1[[#This Row],[rating]])</f>
        <v>4.7</v>
      </c>
      <c r="S438" t="s">
        <v>159</v>
      </c>
      <c r="T438" t="str">
        <f>TRIM(CLEAN(Table1[[#This Row],[is_active]]))</f>
        <v>no</v>
      </c>
      <c r="U4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38" s="11" t="str">
        <f>TRIM(IF(Table1[[#This Row],[is_active3]]="Unknown","TRUE",Table1[[#This Row],[is_active3]]))</f>
        <v>FALSE</v>
      </c>
      <c r="W438">
        <v>0.68</v>
      </c>
      <c r="X438">
        <f>IF(Table1[[#This Row],[client_satisfaction]]&gt;1,Table1[[#This Row],[client_satisfaction]]/100,Table1[[#This Row],[client_satisfaction]])</f>
        <v>0.68</v>
      </c>
      <c r="Y438">
        <f>IF(Table1[[#This Row],[client_satisfaction2]]=0,0.75,Table1[[#This Row],[client_satisfaction2]])</f>
        <v>0.68</v>
      </c>
    </row>
    <row r="439" spans="1:25" x14ac:dyDescent="0.25">
      <c r="A439" t="s">
        <v>957</v>
      </c>
      <c r="B439" t="s">
        <v>958</v>
      </c>
      <c r="C439" t="str">
        <f>PROPER(TRIM(SUBSTITUTE(SUBSTITUTE(SUBSTITUTE(Table1[[#This Row],[name]],"Ms. ",""),"Mr. ",""),"Mrs. ","")))</f>
        <v>Marvin Moore</v>
      </c>
      <c r="D439" t="s">
        <v>27</v>
      </c>
      <c r="E4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39">
        <v>57</v>
      </c>
      <c r="G439" t="str">
        <f>TRIM(IF(Table1[[#This Row],[age]]="","Unknown",Table1[[#This Row],[age]]))</f>
        <v>57</v>
      </c>
      <c r="H439" t="s">
        <v>58</v>
      </c>
      <c r="I439" t="s">
        <v>22</v>
      </c>
      <c r="J439" t="s">
        <v>73</v>
      </c>
      <c r="K439">
        <v>13</v>
      </c>
      <c r="L439" s="10" t="str">
        <f>TRIM(IF(Table1[[#This Row],[years_of_experience]]="","Unknown",Table1[[#This Row],[years_of_experience]]))</f>
        <v>13</v>
      </c>
      <c r="M439">
        <v>100</v>
      </c>
      <c r="N439">
        <f>IF(Table1[[#This Row],[hourly_rate (USD)]]="",MEDIAN(Table1[hourly_rate (USD)]),Table1[[#This Row],[hourly_rate (USD)]])</f>
        <v>100</v>
      </c>
      <c r="O439" t="str">
        <f>TRIM(CLEAN(Table1[[#This Row],[Updated hourly_rate (USD)]]))</f>
        <v>100</v>
      </c>
      <c r="P439" t="str">
        <f>SUBSTITUTE(SUBSTITUTE(Table1[[#This Row],[Formatted hourly rate]],"USD ",""),"$","")</f>
        <v>100</v>
      </c>
      <c r="Q439">
        <v>3.5</v>
      </c>
      <c r="R439">
        <f>IF(Table1[[#This Row],[rating]]="",2.6,Table1[[#This Row],[rating]])</f>
        <v>3.5</v>
      </c>
      <c r="S439" t="s">
        <v>159</v>
      </c>
      <c r="T439" t="str">
        <f>TRIM(CLEAN(Table1[[#This Row],[is_active]]))</f>
        <v>no</v>
      </c>
      <c r="U43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39" s="11" t="str">
        <f>TRIM(IF(Table1[[#This Row],[is_active3]]="Unknown","TRUE",Table1[[#This Row],[is_active3]]))</f>
        <v>FALSE</v>
      </c>
      <c r="W439">
        <v>0.95</v>
      </c>
      <c r="X439">
        <f>IF(Table1[[#This Row],[client_satisfaction]]&gt;1,Table1[[#This Row],[client_satisfaction]]/100,Table1[[#This Row],[client_satisfaction]])</f>
        <v>0.95</v>
      </c>
      <c r="Y439">
        <f>IF(Table1[[#This Row],[client_satisfaction2]]=0,0.75,Table1[[#This Row],[client_satisfaction2]])</f>
        <v>0.95</v>
      </c>
    </row>
    <row r="440" spans="1:25" x14ac:dyDescent="0.25">
      <c r="A440" t="s">
        <v>959</v>
      </c>
      <c r="B440" t="s">
        <v>960</v>
      </c>
      <c r="C440" t="str">
        <f>PROPER(TRIM(SUBSTITUTE(SUBSTITUTE(SUBSTITUTE(Table1[[#This Row],[name]],"Ms. ",""),"Mr. ",""),"Mrs. ","")))</f>
        <v>Tony French</v>
      </c>
      <c r="D440" t="s">
        <v>48</v>
      </c>
      <c r="E4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40">
        <v>28</v>
      </c>
      <c r="G440" t="str">
        <f>TRIM(IF(Table1[[#This Row],[age]]="","Unknown",Table1[[#This Row],[age]]))</f>
        <v>28</v>
      </c>
      <c r="H440" t="s">
        <v>112</v>
      </c>
      <c r="I440" t="s">
        <v>113</v>
      </c>
      <c r="J440" t="s">
        <v>73</v>
      </c>
      <c r="K440">
        <v>7</v>
      </c>
      <c r="L440" s="10" t="str">
        <f>TRIM(IF(Table1[[#This Row],[years_of_experience]]="","Unknown",Table1[[#This Row],[years_of_experience]]))</f>
        <v>7</v>
      </c>
      <c r="M440" t="s">
        <v>229</v>
      </c>
      <c r="N440" t="str">
        <f>IF(Table1[[#This Row],[hourly_rate (USD)]]="",MEDIAN(Table1[hourly_rate (USD)]),Table1[[#This Row],[hourly_rate (USD)]])</f>
        <v>$100</v>
      </c>
      <c r="O440" t="str">
        <f>TRIM(CLEAN(Table1[[#This Row],[Updated hourly_rate (USD)]]))</f>
        <v>$100</v>
      </c>
      <c r="P440" t="str">
        <f>SUBSTITUTE(SUBSTITUTE(Table1[[#This Row],[Formatted hourly rate]],"USD ",""),"$","")</f>
        <v>100</v>
      </c>
      <c r="Q440">
        <v>4.3</v>
      </c>
      <c r="R440">
        <f>IF(Table1[[#This Row],[rating]]="",2.6,Table1[[#This Row],[rating]])</f>
        <v>4.3</v>
      </c>
      <c r="S440" t="b">
        <v>0</v>
      </c>
      <c r="T440" t="str">
        <f>TRIM(CLEAN(Table1[[#This Row],[is_active]]))</f>
        <v>FALSE</v>
      </c>
      <c r="U44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40" s="11" t="str">
        <f>TRIM(IF(Table1[[#This Row],[is_active3]]="Unknown","TRUE",Table1[[#This Row],[is_active3]]))</f>
        <v>TRUE</v>
      </c>
      <c r="W440">
        <v>0.76</v>
      </c>
      <c r="X440">
        <f>IF(Table1[[#This Row],[client_satisfaction]]&gt;1,Table1[[#This Row],[client_satisfaction]]/100,Table1[[#This Row],[client_satisfaction]])</f>
        <v>0.76</v>
      </c>
      <c r="Y440">
        <f>IF(Table1[[#This Row],[client_satisfaction2]]=0,0.75,Table1[[#This Row],[client_satisfaction2]])</f>
        <v>0.76</v>
      </c>
    </row>
    <row r="441" spans="1:25" x14ac:dyDescent="0.25">
      <c r="A441" t="s">
        <v>961</v>
      </c>
      <c r="B441" t="s">
        <v>962</v>
      </c>
      <c r="C441" t="str">
        <f>PROPER(TRIM(SUBSTITUTE(SUBSTITUTE(SUBSTITUTE(Table1[[#This Row],[name]],"Ms. ",""),"Mr. ",""),"Mrs. ","")))</f>
        <v>Stacy Hudson</v>
      </c>
      <c r="D441" t="s">
        <v>34</v>
      </c>
      <c r="E4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41">
        <v>26</v>
      </c>
      <c r="G441" t="str">
        <f>TRIM(IF(Table1[[#This Row],[age]]="","Unknown",Table1[[#This Row],[age]]))</f>
        <v>26</v>
      </c>
      <c r="H441" t="s">
        <v>15</v>
      </c>
      <c r="I441" t="s">
        <v>16</v>
      </c>
      <c r="J441" t="s">
        <v>89</v>
      </c>
      <c r="K441">
        <v>7</v>
      </c>
      <c r="L441" s="10" t="str">
        <f>TRIM(IF(Table1[[#This Row],[years_of_experience]]="","Unknown",Table1[[#This Row],[years_of_experience]]))</f>
        <v>7</v>
      </c>
      <c r="M441" t="s">
        <v>24</v>
      </c>
      <c r="N441" t="str">
        <f>IF(Table1[[#This Row],[hourly_rate (USD)]]="",MEDIAN(Table1[hourly_rate (USD)]),Table1[[#This Row],[hourly_rate (USD)]])</f>
        <v>USD 100</v>
      </c>
      <c r="O441" t="str">
        <f>TRIM(CLEAN(Table1[[#This Row],[Updated hourly_rate (USD)]]))</f>
        <v>USD 100</v>
      </c>
      <c r="P441" t="str">
        <f>SUBSTITUTE(SUBSTITUTE(Table1[[#This Row],[Formatted hourly rate]],"USD ",""),"$","")</f>
        <v>100</v>
      </c>
      <c r="Q441">
        <v>3.3</v>
      </c>
      <c r="R441">
        <f>IF(Table1[[#This Row],[rating]]="",2.6,Table1[[#This Row],[rating]])</f>
        <v>3.3</v>
      </c>
      <c r="S441" t="s">
        <v>68</v>
      </c>
      <c r="T441" t="str">
        <f>TRIM(CLEAN(Table1[[#This Row],[is_active]]))</f>
        <v>yes</v>
      </c>
      <c r="U44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41" s="11" t="str">
        <f>TRIM(IF(Table1[[#This Row],[is_active3]]="Unknown","TRUE",Table1[[#This Row],[is_active3]]))</f>
        <v>TRUE</v>
      </c>
      <c r="W441">
        <v>0.66</v>
      </c>
      <c r="X441">
        <f>IF(Table1[[#This Row],[client_satisfaction]]&gt;1,Table1[[#This Row],[client_satisfaction]]/100,Table1[[#This Row],[client_satisfaction]])</f>
        <v>0.66</v>
      </c>
      <c r="Y441">
        <f>IF(Table1[[#This Row],[client_satisfaction2]]=0,0.75,Table1[[#This Row],[client_satisfaction2]])</f>
        <v>0.66</v>
      </c>
    </row>
    <row r="442" spans="1:25" x14ac:dyDescent="0.25">
      <c r="A442" t="s">
        <v>963</v>
      </c>
      <c r="B442" t="s">
        <v>964</v>
      </c>
      <c r="C442" t="str">
        <f>PROPER(TRIM(SUBSTITUTE(SUBSTITUTE(SUBSTITUTE(Table1[[#This Row],[name]],"Ms. ",""),"Mr. ",""),"Mrs. ","")))</f>
        <v>Scott Washington</v>
      </c>
      <c r="D442" t="s">
        <v>97</v>
      </c>
      <c r="E4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42">
        <v>34</v>
      </c>
      <c r="G442" t="str">
        <f>TRIM(IF(Table1[[#This Row],[age]]="","Unknown",Table1[[#This Row],[age]]))</f>
        <v>34</v>
      </c>
      <c r="H442" t="s">
        <v>71</v>
      </c>
      <c r="I442" t="s">
        <v>72</v>
      </c>
      <c r="J442" t="s">
        <v>23</v>
      </c>
      <c r="K442">
        <v>15</v>
      </c>
      <c r="L442" s="10" t="str">
        <f>TRIM(IF(Table1[[#This Row],[years_of_experience]]="","Unknown",Table1[[#This Row],[years_of_experience]]))</f>
        <v>15</v>
      </c>
      <c r="M442">
        <v>75</v>
      </c>
      <c r="N442">
        <f>IF(Table1[[#This Row],[hourly_rate (USD)]]="",MEDIAN(Table1[hourly_rate (USD)]),Table1[[#This Row],[hourly_rate (USD)]])</f>
        <v>75</v>
      </c>
      <c r="O442" t="str">
        <f>TRIM(CLEAN(Table1[[#This Row],[Updated hourly_rate (USD)]]))</f>
        <v>75</v>
      </c>
      <c r="P442" t="str">
        <f>SUBSTITUTE(SUBSTITUTE(Table1[[#This Row],[Formatted hourly rate]],"USD ",""),"$","")</f>
        <v>75</v>
      </c>
      <c r="R442">
        <f>IF(Table1[[#This Row],[rating]]="",2.6,Table1[[#This Row],[rating]])</f>
        <v>2.6</v>
      </c>
      <c r="S442">
        <v>0</v>
      </c>
      <c r="T442" t="str">
        <f>TRIM(CLEAN(Table1[[#This Row],[is_active]]))</f>
        <v>0</v>
      </c>
      <c r="U44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42" s="11" t="str">
        <f>TRIM(IF(Table1[[#This Row],[is_active3]]="Unknown","TRUE",Table1[[#This Row],[is_active3]]))</f>
        <v>FALSE</v>
      </c>
      <c r="W442">
        <v>0.73</v>
      </c>
      <c r="X442">
        <f>IF(Table1[[#This Row],[client_satisfaction]]&gt;1,Table1[[#This Row],[client_satisfaction]]/100,Table1[[#This Row],[client_satisfaction]])</f>
        <v>0.73</v>
      </c>
      <c r="Y442">
        <f>IF(Table1[[#This Row],[client_satisfaction2]]=0,0.75,Table1[[#This Row],[client_satisfaction2]])</f>
        <v>0.73</v>
      </c>
    </row>
    <row r="443" spans="1:25" x14ac:dyDescent="0.25">
      <c r="A443" t="s">
        <v>965</v>
      </c>
      <c r="B443" t="s">
        <v>966</v>
      </c>
      <c r="C443" t="str">
        <f>PROPER(TRIM(SUBSTITUTE(SUBSTITUTE(SUBSTITUTE(Table1[[#This Row],[name]],"Ms. ",""),"Mr. ",""),"Mrs. ","")))</f>
        <v>Timothy Wright</v>
      </c>
      <c r="D443" t="s">
        <v>97</v>
      </c>
      <c r="E4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43">
        <v>43</v>
      </c>
      <c r="G443" t="str">
        <f>TRIM(IF(Table1[[#This Row],[age]]="","Unknown",Table1[[#This Row],[age]]))</f>
        <v>43</v>
      </c>
      <c r="H443" t="s">
        <v>85</v>
      </c>
      <c r="I443" t="s">
        <v>86</v>
      </c>
      <c r="J443" t="s">
        <v>44</v>
      </c>
      <c r="L443" s="10" t="str">
        <f>TRIM(IF(Table1[[#This Row],[years_of_experience]]="","Unknown",Table1[[#This Row],[years_of_experience]]))</f>
        <v>Unknown</v>
      </c>
      <c r="M443" t="s">
        <v>314</v>
      </c>
      <c r="N443" t="str">
        <f>IF(Table1[[#This Row],[hourly_rate (USD)]]="",MEDIAN(Table1[hourly_rate (USD)]),Table1[[#This Row],[hourly_rate (USD)]])</f>
        <v>USD 20</v>
      </c>
      <c r="O443" t="str">
        <f>TRIM(CLEAN(Table1[[#This Row],[Updated hourly_rate (USD)]]))</f>
        <v>USD 20</v>
      </c>
      <c r="P443" t="str">
        <f>SUBSTITUTE(SUBSTITUTE(Table1[[#This Row],[Formatted hourly rate]],"USD ",""),"$","")</f>
        <v>20</v>
      </c>
      <c r="Q443">
        <v>2.8</v>
      </c>
      <c r="R443">
        <f>IF(Table1[[#This Row],[rating]]="",2.6,Table1[[#This Row],[rating]])</f>
        <v>2.8</v>
      </c>
      <c r="T443" t="str">
        <f>TRIM(CLEAN(Table1[[#This Row],[is_active]]))</f>
        <v/>
      </c>
      <c r="U44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43" s="11" t="str">
        <f>TRIM(IF(Table1[[#This Row],[is_active3]]="Unknown","TRUE",Table1[[#This Row],[is_active3]]))</f>
        <v>TRUE</v>
      </c>
      <c r="W443">
        <v>0.99</v>
      </c>
      <c r="X443">
        <f>IF(Table1[[#This Row],[client_satisfaction]]&gt;1,Table1[[#This Row],[client_satisfaction]]/100,Table1[[#This Row],[client_satisfaction]])</f>
        <v>0.99</v>
      </c>
      <c r="Y443">
        <f>IF(Table1[[#This Row],[client_satisfaction2]]=0,0.75,Table1[[#This Row],[client_satisfaction2]])</f>
        <v>0.99</v>
      </c>
    </row>
    <row r="444" spans="1:25" x14ac:dyDescent="0.25">
      <c r="A444" t="s">
        <v>967</v>
      </c>
      <c r="B444" t="s">
        <v>968</v>
      </c>
      <c r="C444" t="str">
        <f>PROPER(TRIM(SUBSTITUTE(SUBSTITUTE(SUBSTITUTE(Table1[[#This Row],[name]],"Ms. ",""),"Mr. ",""),"Mrs. ","")))</f>
        <v>Joseph Gonzalez</v>
      </c>
      <c r="D444" t="s">
        <v>92</v>
      </c>
      <c r="E4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44">
        <v>31</v>
      </c>
      <c r="G444" t="str">
        <f>TRIM(IF(Table1[[#This Row],[age]]="","Unknown",Table1[[#This Row],[age]]))</f>
        <v>31</v>
      </c>
      <c r="H444" t="s">
        <v>175</v>
      </c>
      <c r="I444" t="s">
        <v>176</v>
      </c>
      <c r="J444" t="s">
        <v>30</v>
      </c>
      <c r="K444">
        <v>5</v>
      </c>
      <c r="L444" s="10" t="str">
        <f>TRIM(IF(Table1[[#This Row],[years_of_experience]]="","Unknown",Table1[[#This Row],[years_of_experience]]))</f>
        <v>5</v>
      </c>
      <c r="N444">
        <f>IF(Table1[[#This Row],[hourly_rate (USD)]]="",MEDIAN(Table1[hourly_rate (USD)]),Table1[[#This Row],[hourly_rate (USD)]])</f>
        <v>50</v>
      </c>
      <c r="O444" t="str">
        <f>TRIM(CLEAN(Table1[[#This Row],[Updated hourly_rate (USD)]]))</f>
        <v>50</v>
      </c>
      <c r="P444" t="str">
        <f>SUBSTITUTE(SUBSTITUTE(Table1[[#This Row],[Formatted hourly rate]],"USD ",""),"$","")</f>
        <v>50</v>
      </c>
      <c r="Q444">
        <v>2.7</v>
      </c>
      <c r="R444">
        <f>IF(Table1[[#This Row],[rating]]="",2.6,Table1[[#This Row],[rating]])</f>
        <v>2.7</v>
      </c>
      <c r="S444">
        <v>1</v>
      </c>
      <c r="T444" t="str">
        <f>TRIM(CLEAN(Table1[[#This Row],[is_active]]))</f>
        <v>1</v>
      </c>
      <c r="U4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44" s="11" t="str">
        <f>TRIM(IF(Table1[[#This Row],[is_active3]]="Unknown","TRUE",Table1[[#This Row],[is_active3]]))</f>
        <v>TRUE</v>
      </c>
      <c r="W444">
        <v>94</v>
      </c>
      <c r="X444">
        <f>IF(Table1[[#This Row],[client_satisfaction]]&gt;1,Table1[[#This Row],[client_satisfaction]]/100,Table1[[#This Row],[client_satisfaction]])</f>
        <v>0.94</v>
      </c>
      <c r="Y444">
        <f>IF(Table1[[#This Row],[client_satisfaction2]]=0,0.75,Table1[[#This Row],[client_satisfaction2]])</f>
        <v>0.94</v>
      </c>
    </row>
    <row r="445" spans="1:25" x14ac:dyDescent="0.25">
      <c r="A445" t="s">
        <v>969</v>
      </c>
      <c r="B445" t="s">
        <v>970</v>
      </c>
      <c r="C445" t="str">
        <f>PROPER(TRIM(SUBSTITUTE(SUBSTITUTE(SUBSTITUTE(Table1[[#This Row],[name]],"Ms. ",""),"Mr. ",""),"Mrs. ","")))</f>
        <v>Andrea Perez</v>
      </c>
      <c r="D445" t="s">
        <v>20</v>
      </c>
      <c r="E4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45">
        <v>34</v>
      </c>
      <c r="G445" t="str">
        <f>TRIM(IF(Table1[[#This Row],[age]]="","Unknown",Table1[[#This Row],[age]]))</f>
        <v>34</v>
      </c>
      <c r="H445" t="s">
        <v>175</v>
      </c>
      <c r="I445" t="s">
        <v>176</v>
      </c>
      <c r="J445" t="s">
        <v>17</v>
      </c>
      <c r="L445" s="10" t="str">
        <f>TRIM(IF(Table1[[#This Row],[years_of_experience]]="","Unknown",Table1[[#This Row],[years_of_experience]]))</f>
        <v>Unknown</v>
      </c>
      <c r="M445" t="s">
        <v>64</v>
      </c>
      <c r="N445" t="str">
        <f>IF(Table1[[#This Row],[hourly_rate (USD)]]="",MEDIAN(Table1[hourly_rate (USD)]),Table1[[#This Row],[hourly_rate (USD)]])</f>
        <v>$50</v>
      </c>
      <c r="O445" t="str">
        <f>TRIM(CLEAN(Table1[[#This Row],[Updated hourly_rate (USD)]]))</f>
        <v>$50</v>
      </c>
      <c r="P445" t="str">
        <f>SUBSTITUTE(SUBSTITUTE(Table1[[#This Row],[Formatted hourly rate]],"USD ",""),"$","")</f>
        <v>50</v>
      </c>
      <c r="Q445">
        <v>0</v>
      </c>
      <c r="R445">
        <f>IF(Table1[[#This Row],[rating]]="",2.6,Table1[[#This Row],[rating]])</f>
        <v>0</v>
      </c>
      <c r="S445" t="b">
        <v>0</v>
      </c>
      <c r="T445" t="str">
        <f>TRIM(CLEAN(Table1[[#This Row],[is_active]]))</f>
        <v>FALSE</v>
      </c>
      <c r="U44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45" s="11" t="str">
        <f>TRIM(IF(Table1[[#This Row],[is_active3]]="Unknown","TRUE",Table1[[#This Row],[is_active3]]))</f>
        <v>TRUE</v>
      </c>
      <c r="W445">
        <v>84</v>
      </c>
      <c r="X445">
        <f>IF(Table1[[#This Row],[client_satisfaction]]&gt;1,Table1[[#This Row],[client_satisfaction]]/100,Table1[[#This Row],[client_satisfaction]])</f>
        <v>0.84</v>
      </c>
      <c r="Y445">
        <f>IF(Table1[[#This Row],[client_satisfaction2]]=0,0.75,Table1[[#This Row],[client_satisfaction2]])</f>
        <v>0.84</v>
      </c>
    </row>
    <row r="446" spans="1:25" x14ac:dyDescent="0.25">
      <c r="A446" t="s">
        <v>971</v>
      </c>
      <c r="B446" t="s">
        <v>972</v>
      </c>
      <c r="C446" t="str">
        <f>PROPER(TRIM(SUBSTITUTE(SUBSTITUTE(SUBSTITUTE(Table1[[#This Row],[name]],"Ms. ",""),"Mr. ",""),"Mrs. ","")))</f>
        <v>Angel Collins</v>
      </c>
      <c r="D446" t="s">
        <v>34</v>
      </c>
      <c r="E4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46">
        <v>32</v>
      </c>
      <c r="G446" t="str">
        <f>TRIM(IF(Table1[[#This Row],[age]]="","Unknown",Table1[[#This Row],[age]]))</f>
        <v>32</v>
      </c>
      <c r="H446" t="s">
        <v>124</v>
      </c>
      <c r="I446" t="s">
        <v>125</v>
      </c>
      <c r="J446" t="s">
        <v>78</v>
      </c>
      <c r="K446">
        <v>10</v>
      </c>
      <c r="L446" s="10" t="str">
        <f>TRIM(IF(Table1[[#This Row],[years_of_experience]]="","Unknown",Table1[[#This Row],[years_of_experience]]))</f>
        <v>10</v>
      </c>
      <c r="M446" t="s">
        <v>121</v>
      </c>
      <c r="N446" t="str">
        <f>IF(Table1[[#This Row],[hourly_rate (USD)]]="",MEDIAN(Table1[hourly_rate (USD)]),Table1[[#This Row],[hourly_rate (USD)]])</f>
        <v>$20</v>
      </c>
      <c r="O446" t="str">
        <f>TRIM(CLEAN(Table1[[#This Row],[Updated hourly_rate (USD)]]))</f>
        <v>$20</v>
      </c>
      <c r="P446" t="str">
        <f>SUBSTITUTE(SUBSTITUTE(Table1[[#This Row],[Formatted hourly rate]],"USD ",""),"$","")</f>
        <v>20</v>
      </c>
      <c r="R446">
        <f>IF(Table1[[#This Row],[rating]]="",2.6,Table1[[#This Row],[rating]])</f>
        <v>2.6</v>
      </c>
      <c r="S446" t="s">
        <v>74</v>
      </c>
      <c r="T446" t="str">
        <f>TRIM(CLEAN(Table1[[#This Row],[is_active]]))</f>
        <v>Y</v>
      </c>
      <c r="U44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46" s="11" t="str">
        <f>TRIM(IF(Table1[[#This Row],[is_active3]]="Unknown","TRUE",Table1[[#This Row],[is_active3]]))</f>
        <v>TRUE</v>
      </c>
      <c r="W446">
        <v>0.92</v>
      </c>
      <c r="X446">
        <f>IF(Table1[[#This Row],[client_satisfaction]]&gt;1,Table1[[#This Row],[client_satisfaction]]/100,Table1[[#This Row],[client_satisfaction]])</f>
        <v>0.92</v>
      </c>
      <c r="Y446">
        <f>IF(Table1[[#This Row],[client_satisfaction2]]=0,0.75,Table1[[#This Row],[client_satisfaction2]])</f>
        <v>0.92</v>
      </c>
    </row>
    <row r="447" spans="1:25" x14ac:dyDescent="0.25">
      <c r="A447" t="s">
        <v>973</v>
      </c>
      <c r="B447" t="s">
        <v>974</v>
      </c>
      <c r="C447" t="str">
        <f>PROPER(TRIM(SUBSTITUTE(SUBSTITUTE(SUBSTITUTE(Table1[[#This Row],[name]],"Ms. ",""),"Mr. ",""),"Mrs. ","")))</f>
        <v>Daniel Terry</v>
      </c>
      <c r="D447" t="s">
        <v>48</v>
      </c>
      <c r="E4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47">
        <v>24</v>
      </c>
      <c r="G447" t="str">
        <f>TRIM(IF(Table1[[#This Row],[age]]="","Unknown",Table1[[#This Row],[age]]))</f>
        <v>24</v>
      </c>
      <c r="H447" t="s">
        <v>139</v>
      </c>
      <c r="I447" t="s">
        <v>140</v>
      </c>
      <c r="J447" t="s">
        <v>89</v>
      </c>
      <c r="K447">
        <v>6</v>
      </c>
      <c r="L447" s="10" t="str">
        <f>TRIM(IF(Table1[[#This Row],[years_of_experience]]="","Unknown",Table1[[#This Row],[years_of_experience]]))</f>
        <v>6</v>
      </c>
      <c r="M447" t="s">
        <v>170</v>
      </c>
      <c r="N447" t="str">
        <f>IF(Table1[[#This Row],[hourly_rate (USD)]]="",MEDIAN(Table1[hourly_rate (USD)]),Table1[[#This Row],[hourly_rate (USD)]])</f>
        <v>$75</v>
      </c>
      <c r="O447" t="str">
        <f>TRIM(CLEAN(Table1[[#This Row],[Updated hourly_rate (USD)]]))</f>
        <v>$75</v>
      </c>
      <c r="P447" t="str">
        <f>SUBSTITUTE(SUBSTITUTE(Table1[[#This Row],[Formatted hourly rate]],"USD ",""),"$","")</f>
        <v>75</v>
      </c>
      <c r="Q447">
        <v>4.3</v>
      </c>
      <c r="R447">
        <f>IF(Table1[[#This Row],[rating]]="",2.6,Table1[[#This Row],[rating]])</f>
        <v>4.3</v>
      </c>
      <c r="S447" t="s">
        <v>68</v>
      </c>
      <c r="T447" t="str">
        <f>TRIM(CLEAN(Table1[[#This Row],[is_active]]))</f>
        <v>yes</v>
      </c>
      <c r="U4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47" s="11" t="str">
        <f>TRIM(IF(Table1[[#This Row],[is_active3]]="Unknown","TRUE",Table1[[#This Row],[is_active3]]))</f>
        <v>TRUE</v>
      </c>
      <c r="X447">
        <f>IF(Table1[[#This Row],[client_satisfaction]]&gt;1,Table1[[#This Row],[client_satisfaction]]/100,Table1[[#This Row],[client_satisfaction]])</f>
        <v>0</v>
      </c>
      <c r="Y447">
        <f>IF(Table1[[#This Row],[client_satisfaction2]]=0,0.75,Table1[[#This Row],[client_satisfaction2]])</f>
        <v>0.75</v>
      </c>
    </row>
    <row r="448" spans="1:25" x14ac:dyDescent="0.25">
      <c r="A448" t="s">
        <v>975</v>
      </c>
      <c r="B448" t="s">
        <v>976</v>
      </c>
      <c r="C448" t="str">
        <f>PROPER(TRIM(SUBSTITUTE(SUBSTITUTE(SUBSTITUTE(Table1[[#This Row],[name]],"Ms. ",""),"Mr. ",""),"Mrs. ","")))</f>
        <v>Steven Whitaker</v>
      </c>
      <c r="D448" t="s">
        <v>27</v>
      </c>
      <c r="E4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48">
        <v>35</v>
      </c>
      <c r="G448" t="str">
        <f>TRIM(IF(Table1[[#This Row],[age]]="","Unknown",Table1[[#This Row],[age]]))</f>
        <v>35</v>
      </c>
      <c r="H448" t="s">
        <v>67</v>
      </c>
      <c r="I448" t="s">
        <v>22</v>
      </c>
      <c r="J448" t="s">
        <v>44</v>
      </c>
      <c r="K448">
        <v>8</v>
      </c>
      <c r="L448" s="10" t="str">
        <f>TRIM(IF(Table1[[#This Row],[years_of_experience]]="","Unknown",Table1[[#This Row],[years_of_experience]]))</f>
        <v>8</v>
      </c>
      <c r="M448" t="s">
        <v>98</v>
      </c>
      <c r="N448" t="str">
        <f>IF(Table1[[#This Row],[hourly_rate (USD)]]="",MEDIAN(Table1[hourly_rate (USD)]),Table1[[#This Row],[hourly_rate (USD)]])</f>
        <v>USD 50</v>
      </c>
      <c r="O448" t="str">
        <f>TRIM(CLEAN(Table1[[#This Row],[Updated hourly_rate (USD)]]))</f>
        <v>USD 50</v>
      </c>
      <c r="P448" t="str">
        <f>SUBSTITUTE(SUBSTITUTE(Table1[[#This Row],[Formatted hourly rate]],"USD ",""),"$","")</f>
        <v>50</v>
      </c>
      <c r="R448">
        <f>IF(Table1[[#This Row],[rating]]="",2.6,Table1[[#This Row],[rating]])</f>
        <v>2.6</v>
      </c>
      <c r="S448" t="s">
        <v>159</v>
      </c>
      <c r="T448" t="str">
        <f>TRIM(CLEAN(Table1[[#This Row],[is_active]]))</f>
        <v>no</v>
      </c>
      <c r="U44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48" s="11" t="str">
        <f>TRIM(IF(Table1[[#This Row],[is_active3]]="Unknown","TRUE",Table1[[#This Row],[is_active3]]))</f>
        <v>FALSE</v>
      </c>
      <c r="W448">
        <v>90</v>
      </c>
      <c r="X448">
        <f>IF(Table1[[#This Row],[client_satisfaction]]&gt;1,Table1[[#This Row],[client_satisfaction]]/100,Table1[[#This Row],[client_satisfaction]])</f>
        <v>0.9</v>
      </c>
      <c r="Y448">
        <f>IF(Table1[[#This Row],[client_satisfaction2]]=0,0.75,Table1[[#This Row],[client_satisfaction2]])</f>
        <v>0.9</v>
      </c>
    </row>
    <row r="449" spans="1:25" x14ac:dyDescent="0.25">
      <c r="A449" t="s">
        <v>977</v>
      </c>
      <c r="B449" t="s">
        <v>978</v>
      </c>
      <c r="C449" t="str">
        <f>PROPER(TRIM(SUBSTITUTE(SUBSTITUTE(SUBSTITUTE(Table1[[#This Row],[name]],"Ms. ",""),"Mr. ",""),"Mrs. ","")))</f>
        <v>Denise Neal</v>
      </c>
      <c r="D449" t="s">
        <v>20</v>
      </c>
      <c r="E4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49">
        <v>22</v>
      </c>
      <c r="G449" t="str">
        <f>TRIM(IF(Table1[[#This Row],[age]]="","Unknown",Table1[[#This Row],[age]]))</f>
        <v>22</v>
      </c>
      <c r="H449" t="s">
        <v>21</v>
      </c>
      <c r="I449" t="s">
        <v>22</v>
      </c>
      <c r="J449" t="s">
        <v>23</v>
      </c>
      <c r="K449">
        <v>4</v>
      </c>
      <c r="L449" s="10" t="str">
        <f>TRIM(IF(Table1[[#This Row],[years_of_experience]]="","Unknown",Table1[[#This Row],[years_of_experience]]))</f>
        <v>4</v>
      </c>
      <c r="M449">
        <v>20</v>
      </c>
      <c r="N449">
        <f>IF(Table1[[#This Row],[hourly_rate (USD)]]="",MEDIAN(Table1[hourly_rate (USD)]),Table1[[#This Row],[hourly_rate (USD)]])</f>
        <v>20</v>
      </c>
      <c r="O449" t="str">
        <f>TRIM(CLEAN(Table1[[#This Row],[Updated hourly_rate (USD)]]))</f>
        <v>20</v>
      </c>
      <c r="P449" t="str">
        <f>SUBSTITUTE(SUBSTITUTE(Table1[[#This Row],[Formatted hourly rate]],"USD ",""),"$","")</f>
        <v>20</v>
      </c>
      <c r="R449">
        <f>IF(Table1[[#This Row],[rating]]="",2.6,Table1[[#This Row],[rating]])</f>
        <v>2.6</v>
      </c>
      <c r="S449">
        <v>0</v>
      </c>
      <c r="T449" t="str">
        <f>TRIM(CLEAN(Table1[[#This Row],[is_active]]))</f>
        <v>0</v>
      </c>
      <c r="U4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49" s="11" t="str">
        <f>TRIM(IF(Table1[[#This Row],[is_active3]]="Unknown","TRUE",Table1[[#This Row],[is_active3]]))</f>
        <v>FALSE</v>
      </c>
      <c r="W449">
        <v>0.73</v>
      </c>
      <c r="X449">
        <f>IF(Table1[[#This Row],[client_satisfaction]]&gt;1,Table1[[#This Row],[client_satisfaction]]/100,Table1[[#This Row],[client_satisfaction]])</f>
        <v>0.73</v>
      </c>
      <c r="Y449">
        <f>IF(Table1[[#This Row],[client_satisfaction2]]=0,0.75,Table1[[#This Row],[client_satisfaction2]])</f>
        <v>0.73</v>
      </c>
    </row>
    <row r="450" spans="1:25" x14ac:dyDescent="0.25">
      <c r="A450" t="s">
        <v>979</v>
      </c>
      <c r="B450" t="s">
        <v>980</v>
      </c>
      <c r="C450" t="str">
        <f>PROPER(TRIM(SUBSTITUTE(SUBSTITUTE(SUBSTITUTE(Table1[[#This Row],[name]],"Ms. ",""),"Mr. ",""),"Mrs. ","")))</f>
        <v>Amanda Jacobs</v>
      </c>
      <c r="D450" t="s">
        <v>34</v>
      </c>
      <c r="E4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50">
        <v>55</v>
      </c>
      <c r="G450" t="str">
        <f>TRIM(IF(Table1[[#This Row],[age]]="","Unknown",Table1[[#This Row],[age]]))</f>
        <v>55</v>
      </c>
      <c r="H450" t="s">
        <v>139</v>
      </c>
      <c r="I450" t="s">
        <v>140</v>
      </c>
      <c r="J450" t="s">
        <v>44</v>
      </c>
      <c r="K450">
        <v>3</v>
      </c>
      <c r="L450" s="10" t="str">
        <f>TRIM(IF(Table1[[#This Row],[years_of_experience]]="","Unknown",Table1[[#This Row],[years_of_experience]]))</f>
        <v>3</v>
      </c>
      <c r="M450">
        <v>100</v>
      </c>
      <c r="N450">
        <f>IF(Table1[[#This Row],[hourly_rate (USD)]]="",MEDIAN(Table1[hourly_rate (USD)]),Table1[[#This Row],[hourly_rate (USD)]])</f>
        <v>100</v>
      </c>
      <c r="O450" t="str">
        <f>TRIM(CLEAN(Table1[[#This Row],[Updated hourly_rate (USD)]]))</f>
        <v>100</v>
      </c>
      <c r="P450" t="str">
        <f>SUBSTITUTE(SUBSTITUTE(Table1[[#This Row],[Formatted hourly rate]],"USD ",""),"$","")</f>
        <v>100</v>
      </c>
      <c r="R450">
        <f>IF(Table1[[#This Row],[rating]]="",2.6,Table1[[#This Row],[rating]])</f>
        <v>2.6</v>
      </c>
      <c r="S450">
        <v>1</v>
      </c>
      <c r="T450" t="str">
        <f>TRIM(CLEAN(Table1[[#This Row],[is_active]]))</f>
        <v>1</v>
      </c>
      <c r="U45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50" s="11" t="str">
        <f>TRIM(IF(Table1[[#This Row],[is_active3]]="Unknown","TRUE",Table1[[#This Row],[is_active3]]))</f>
        <v>TRUE</v>
      </c>
      <c r="W450">
        <v>0.73</v>
      </c>
      <c r="X450">
        <f>IF(Table1[[#This Row],[client_satisfaction]]&gt;1,Table1[[#This Row],[client_satisfaction]]/100,Table1[[#This Row],[client_satisfaction]])</f>
        <v>0.73</v>
      </c>
      <c r="Y450">
        <f>IF(Table1[[#This Row],[client_satisfaction2]]=0,0.75,Table1[[#This Row],[client_satisfaction2]])</f>
        <v>0.73</v>
      </c>
    </row>
    <row r="451" spans="1:25" x14ac:dyDescent="0.25">
      <c r="A451" t="s">
        <v>981</v>
      </c>
      <c r="B451" t="s">
        <v>982</v>
      </c>
      <c r="C451" t="str">
        <f>PROPER(TRIM(SUBSTITUTE(SUBSTITUTE(SUBSTITUTE(Table1[[#This Row],[name]],"Ms. ",""),"Mr. ",""),"Mrs. ","")))</f>
        <v>Karen Mercer</v>
      </c>
      <c r="D451" t="s">
        <v>39</v>
      </c>
      <c r="E4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51">
        <v>54</v>
      </c>
      <c r="G451" t="str">
        <f>TRIM(IF(Table1[[#This Row],[age]]="","Unknown",Table1[[#This Row],[age]]))</f>
        <v>54</v>
      </c>
      <c r="H451" t="s">
        <v>71</v>
      </c>
      <c r="I451" t="s">
        <v>72</v>
      </c>
      <c r="J451" t="s">
        <v>114</v>
      </c>
      <c r="L451" s="10" t="str">
        <f>TRIM(IF(Table1[[#This Row],[years_of_experience]]="","Unknown",Table1[[#This Row],[years_of_experience]]))</f>
        <v>Unknown</v>
      </c>
      <c r="M451">
        <v>30</v>
      </c>
      <c r="N451">
        <f>IF(Table1[[#This Row],[hourly_rate (USD)]]="",MEDIAN(Table1[hourly_rate (USD)]),Table1[[#This Row],[hourly_rate (USD)]])</f>
        <v>30</v>
      </c>
      <c r="O451" t="str">
        <f>TRIM(CLEAN(Table1[[#This Row],[Updated hourly_rate (USD)]]))</f>
        <v>30</v>
      </c>
      <c r="P451" t="str">
        <f>SUBSTITUTE(SUBSTITUTE(Table1[[#This Row],[Formatted hourly rate]],"USD ",""),"$","")</f>
        <v>30</v>
      </c>
      <c r="Q451">
        <v>2.9</v>
      </c>
      <c r="R451">
        <f>IF(Table1[[#This Row],[rating]]="",2.6,Table1[[#This Row],[rating]])</f>
        <v>2.9</v>
      </c>
      <c r="S451" t="b">
        <v>1</v>
      </c>
      <c r="T451" t="str">
        <f>TRIM(CLEAN(Table1[[#This Row],[is_active]]))</f>
        <v>TRUE</v>
      </c>
      <c r="U45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51" s="11" t="str">
        <f>TRIM(IF(Table1[[#This Row],[is_active3]]="Unknown","TRUE",Table1[[#This Row],[is_active3]]))</f>
        <v>TRUE</v>
      </c>
      <c r="W451">
        <v>0.78</v>
      </c>
      <c r="X451">
        <f>IF(Table1[[#This Row],[client_satisfaction]]&gt;1,Table1[[#This Row],[client_satisfaction]]/100,Table1[[#This Row],[client_satisfaction]])</f>
        <v>0.78</v>
      </c>
      <c r="Y451">
        <f>IF(Table1[[#This Row],[client_satisfaction2]]=0,0.75,Table1[[#This Row],[client_satisfaction2]])</f>
        <v>0.78</v>
      </c>
    </row>
    <row r="452" spans="1:25" x14ac:dyDescent="0.25">
      <c r="A452" t="s">
        <v>983</v>
      </c>
      <c r="B452" t="s">
        <v>984</v>
      </c>
      <c r="C452" t="str">
        <f>PROPER(TRIM(SUBSTITUTE(SUBSTITUTE(SUBSTITUTE(Table1[[#This Row],[name]],"Ms. ",""),"Mr. ",""),"Mrs. ","")))</f>
        <v>Lindsay Hudson</v>
      </c>
      <c r="D452" t="s">
        <v>14</v>
      </c>
      <c r="E4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52">
        <v>36</v>
      </c>
      <c r="G452" t="str">
        <f>TRIM(IF(Table1[[#This Row],[age]]="","Unknown",Table1[[#This Row],[age]]))</f>
        <v>36</v>
      </c>
      <c r="H452" t="s">
        <v>42</v>
      </c>
      <c r="I452" t="s">
        <v>43</v>
      </c>
      <c r="J452" t="s">
        <v>78</v>
      </c>
      <c r="K452">
        <v>11</v>
      </c>
      <c r="L452" s="10" t="str">
        <f>TRIM(IF(Table1[[#This Row],[years_of_experience]]="","Unknown",Table1[[#This Row],[years_of_experience]]))</f>
        <v>11</v>
      </c>
      <c r="M452" t="s">
        <v>45</v>
      </c>
      <c r="N452" t="str">
        <f>IF(Table1[[#This Row],[hourly_rate (USD)]]="",MEDIAN(Table1[hourly_rate (USD)]),Table1[[#This Row],[hourly_rate (USD)]])</f>
        <v>$30</v>
      </c>
      <c r="O452" t="str">
        <f>TRIM(CLEAN(Table1[[#This Row],[Updated hourly_rate (USD)]]))</f>
        <v>$30</v>
      </c>
      <c r="P452" t="str">
        <f>SUBSTITUTE(SUBSTITUTE(Table1[[#This Row],[Formatted hourly rate]],"USD ",""),"$","")</f>
        <v>30</v>
      </c>
      <c r="Q452">
        <v>0</v>
      </c>
      <c r="R452">
        <f>IF(Table1[[#This Row],[rating]]="",2.6,Table1[[#This Row],[rating]])</f>
        <v>0</v>
      </c>
      <c r="S452" t="b">
        <v>1</v>
      </c>
      <c r="T452" t="str">
        <f>TRIM(CLEAN(Table1[[#This Row],[is_active]]))</f>
        <v>TRUE</v>
      </c>
      <c r="U45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52" s="11" t="str">
        <f>TRIM(IF(Table1[[#This Row],[is_active3]]="Unknown","TRUE",Table1[[#This Row],[is_active3]]))</f>
        <v>TRUE</v>
      </c>
      <c r="W452">
        <v>0.63</v>
      </c>
      <c r="X452">
        <f>IF(Table1[[#This Row],[client_satisfaction]]&gt;1,Table1[[#This Row],[client_satisfaction]]/100,Table1[[#This Row],[client_satisfaction]])</f>
        <v>0.63</v>
      </c>
      <c r="Y452">
        <f>IF(Table1[[#This Row],[client_satisfaction2]]=0,0.75,Table1[[#This Row],[client_satisfaction2]])</f>
        <v>0.63</v>
      </c>
    </row>
    <row r="453" spans="1:25" x14ac:dyDescent="0.25">
      <c r="A453" t="s">
        <v>985</v>
      </c>
      <c r="B453" t="s">
        <v>986</v>
      </c>
      <c r="C453" t="str">
        <f>PROPER(TRIM(SUBSTITUTE(SUBSTITUTE(SUBSTITUTE(Table1[[#This Row],[name]],"Ms. ",""),"Mr. ",""),"Mrs. ","")))</f>
        <v>Stephanie Armstrong</v>
      </c>
      <c r="D453" t="s">
        <v>39</v>
      </c>
      <c r="E4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53">
        <v>36</v>
      </c>
      <c r="G453" t="str">
        <f>TRIM(IF(Table1[[#This Row],[age]]="","Unknown",Table1[[#This Row],[age]]))</f>
        <v>36</v>
      </c>
      <c r="H453" t="s">
        <v>42</v>
      </c>
      <c r="I453" t="s">
        <v>43</v>
      </c>
      <c r="J453" t="s">
        <v>44</v>
      </c>
      <c r="K453">
        <v>17</v>
      </c>
      <c r="L453" s="10" t="str">
        <f>TRIM(IF(Table1[[#This Row],[years_of_experience]]="","Unknown",Table1[[#This Row],[years_of_experience]]))</f>
        <v>17</v>
      </c>
      <c r="M453">
        <v>50</v>
      </c>
      <c r="N453">
        <f>IF(Table1[[#This Row],[hourly_rate (USD)]]="",MEDIAN(Table1[hourly_rate (USD)]),Table1[[#This Row],[hourly_rate (USD)]])</f>
        <v>50</v>
      </c>
      <c r="O453" t="str">
        <f>TRIM(CLEAN(Table1[[#This Row],[Updated hourly_rate (USD)]]))</f>
        <v>50</v>
      </c>
      <c r="P453" t="str">
        <f>SUBSTITUTE(SUBSTITUTE(Table1[[#This Row],[Formatted hourly rate]],"USD ",""),"$","")</f>
        <v>50</v>
      </c>
      <c r="Q453">
        <v>1.3</v>
      </c>
      <c r="R453">
        <f>IF(Table1[[#This Row],[rating]]="",2.6,Table1[[#This Row],[rating]])</f>
        <v>1.3</v>
      </c>
      <c r="T453" t="str">
        <f>TRIM(CLEAN(Table1[[#This Row],[is_active]]))</f>
        <v/>
      </c>
      <c r="U45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53" s="11" t="str">
        <f>TRIM(IF(Table1[[#This Row],[is_active3]]="Unknown","TRUE",Table1[[#This Row],[is_active3]]))</f>
        <v>TRUE</v>
      </c>
      <c r="W453">
        <v>0.64</v>
      </c>
      <c r="X453">
        <f>IF(Table1[[#This Row],[client_satisfaction]]&gt;1,Table1[[#This Row],[client_satisfaction]]/100,Table1[[#This Row],[client_satisfaction]])</f>
        <v>0.64</v>
      </c>
      <c r="Y453">
        <f>IF(Table1[[#This Row],[client_satisfaction2]]=0,0.75,Table1[[#This Row],[client_satisfaction2]])</f>
        <v>0.64</v>
      </c>
    </row>
    <row r="454" spans="1:25" x14ac:dyDescent="0.25">
      <c r="A454" t="s">
        <v>987</v>
      </c>
      <c r="B454" t="s">
        <v>988</v>
      </c>
      <c r="C454" t="str">
        <f>PROPER(TRIM(SUBSTITUTE(SUBSTITUTE(SUBSTITUTE(Table1[[#This Row],[name]],"Ms. ",""),"Mr. ",""),"Mrs. ","")))</f>
        <v>Dr. Jessica Campbell</v>
      </c>
      <c r="D454" t="s">
        <v>14</v>
      </c>
      <c r="E4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54">
        <v>25</v>
      </c>
      <c r="G454" t="str">
        <f>TRIM(IF(Table1[[#This Row],[age]]="","Unknown",Table1[[#This Row],[age]]))</f>
        <v>25</v>
      </c>
      <c r="H454" t="s">
        <v>71</v>
      </c>
      <c r="I454" t="s">
        <v>72</v>
      </c>
      <c r="J454" t="s">
        <v>35</v>
      </c>
      <c r="K454">
        <v>1</v>
      </c>
      <c r="L454" s="10" t="str">
        <f>TRIM(IF(Table1[[#This Row],[years_of_experience]]="","Unknown",Table1[[#This Row],[years_of_experience]]))</f>
        <v>1</v>
      </c>
      <c r="M454">
        <v>75</v>
      </c>
      <c r="N454">
        <f>IF(Table1[[#This Row],[hourly_rate (USD)]]="",MEDIAN(Table1[hourly_rate (USD)]),Table1[[#This Row],[hourly_rate (USD)]])</f>
        <v>75</v>
      </c>
      <c r="O454" t="str">
        <f>TRIM(CLEAN(Table1[[#This Row],[Updated hourly_rate (USD)]]))</f>
        <v>75</v>
      </c>
      <c r="P454" t="str">
        <f>SUBSTITUTE(SUBSTITUTE(Table1[[#This Row],[Formatted hourly rate]],"USD ",""),"$","")</f>
        <v>75</v>
      </c>
      <c r="Q454">
        <v>0</v>
      </c>
      <c r="R454">
        <f>IF(Table1[[#This Row],[rating]]="",2.6,Table1[[#This Row],[rating]])</f>
        <v>0</v>
      </c>
      <c r="S454">
        <v>1</v>
      </c>
      <c r="T454" t="str">
        <f>TRIM(CLEAN(Table1[[#This Row],[is_active]]))</f>
        <v>1</v>
      </c>
      <c r="U45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54" s="11" t="str">
        <f>TRIM(IF(Table1[[#This Row],[is_active3]]="Unknown","TRUE",Table1[[#This Row],[is_active3]]))</f>
        <v>TRUE</v>
      </c>
      <c r="X454">
        <f>IF(Table1[[#This Row],[client_satisfaction]]&gt;1,Table1[[#This Row],[client_satisfaction]]/100,Table1[[#This Row],[client_satisfaction]])</f>
        <v>0</v>
      </c>
      <c r="Y454">
        <f>IF(Table1[[#This Row],[client_satisfaction2]]=0,0.75,Table1[[#This Row],[client_satisfaction2]])</f>
        <v>0.75</v>
      </c>
    </row>
    <row r="455" spans="1:25" x14ac:dyDescent="0.25">
      <c r="A455" t="s">
        <v>989</v>
      </c>
      <c r="B455" t="s">
        <v>990</v>
      </c>
      <c r="C455" t="str">
        <f>PROPER(TRIM(SUBSTITUTE(SUBSTITUTE(SUBSTITUTE(Table1[[#This Row],[name]],"Ms. ",""),"Mr. ",""),"Mrs. ","")))</f>
        <v>Curtis Maxwell</v>
      </c>
      <c r="D455" t="s">
        <v>97</v>
      </c>
      <c r="E4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55">
        <v>46</v>
      </c>
      <c r="G455" t="str">
        <f>TRIM(IF(Table1[[#This Row],[age]]="","Unknown",Table1[[#This Row],[age]]))</f>
        <v>46</v>
      </c>
      <c r="H455" t="s">
        <v>49</v>
      </c>
      <c r="I455" t="s">
        <v>50</v>
      </c>
      <c r="J455" t="s">
        <v>44</v>
      </c>
      <c r="K455">
        <v>16</v>
      </c>
      <c r="L455" s="10" t="str">
        <f>TRIM(IF(Table1[[#This Row],[years_of_experience]]="","Unknown",Table1[[#This Row],[years_of_experience]]))</f>
        <v>16</v>
      </c>
      <c r="M455">
        <v>20</v>
      </c>
      <c r="N455">
        <f>IF(Table1[[#This Row],[hourly_rate (USD)]]="",MEDIAN(Table1[hourly_rate (USD)]),Table1[[#This Row],[hourly_rate (USD)]])</f>
        <v>20</v>
      </c>
      <c r="O455" t="str">
        <f>TRIM(CLEAN(Table1[[#This Row],[Updated hourly_rate (USD)]]))</f>
        <v>20</v>
      </c>
      <c r="P455" t="str">
        <f>SUBSTITUTE(SUBSTITUTE(Table1[[#This Row],[Formatted hourly rate]],"USD ",""),"$","")</f>
        <v>20</v>
      </c>
      <c r="Q455">
        <v>4.8</v>
      </c>
      <c r="R455">
        <f>IF(Table1[[#This Row],[rating]]="",2.6,Table1[[#This Row],[rating]])</f>
        <v>4.8</v>
      </c>
      <c r="S455">
        <v>1</v>
      </c>
      <c r="T455" t="str">
        <f>TRIM(CLEAN(Table1[[#This Row],[is_active]]))</f>
        <v>1</v>
      </c>
      <c r="U45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55" s="11" t="str">
        <f>TRIM(IF(Table1[[#This Row],[is_active3]]="Unknown","TRUE",Table1[[#This Row],[is_active3]]))</f>
        <v>TRUE</v>
      </c>
      <c r="W455">
        <v>0.86</v>
      </c>
      <c r="X455">
        <f>IF(Table1[[#This Row],[client_satisfaction]]&gt;1,Table1[[#This Row],[client_satisfaction]]/100,Table1[[#This Row],[client_satisfaction]])</f>
        <v>0.86</v>
      </c>
      <c r="Y455">
        <f>IF(Table1[[#This Row],[client_satisfaction2]]=0,0.75,Table1[[#This Row],[client_satisfaction2]])</f>
        <v>0.86</v>
      </c>
    </row>
    <row r="456" spans="1:25" x14ac:dyDescent="0.25">
      <c r="A456" t="s">
        <v>991</v>
      </c>
      <c r="B456" t="s">
        <v>992</v>
      </c>
      <c r="C456" t="str">
        <f>PROPER(TRIM(SUBSTITUTE(SUBSTITUTE(SUBSTITUTE(Table1[[#This Row],[name]],"Ms. ",""),"Mr. ",""),"Mrs. ","")))</f>
        <v>Adam Kelly Phd</v>
      </c>
      <c r="D456" t="s">
        <v>92</v>
      </c>
      <c r="E4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56">
        <v>41</v>
      </c>
      <c r="G456" t="str">
        <f>TRIM(IF(Table1[[#This Row],[age]]="","Unknown",Table1[[#This Row],[age]]))</f>
        <v>41</v>
      </c>
      <c r="H456" t="s">
        <v>71</v>
      </c>
      <c r="I456" t="s">
        <v>72</v>
      </c>
      <c r="J456" t="s">
        <v>114</v>
      </c>
      <c r="K456">
        <v>11</v>
      </c>
      <c r="L456" s="10" t="str">
        <f>TRIM(IF(Table1[[#This Row],[years_of_experience]]="","Unknown",Table1[[#This Row],[years_of_experience]]))</f>
        <v>11</v>
      </c>
      <c r="M456" t="s">
        <v>36</v>
      </c>
      <c r="N456" t="str">
        <f>IF(Table1[[#This Row],[hourly_rate (USD)]]="",MEDIAN(Table1[hourly_rate (USD)]),Table1[[#This Row],[hourly_rate (USD)]])</f>
        <v>$40</v>
      </c>
      <c r="O456" t="str">
        <f>TRIM(CLEAN(Table1[[#This Row],[Updated hourly_rate (USD)]]))</f>
        <v>$40</v>
      </c>
      <c r="P456" t="str">
        <f>SUBSTITUTE(SUBSTITUTE(Table1[[#This Row],[Formatted hourly rate]],"USD ",""),"$","")</f>
        <v>40</v>
      </c>
      <c r="Q456">
        <v>2.4</v>
      </c>
      <c r="R456">
        <f>IF(Table1[[#This Row],[rating]]="",2.6,Table1[[#This Row],[rating]])</f>
        <v>2.4</v>
      </c>
      <c r="S456" t="b">
        <v>0</v>
      </c>
      <c r="T456" t="str">
        <f>TRIM(CLEAN(Table1[[#This Row],[is_active]]))</f>
        <v>FALSE</v>
      </c>
      <c r="U45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56" s="11" t="str">
        <f>TRIM(IF(Table1[[#This Row],[is_active3]]="Unknown","TRUE",Table1[[#This Row],[is_active3]]))</f>
        <v>TRUE</v>
      </c>
      <c r="X456">
        <f>IF(Table1[[#This Row],[client_satisfaction]]&gt;1,Table1[[#This Row],[client_satisfaction]]/100,Table1[[#This Row],[client_satisfaction]])</f>
        <v>0</v>
      </c>
      <c r="Y456">
        <f>IF(Table1[[#This Row],[client_satisfaction2]]=0,0.75,Table1[[#This Row],[client_satisfaction2]])</f>
        <v>0.75</v>
      </c>
    </row>
    <row r="457" spans="1:25" x14ac:dyDescent="0.25">
      <c r="A457" t="s">
        <v>993</v>
      </c>
      <c r="B457" t="s">
        <v>994</v>
      </c>
      <c r="C457" t="str">
        <f>PROPER(TRIM(SUBSTITUTE(SUBSTITUTE(SUBSTITUTE(Table1[[#This Row],[name]],"Ms. ",""),"Mr. ",""),"Mrs. ","")))</f>
        <v>Julie Becker</v>
      </c>
      <c r="D457" t="s">
        <v>20</v>
      </c>
      <c r="E4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57">
        <v>21</v>
      </c>
      <c r="G457" t="str">
        <f>TRIM(IF(Table1[[#This Row],[age]]="","Unknown",Table1[[#This Row],[age]]))</f>
        <v>21</v>
      </c>
      <c r="H457" t="s">
        <v>124</v>
      </c>
      <c r="I457" t="s">
        <v>125</v>
      </c>
      <c r="J457" t="s">
        <v>23</v>
      </c>
      <c r="K457">
        <v>3</v>
      </c>
      <c r="L457" s="10" t="str">
        <f>TRIM(IF(Table1[[#This Row],[years_of_experience]]="","Unknown",Table1[[#This Row],[years_of_experience]]))</f>
        <v>3</v>
      </c>
      <c r="M457" t="s">
        <v>229</v>
      </c>
      <c r="N457" t="str">
        <f>IF(Table1[[#This Row],[hourly_rate (USD)]]="",MEDIAN(Table1[hourly_rate (USD)]),Table1[[#This Row],[hourly_rate (USD)]])</f>
        <v>$100</v>
      </c>
      <c r="O457" t="str">
        <f>TRIM(CLEAN(Table1[[#This Row],[Updated hourly_rate (USD)]]))</f>
        <v>$100</v>
      </c>
      <c r="P457" t="str">
        <f>SUBSTITUTE(SUBSTITUTE(Table1[[#This Row],[Formatted hourly rate]],"USD ",""),"$","")</f>
        <v>100</v>
      </c>
      <c r="Q457">
        <v>4.7</v>
      </c>
      <c r="R457">
        <f>IF(Table1[[#This Row],[rating]]="",2.6,Table1[[#This Row],[rating]])</f>
        <v>4.7</v>
      </c>
      <c r="S457" t="s">
        <v>31</v>
      </c>
      <c r="T457" t="str">
        <f>TRIM(CLEAN(Table1[[#This Row],[is_active]]))</f>
        <v>N</v>
      </c>
      <c r="U45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57" s="11" t="str">
        <f>TRIM(IF(Table1[[#This Row],[is_active3]]="Unknown","TRUE",Table1[[#This Row],[is_active3]]))</f>
        <v>FALSE</v>
      </c>
      <c r="W457">
        <v>0.96</v>
      </c>
      <c r="X457">
        <f>IF(Table1[[#This Row],[client_satisfaction]]&gt;1,Table1[[#This Row],[client_satisfaction]]/100,Table1[[#This Row],[client_satisfaction]])</f>
        <v>0.96</v>
      </c>
      <c r="Y457">
        <f>IF(Table1[[#This Row],[client_satisfaction2]]=0,0.75,Table1[[#This Row],[client_satisfaction2]])</f>
        <v>0.96</v>
      </c>
    </row>
    <row r="458" spans="1:25" x14ac:dyDescent="0.25">
      <c r="A458" t="s">
        <v>995</v>
      </c>
      <c r="B458" t="s">
        <v>996</v>
      </c>
      <c r="C458" t="str">
        <f>PROPER(TRIM(SUBSTITUTE(SUBSTITUTE(SUBSTITUTE(Table1[[#This Row],[name]],"Ms. ",""),"Mr. ",""),"Mrs. ","")))</f>
        <v>James Moore</v>
      </c>
      <c r="D458" t="s">
        <v>97</v>
      </c>
      <c r="E4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58">
        <v>29</v>
      </c>
      <c r="G458" t="str">
        <f>TRIM(IF(Table1[[#This Row],[age]]="","Unknown",Table1[[#This Row],[age]]))</f>
        <v>29</v>
      </c>
      <c r="H458" t="s">
        <v>58</v>
      </c>
      <c r="I458" t="s">
        <v>22</v>
      </c>
      <c r="J458" t="s">
        <v>30</v>
      </c>
      <c r="L458" s="10" t="str">
        <f>TRIM(IF(Table1[[#This Row],[years_of_experience]]="","Unknown",Table1[[#This Row],[years_of_experience]]))</f>
        <v>Unknown</v>
      </c>
      <c r="M458" t="s">
        <v>170</v>
      </c>
      <c r="N458" t="str">
        <f>IF(Table1[[#This Row],[hourly_rate (USD)]]="",MEDIAN(Table1[hourly_rate (USD)]),Table1[[#This Row],[hourly_rate (USD)]])</f>
        <v>$75</v>
      </c>
      <c r="O458" t="str">
        <f>TRIM(CLEAN(Table1[[#This Row],[Updated hourly_rate (USD)]]))</f>
        <v>$75</v>
      </c>
      <c r="P458" t="str">
        <f>SUBSTITUTE(SUBSTITUTE(Table1[[#This Row],[Formatted hourly rate]],"USD ",""),"$","")</f>
        <v>75</v>
      </c>
      <c r="Q458">
        <v>2</v>
      </c>
      <c r="R458">
        <f>IF(Table1[[#This Row],[rating]]="",2.6,Table1[[#This Row],[rating]])</f>
        <v>2</v>
      </c>
      <c r="S458">
        <v>0</v>
      </c>
      <c r="T458" t="str">
        <f>TRIM(CLEAN(Table1[[#This Row],[is_active]]))</f>
        <v>0</v>
      </c>
      <c r="U45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58" s="11" t="str">
        <f>TRIM(IF(Table1[[#This Row],[is_active3]]="Unknown","TRUE",Table1[[#This Row],[is_active3]]))</f>
        <v>FALSE</v>
      </c>
      <c r="X458">
        <f>IF(Table1[[#This Row],[client_satisfaction]]&gt;1,Table1[[#This Row],[client_satisfaction]]/100,Table1[[#This Row],[client_satisfaction]])</f>
        <v>0</v>
      </c>
      <c r="Y458">
        <f>IF(Table1[[#This Row],[client_satisfaction2]]=0,0.75,Table1[[#This Row],[client_satisfaction2]])</f>
        <v>0.75</v>
      </c>
    </row>
    <row r="459" spans="1:25" x14ac:dyDescent="0.25">
      <c r="A459" t="s">
        <v>997</v>
      </c>
      <c r="B459" t="s">
        <v>998</v>
      </c>
      <c r="C459" t="str">
        <f>PROPER(TRIM(SUBSTITUTE(SUBSTITUTE(SUBSTITUTE(Table1[[#This Row],[name]],"Ms. ",""),"Mr. ",""),"Mrs. ","")))</f>
        <v>Danielle Barrera</v>
      </c>
      <c r="D459" t="s">
        <v>34</v>
      </c>
      <c r="E4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59">
        <v>44</v>
      </c>
      <c r="G459" t="str">
        <f>TRIM(IF(Table1[[#This Row],[age]]="","Unknown",Table1[[#This Row],[age]]))</f>
        <v>44</v>
      </c>
      <c r="H459" t="s">
        <v>58</v>
      </c>
      <c r="I459" t="s">
        <v>22</v>
      </c>
      <c r="J459" t="s">
        <v>23</v>
      </c>
      <c r="K459">
        <v>3</v>
      </c>
      <c r="L459" s="10" t="str">
        <f>TRIM(IF(Table1[[#This Row],[years_of_experience]]="","Unknown",Table1[[#This Row],[years_of_experience]]))</f>
        <v>3</v>
      </c>
      <c r="M459" t="s">
        <v>64</v>
      </c>
      <c r="N459" t="str">
        <f>IF(Table1[[#This Row],[hourly_rate (USD)]]="",MEDIAN(Table1[hourly_rate (USD)]),Table1[[#This Row],[hourly_rate (USD)]])</f>
        <v>$50</v>
      </c>
      <c r="O459" t="str">
        <f>TRIM(CLEAN(Table1[[#This Row],[Updated hourly_rate (USD)]]))</f>
        <v>$50</v>
      </c>
      <c r="P459" t="str">
        <f>SUBSTITUTE(SUBSTITUTE(Table1[[#This Row],[Formatted hourly rate]],"USD ",""),"$","")</f>
        <v>50</v>
      </c>
      <c r="Q459">
        <v>2.2000000000000002</v>
      </c>
      <c r="R459">
        <f>IF(Table1[[#This Row],[rating]]="",2.6,Table1[[#This Row],[rating]])</f>
        <v>2.2000000000000002</v>
      </c>
      <c r="S459">
        <v>0</v>
      </c>
      <c r="T459" t="str">
        <f>TRIM(CLEAN(Table1[[#This Row],[is_active]]))</f>
        <v>0</v>
      </c>
      <c r="U4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59" s="11" t="str">
        <f>TRIM(IF(Table1[[#This Row],[is_active3]]="Unknown","TRUE",Table1[[#This Row],[is_active3]]))</f>
        <v>FALSE</v>
      </c>
      <c r="W459">
        <v>0.77</v>
      </c>
      <c r="X459">
        <f>IF(Table1[[#This Row],[client_satisfaction]]&gt;1,Table1[[#This Row],[client_satisfaction]]/100,Table1[[#This Row],[client_satisfaction]])</f>
        <v>0.77</v>
      </c>
      <c r="Y459">
        <f>IF(Table1[[#This Row],[client_satisfaction2]]=0,0.75,Table1[[#This Row],[client_satisfaction2]])</f>
        <v>0.77</v>
      </c>
    </row>
    <row r="460" spans="1:25" x14ac:dyDescent="0.25">
      <c r="A460" t="s">
        <v>999</v>
      </c>
      <c r="B460" t="s">
        <v>1000</v>
      </c>
      <c r="C460" t="str">
        <f>PROPER(TRIM(SUBSTITUTE(SUBSTITUTE(SUBSTITUTE(Table1[[#This Row],[name]],"Ms. ",""),"Mr. ",""),"Mrs. ","")))</f>
        <v>David Sanchez</v>
      </c>
      <c r="D460" t="s">
        <v>97</v>
      </c>
      <c r="E4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60">
        <v>40</v>
      </c>
      <c r="G460" t="str">
        <f>TRIM(IF(Table1[[#This Row],[age]]="","Unknown",Table1[[#This Row],[age]]))</f>
        <v>40</v>
      </c>
      <c r="H460" t="s">
        <v>128</v>
      </c>
      <c r="I460" t="s">
        <v>22</v>
      </c>
      <c r="J460" t="s">
        <v>114</v>
      </c>
      <c r="K460">
        <v>1</v>
      </c>
      <c r="L460" s="10" t="str">
        <f>TRIM(IF(Table1[[#This Row],[years_of_experience]]="","Unknown",Table1[[#This Row],[years_of_experience]]))</f>
        <v>1</v>
      </c>
      <c r="M460">
        <v>100</v>
      </c>
      <c r="N460">
        <f>IF(Table1[[#This Row],[hourly_rate (USD)]]="",MEDIAN(Table1[hourly_rate (USD)]),Table1[[#This Row],[hourly_rate (USD)]])</f>
        <v>100</v>
      </c>
      <c r="O460" t="str">
        <f>TRIM(CLEAN(Table1[[#This Row],[Updated hourly_rate (USD)]]))</f>
        <v>100</v>
      </c>
      <c r="P460" t="str">
        <f>SUBSTITUTE(SUBSTITUTE(Table1[[#This Row],[Formatted hourly rate]],"USD ",""),"$","")</f>
        <v>100</v>
      </c>
      <c r="Q460">
        <v>2.1</v>
      </c>
      <c r="R460">
        <f>IF(Table1[[#This Row],[rating]]="",2.6,Table1[[#This Row],[rating]])</f>
        <v>2.1</v>
      </c>
      <c r="S460">
        <v>1</v>
      </c>
      <c r="T460" t="str">
        <f>TRIM(CLEAN(Table1[[#This Row],[is_active]]))</f>
        <v>1</v>
      </c>
      <c r="U46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60" s="11" t="str">
        <f>TRIM(IF(Table1[[#This Row],[is_active3]]="Unknown","TRUE",Table1[[#This Row],[is_active3]]))</f>
        <v>TRUE</v>
      </c>
      <c r="X460">
        <f>IF(Table1[[#This Row],[client_satisfaction]]&gt;1,Table1[[#This Row],[client_satisfaction]]/100,Table1[[#This Row],[client_satisfaction]])</f>
        <v>0</v>
      </c>
      <c r="Y460">
        <f>IF(Table1[[#This Row],[client_satisfaction2]]=0,0.75,Table1[[#This Row],[client_satisfaction2]])</f>
        <v>0.75</v>
      </c>
    </row>
    <row r="461" spans="1:25" x14ac:dyDescent="0.25">
      <c r="A461" t="s">
        <v>1001</v>
      </c>
      <c r="B461" t="s">
        <v>1002</v>
      </c>
      <c r="C461" t="str">
        <f>PROPER(TRIM(SUBSTITUTE(SUBSTITUTE(SUBSTITUTE(Table1[[#This Row],[name]],"Ms. ",""),"Mr. ",""),"Mrs. ","")))</f>
        <v>Tiffany Bowman</v>
      </c>
      <c r="D461" t="s">
        <v>39</v>
      </c>
      <c r="E4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61">
        <v>27</v>
      </c>
      <c r="G461" t="str">
        <f>TRIM(IF(Table1[[#This Row],[age]]="","Unknown",Table1[[#This Row],[age]]))</f>
        <v>27</v>
      </c>
      <c r="H461" t="s">
        <v>139</v>
      </c>
      <c r="I461" t="s">
        <v>140</v>
      </c>
      <c r="J461" t="s">
        <v>51</v>
      </c>
      <c r="K461">
        <v>1</v>
      </c>
      <c r="L461" s="10" t="str">
        <f>TRIM(IF(Table1[[#This Row],[years_of_experience]]="","Unknown",Table1[[#This Row],[years_of_experience]]))</f>
        <v>1</v>
      </c>
      <c r="M461">
        <v>30</v>
      </c>
      <c r="N461">
        <f>IF(Table1[[#This Row],[hourly_rate (USD)]]="",MEDIAN(Table1[hourly_rate (USD)]),Table1[[#This Row],[hourly_rate (USD)]])</f>
        <v>30</v>
      </c>
      <c r="O461" t="str">
        <f>TRIM(CLEAN(Table1[[#This Row],[Updated hourly_rate (USD)]]))</f>
        <v>30</v>
      </c>
      <c r="P461" t="str">
        <f>SUBSTITUTE(SUBSTITUTE(Table1[[#This Row],[Formatted hourly rate]],"USD ",""),"$","")</f>
        <v>30</v>
      </c>
      <c r="Q461">
        <v>1.7</v>
      </c>
      <c r="R461">
        <f>IF(Table1[[#This Row],[rating]]="",2.6,Table1[[#This Row],[rating]])</f>
        <v>1.7</v>
      </c>
      <c r="S461" t="b">
        <v>0</v>
      </c>
      <c r="T461" t="str">
        <f>TRIM(CLEAN(Table1[[#This Row],[is_active]]))</f>
        <v>FALSE</v>
      </c>
      <c r="U46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61" s="11" t="str">
        <f>TRIM(IF(Table1[[#This Row],[is_active3]]="Unknown","TRUE",Table1[[#This Row],[is_active3]]))</f>
        <v>TRUE</v>
      </c>
      <c r="W461">
        <v>0.65</v>
      </c>
      <c r="X461">
        <f>IF(Table1[[#This Row],[client_satisfaction]]&gt;1,Table1[[#This Row],[client_satisfaction]]/100,Table1[[#This Row],[client_satisfaction]])</f>
        <v>0.65</v>
      </c>
      <c r="Y461">
        <f>IF(Table1[[#This Row],[client_satisfaction2]]=0,0.75,Table1[[#This Row],[client_satisfaction2]])</f>
        <v>0.65</v>
      </c>
    </row>
    <row r="462" spans="1:25" x14ac:dyDescent="0.25">
      <c r="A462" t="s">
        <v>1003</v>
      </c>
      <c r="B462" t="s">
        <v>1004</v>
      </c>
      <c r="C462" t="str">
        <f>PROPER(TRIM(SUBSTITUTE(SUBSTITUTE(SUBSTITUTE(Table1[[#This Row],[name]],"Ms. ",""),"Mr. ",""),"Mrs. ","")))</f>
        <v>Jesus Quinn</v>
      </c>
      <c r="D462" t="s">
        <v>61</v>
      </c>
      <c r="E4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62">
        <v>53</v>
      </c>
      <c r="G462" t="str">
        <f>TRIM(IF(Table1[[#This Row],[age]]="","Unknown",Table1[[#This Row],[age]]))</f>
        <v>53</v>
      </c>
      <c r="H462" t="s">
        <v>135</v>
      </c>
      <c r="I462" t="s">
        <v>136</v>
      </c>
      <c r="J462" t="s">
        <v>23</v>
      </c>
      <c r="K462">
        <v>35</v>
      </c>
      <c r="L462" s="10" t="str">
        <f>TRIM(IF(Table1[[#This Row],[years_of_experience]]="","Unknown",Table1[[#This Row],[years_of_experience]]))</f>
        <v>35</v>
      </c>
      <c r="N462">
        <f>IF(Table1[[#This Row],[hourly_rate (USD)]]="",MEDIAN(Table1[hourly_rate (USD)]),Table1[[#This Row],[hourly_rate (USD)]])</f>
        <v>50</v>
      </c>
      <c r="O462" t="str">
        <f>TRIM(CLEAN(Table1[[#This Row],[Updated hourly_rate (USD)]]))</f>
        <v>50</v>
      </c>
      <c r="P462" t="str">
        <f>SUBSTITUTE(SUBSTITUTE(Table1[[#This Row],[Formatted hourly rate]],"USD ",""),"$","")</f>
        <v>50</v>
      </c>
      <c r="Q462">
        <v>5</v>
      </c>
      <c r="R462">
        <f>IF(Table1[[#This Row],[rating]]="",2.6,Table1[[#This Row],[rating]])</f>
        <v>5</v>
      </c>
      <c r="S462">
        <v>1</v>
      </c>
      <c r="T462" t="str">
        <f>TRIM(CLEAN(Table1[[#This Row],[is_active]]))</f>
        <v>1</v>
      </c>
      <c r="U46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62" s="11" t="str">
        <f>TRIM(IF(Table1[[#This Row],[is_active3]]="Unknown","TRUE",Table1[[#This Row],[is_active3]]))</f>
        <v>TRUE</v>
      </c>
      <c r="W462">
        <v>0.62</v>
      </c>
      <c r="X462">
        <f>IF(Table1[[#This Row],[client_satisfaction]]&gt;1,Table1[[#This Row],[client_satisfaction]]/100,Table1[[#This Row],[client_satisfaction]])</f>
        <v>0.62</v>
      </c>
      <c r="Y462">
        <f>IF(Table1[[#This Row],[client_satisfaction2]]=0,0.75,Table1[[#This Row],[client_satisfaction2]])</f>
        <v>0.62</v>
      </c>
    </row>
    <row r="463" spans="1:25" x14ac:dyDescent="0.25">
      <c r="A463" t="s">
        <v>1005</v>
      </c>
      <c r="B463" t="s">
        <v>1006</v>
      </c>
      <c r="C463" t="str">
        <f>PROPER(TRIM(SUBSTITUTE(SUBSTITUTE(SUBSTITUTE(Table1[[#This Row],[name]],"Ms. ",""),"Mr. ",""),"Mrs. ","")))</f>
        <v>Danny Morris Dds</v>
      </c>
      <c r="D463" t="s">
        <v>27</v>
      </c>
      <c r="E4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63">
        <v>20</v>
      </c>
      <c r="G463" t="str">
        <f>TRIM(IF(Table1[[#This Row],[age]]="","Unknown",Table1[[#This Row],[age]]))</f>
        <v>20</v>
      </c>
      <c r="H463" t="s">
        <v>62</v>
      </c>
      <c r="I463" t="s">
        <v>63</v>
      </c>
      <c r="J463" t="s">
        <v>51</v>
      </c>
      <c r="K463">
        <v>1</v>
      </c>
      <c r="L463" s="10" t="str">
        <f>TRIM(IF(Table1[[#This Row],[years_of_experience]]="","Unknown",Table1[[#This Row],[years_of_experience]]))</f>
        <v>1</v>
      </c>
      <c r="M463">
        <v>50</v>
      </c>
      <c r="N463">
        <f>IF(Table1[[#This Row],[hourly_rate (USD)]]="",MEDIAN(Table1[hourly_rate (USD)]),Table1[[#This Row],[hourly_rate (USD)]])</f>
        <v>50</v>
      </c>
      <c r="O463" t="str">
        <f>TRIM(CLEAN(Table1[[#This Row],[Updated hourly_rate (USD)]]))</f>
        <v>50</v>
      </c>
      <c r="P463" t="str">
        <f>SUBSTITUTE(SUBSTITUTE(Table1[[#This Row],[Formatted hourly rate]],"USD ",""),"$","")</f>
        <v>50</v>
      </c>
      <c r="Q463">
        <v>2.9</v>
      </c>
      <c r="R463">
        <f>IF(Table1[[#This Row],[rating]]="",2.6,Table1[[#This Row],[rating]])</f>
        <v>2.9</v>
      </c>
      <c r="S463" t="s">
        <v>159</v>
      </c>
      <c r="T463" t="str">
        <f>TRIM(CLEAN(Table1[[#This Row],[is_active]]))</f>
        <v>no</v>
      </c>
      <c r="U4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63" s="11" t="str">
        <f>TRIM(IF(Table1[[#This Row],[is_active3]]="Unknown","TRUE",Table1[[#This Row],[is_active3]]))</f>
        <v>FALSE</v>
      </c>
      <c r="W463">
        <v>0.81</v>
      </c>
      <c r="X463">
        <f>IF(Table1[[#This Row],[client_satisfaction]]&gt;1,Table1[[#This Row],[client_satisfaction]]/100,Table1[[#This Row],[client_satisfaction]])</f>
        <v>0.81</v>
      </c>
      <c r="Y463">
        <f>IF(Table1[[#This Row],[client_satisfaction2]]=0,0.75,Table1[[#This Row],[client_satisfaction2]])</f>
        <v>0.81</v>
      </c>
    </row>
    <row r="464" spans="1:25" x14ac:dyDescent="0.25">
      <c r="A464" t="s">
        <v>1007</v>
      </c>
      <c r="B464" t="s">
        <v>1008</v>
      </c>
      <c r="C464" t="str">
        <f>PROPER(TRIM(SUBSTITUTE(SUBSTITUTE(SUBSTITUTE(Table1[[#This Row],[name]],"Ms. ",""),"Mr. ",""),"Mrs. ","")))</f>
        <v>Nicole York</v>
      </c>
      <c r="D464" t="s">
        <v>39</v>
      </c>
      <c r="E4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464" t="str">
        <f>TRIM(IF(Table1[[#This Row],[age]]="","Unknown",Table1[[#This Row],[age]]))</f>
        <v>Unknown</v>
      </c>
      <c r="H464" t="s">
        <v>85</v>
      </c>
      <c r="I464" t="s">
        <v>86</v>
      </c>
      <c r="J464" t="s">
        <v>89</v>
      </c>
      <c r="K464">
        <v>12</v>
      </c>
      <c r="L464" s="10" t="str">
        <f>TRIM(IF(Table1[[#This Row],[years_of_experience]]="","Unknown",Table1[[#This Row],[years_of_experience]]))</f>
        <v>12</v>
      </c>
      <c r="M464" t="s">
        <v>64</v>
      </c>
      <c r="N464" t="str">
        <f>IF(Table1[[#This Row],[hourly_rate (USD)]]="",MEDIAN(Table1[hourly_rate (USD)]),Table1[[#This Row],[hourly_rate (USD)]])</f>
        <v>$50</v>
      </c>
      <c r="O464" t="str">
        <f>TRIM(CLEAN(Table1[[#This Row],[Updated hourly_rate (USD)]]))</f>
        <v>$50</v>
      </c>
      <c r="P464" t="str">
        <f>SUBSTITUTE(SUBSTITUTE(Table1[[#This Row],[Formatted hourly rate]],"USD ",""),"$","")</f>
        <v>50</v>
      </c>
      <c r="Q464">
        <v>4.0999999999999996</v>
      </c>
      <c r="R464">
        <f>IF(Table1[[#This Row],[rating]]="",2.6,Table1[[#This Row],[rating]])</f>
        <v>4.0999999999999996</v>
      </c>
      <c r="S464" t="s">
        <v>74</v>
      </c>
      <c r="T464" t="str">
        <f>TRIM(CLEAN(Table1[[#This Row],[is_active]]))</f>
        <v>Y</v>
      </c>
      <c r="U4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64" s="11" t="str">
        <f>TRIM(IF(Table1[[#This Row],[is_active3]]="Unknown","TRUE",Table1[[#This Row],[is_active3]]))</f>
        <v>TRUE</v>
      </c>
      <c r="W464">
        <v>0.62</v>
      </c>
      <c r="X464">
        <f>IF(Table1[[#This Row],[client_satisfaction]]&gt;1,Table1[[#This Row],[client_satisfaction]]/100,Table1[[#This Row],[client_satisfaction]])</f>
        <v>0.62</v>
      </c>
      <c r="Y464">
        <f>IF(Table1[[#This Row],[client_satisfaction2]]=0,0.75,Table1[[#This Row],[client_satisfaction2]])</f>
        <v>0.62</v>
      </c>
    </row>
    <row r="465" spans="1:25" x14ac:dyDescent="0.25">
      <c r="A465" t="s">
        <v>1009</v>
      </c>
      <c r="B465" t="s">
        <v>1010</v>
      </c>
      <c r="C465" t="str">
        <f>PROPER(TRIM(SUBSTITUTE(SUBSTITUTE(SUBSTITUTE(Table1[[#This Row],[name]],"Ms. ",""),"Mr. ",""),"Mrs. ","")))</f>
        <v>John Mathis</v>
      </c>
      <c r="D465" t="s">
        <v>27</v>
      </c>
      <c r="E4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65">
        <v>26</v>
      </c>
      <c r="G465" t="str">
        <f>TRIM(IF(Table1[[#This Row],[age]]="","Unknown",Table1[[#This Row],[age]]))</f>
        <v>26</v>
      </c>
      <c r="H465" t="s">
        <v>179</v>
      </c>
      <c r="I465" t="s">
        <v>72</v>
      </c>
      <c r="J465" t="s">
        <v>35</v>
      </c>
      <c r="K465">
        <v>8</v>
      </c>
      <c r="L465" s="10" t="str">
        <f>TRIM(IF(Table1[[#This Row],[years_of_experience]]="","Unknown",Table1[[#This Row],[years_of_experience]]))</f>
        <v>8</v>
      </c>
      <c r="M465">
        <v>40</v>
      </c>
      <c r="N465">
        <f>IF(Table1[[#This Row],[hourly_rate (USD)]]="",MEDIAN(Table1[hourly_rate (USD)]),Table1[[#This Row],[hourly_rate (USD)]])</f>
        <v>40</v>
      </c>
      <c r="O465" t="str">
        <f>TRIM(CLEAN(Table1[[#This Row],[Updated hourly_rate (USD)]]))</f>
        <v>40</v>
      </c>
      <c r="P465" t="str">
        <f>SUBSTITUTE(SUBSTITUTE(Table1[[#This Row],[Formatted hourly rate]],"USD ",""),"$","")</f>
        <v>40</v>
      </c>
      <c r="Q465">
        <v>4.9000000000000004</v>
      </c>
      <c r="R465">
        <f>IF(Table1[[#This Row],[rating]]="",2.6,Table1[[#This Row],[rating]])</f>
        <v>4.9000000000000004</v>
      </c>
      <c r="S465" t="s">
        <v>31</v>
      </c>
      <c r="T465" t="str">
        <f>TRIM(CLEAN(Table1[[#This Row],[is_active]]))</f>
        <v>N</v>
      </c>
      <c r="U4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65" s="11" t="str">
        <f>TRIM(IF(Table1[[#This Row],[is_active3]]="Unknown","TRUE",Table1[[#This Row],[is_active3]]))</f>
        <v>FALSE</v>
      </c>
      <c r="W465">
        <v>0.87</v>
      </c>
      <c r="X465">
        <f>IF(Table1[[#This Row],[client_satisfaction]]&gt;1,Table1[[#This Row],[client_satisfaction]]/100,Table1[[#This Row],[client_satisfaction]])</f>
        <v>0.87</v>
      </c>
      <c r="Y465">
        <f>IF(Table1[[#This Row],[client_satisfaction2]]=0,0.75,Table1[[#This Row],[client_satisfaction2]])</f>
        <v>0.87</v>
      </c>
    </row>
    <row r="466" spans="1:25" x14ac:dyDescent="0.25">
      <c r="A466" t="s">
        <v>1011</v>
      </c>
      <c r="B466" t="s">
        <v>1012</v>
      </c>
      <c r="C466" t="str">
        <f>PROPER(TRIM(SUBSTITUTE(SUBSTITUTE(SUBSTITUTE(Table1[[#This Row],[name]],"Ms. ",""),"Mr. ",""),"Mrs. ","")))</f>
        <v>Julie Barnett</v>
      </c>
      <c r="D466" t="s">
        <v>39</v>
      </c>
      <c r="E4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66">
        <v>49</v>
      </c>
      <c r="G466" t="str">
        <f>TRIM(IF(Table1[[#This Row],[age]]="","Unknown",Table1[[#This Row],[age]]))</f>
        <v>49</v>
      </c>
      <c r="H466" t="s">
        <v>107</v>
      </c>
      <c r="I466" t="s">
        <v>108</v>
      </c>
      <c r="J466" t="s">
        <v>114</v>
      </c>
      <c r="K466">
        <v>13</v>
      </c>
      <c r="L466" s="10" t="str">
        <f>TRIM(IF(Table1[[#This Row],[years_of_experience]]="","Unknown",Table1[[#This Row],[years_of_experience]]))</f>
        <v>13</v>
      </c>
      <c r="M466" t="s">
        <v>229</v>
      </c>
      <c r="N466" t="str">
        <f>IF(Table1[[#This Row],[hourly_rate (USD)]]="",MEDIAN(Table1[hourly_rate (USD)]),Table1[[#This Row],[hourly_rate (USD)]])</f>
        <v>$100</v>
      </c>
      <c r="O466" t="str">
        <f>TRIM(CLEAN(Table1[[#This Row],[Updated hourly_rate (USD)]]))</f>
        <v>$100</v>
      </c>
      <c r="P466" t="str">
        <f>SUBSTITUTE(SUBSTITUTE(Table1[[#This Row],[Formatted hourly rate]],"USD ",""),"$","")</f>
        <v>100</v>
      </c>
      <c r="Q466">
        <v>2.5</v>
      </c>
      <c r="R466">
        <f>IF(Table1[[#This Row],[rating]]="",2.6,Table1[[#This Row],[rating]])</f>
        <v>2.5</v>
      </c>
      <c r="S466" t="b">
        <v>0</v>
      </c>
      <c r="T466" t="str">
        <f>TRIM(CLEAN(Table1[[#This Row],[is_active]]))</f>
        <v>FALSE</v>
      </c>
      <c r="U46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66" s="11" t="str">
        <f>TRIM(IF(Table1[[#This Row],[is_active3]]="Unknown","TRUE",Table1[[#This Row],[is_active3]]))</f>
        <v>TRUE</v>
      </c>
      <c r="X466">
        <f>IF(Table1[[#This Row],[client_satisfaction]]&gt;1,Table1[[#This Row],[client_satisfaction]]/100,Table1[[#This Row],[client_satisfaction]])</f>
        <v>0</v>
      </c>
      <c r="Y466">
        <f>IF(Table1[[#This Row],[client_satisfaction2]]=0,0.75,Table1[[#This Row],[client_satisfaction2]])</f>
        <v>0.75</v>
      </c>
    </row>
    <row r="467" spans="1:25" x14ac:dyDescent="0.25">
      <c r="A467" t="s">
        <v>1013</v>
      </c>
      <c r="B467" t="s">
        <v>1014</v>
      </c>
      <c r="C467" t="str">
        <f>PROPER(TRIM(SUBSTITUTE(SUBSTITUTE(SUBSTITUTE(Table1[[#This Row],[name]],"Ms. ",""),"Mr. ",""),"Mrs. ","")))</f>
        <v>Jasmine Harris</v>
      </c>
      <c r="D467" t="s">
        <v>34</v>
      </c>
      <c r="E4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67">
        <v>20</v>
      </c>
      <c r="G467" t="str">
        <f>TRIM(IF(Table1[[#This Row],[age]]="","Unknown",Table1[[#This Row],[age]]))</f>
        <v>20</v>
      </c>
      <c r="H467" t="s">
        <v>139</v>
      </c>
      <c r="I467" t="s">
        <v>140</v>
      </c>
      <c r="J467" t="s">
        <v>51</v>
      </c>
      <c r="K467">
        <v>0</v>
      </c>
      <c r="L467" s="10" t="str">
        <f>TRIM(IF(Table1[[#This Row],[years_of_experience]]="","Unknown",Table1[[#This Row],[years_of_experience]]))</f>
        <v>0</v>
      </c>
      <c r="M467" t="s">
        <v>109</v>
      </c>
      <c r="N467" t="str">
        <f>IF(Table1[[#This Row],[hourly_rate (USD)]]="",MEDIAN(Table1[hourly_rate (USD)]),Table1[[#This Row],[hourly_rate (USD)]])</f>
        <v>USD 30</v>
      </c>
      <c r="O467" t="str">
        <f>TRIM(CLEAN(Table1[[#This Row],[Updated hourly_rate (USD)]]))</f>
        <v>USD 30</v>
      </c>
      <c r="P467" t="str">
        <f>SUBSTITUTE(SUBSTITUTE(Table1[[#This Row],[Formatted hourly rate]],"USD ",""),"$","")</f>
        <v>30</v>
      </c>
      <c r="Q467">
        <v>0</v>
      </c>
      <c r="R467">
        <f>IF(Table1[[#This Row],[rating]]="",2.6,Table1[[#This Row],[rating]])</f>
        <v>0</v>
      </c>
      <c r="S467">
        <v>1</v>
      </c>
      <c r="T467" t="str">
        <f>TRIM(CLEAN(Table1[[#This Row],[is_active]]))</f>
        <v>1</v>
      </c>
      <c r="U46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67" s="11" t="str">
        <f>TRIM(IF(Table1[[#This Row],[is_active3]]="Unknown","TRUE",Table1[[#This Row],[is_active3]]))</f>
        <v>TRUE</v>
      </c>
      <c r="W467">
        <v>76</v>
      </c>
      <c r="X467">
        <f>IF(Table1[[#This Row],[client_satisfaction]]&gt;1,Table1[[#This Row],[client_satisfaction]]/100,Table1[[#This Row],[client_satisfaction]])</f>
        <v>0.76</v>
      </c>
      <c r="Y467">
        <f>IF(Table1[[#This Row],[client_satisfaction2]]=0,0.75,Table1[[#This Row],[client_satisfaction2]])</f>
        <v>0.76</v>
      </c>
    </row>
    <row r="468" spans="1:25" x14ac:dyDescent="0.25">
      <c r="A468" t="s">
        <v>1015</v>
      </c>
      <c r="B468" t="s">
        <v>1016</v>
      </c>
      <c r="C468" t="str">
        <f>PROPER(TRIM(SUBSTITUTE(SUBSTITUTE(SUBSTITUTE(Table1[[#This Row],[name]],"Ms. ",""),"Mr. ",""),"Mrs. ","")))</f>
        <v>Mary Henry</v>
      </c>
      <c r="D468" t="s">
        <v>39</v>
      </c>
      <c r="E4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68">
        <v>39</v>
      </c>
      <c r="G468" t="str">
        <f>TRIM(IF(Table1[[#This Row],[age]]="","Unknown",Table1[[#This Row],[age]]))</f>
        <v>39</v>
      </c>
      <c r="H468" t="s">
        <v>175</v>
      </c>
      <c r="I468" t="s">
        <v>176</v>
      </c>
      <c r="J468" t="s">
        <v>17</v>
      </c>
      <c r="K468">
        <v>11</v>
      </c>
      <c r="L468" s="10" t="str">
        <f>TRIM(IF(Table1[[#This Row],[years_of_experience]]="","Unknown",Table1[[#This Row],[years_of_experience]]))</f>
        <v>11</v>
      </c>
      <c r="M468">
        <v>100</v>
      </c>
      <c r="N468">
        <f>IF(Table1[[#This Row],[hourly_rate (USD)]]="",MEDIAN(Table1[hourly_rate (USD)]),Table1[[#This Row],[hourly_rate (USD)]])</f>
        <v>100</v>
      </c>
      <c r="O468" t="str">
        <f>TRIM(CLEAN(Table1[[#This Row],[Updated hourly_rate (USD)]]))</f>
        <v>100</v>
      </c>
      <c r="P468" t="str">
        <f>SUBSTITUTE(SUBSTITUTE(Table1[[#This Row],[Formatted hourly rate]],"USD ",""),"$","")</f>
        <v>100</v>
      </c>
      <c r="Q468">
        <v>2.8</v>
      </c>
      <c r="R468">
        <f>IF(Table1[[#This Row],[rating]]="",2.6,Table1[[#This Row],[rating]])</f>
        <v>2.8</v>
      </c>
      <c r="T468" t="str">
        <f>TRIM(CLEAN(Table1[[#This Row],[is_active]]))</f>
        <v/>
      </c>
      <c r="U46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68" s="11" t="str">
        <f>TRIM(IF(Table1[[#This Row],[is_active3]]="Unknown","TRUE",Table1[[#This Row],[is_active3]]))</f>
        <v>TRUE</v>
      </c>
      <c r="W468">
        <v>70</v>
      </c>
      <c r="X468">
        <f>IF(Table1[[#This Row],[client_satisfaction]]&gt;1,Table1[[#This Row],[client_satisfaction]]/100,Table1[[#This Row],[client_satisfaction]])</f>
        <v>0.7</v>
      </c>
      <c r="Y468">
        <f>IF(Table1[[#This Row],[client_satisfaction2]]=0,0.75,Table1[[#This Row],[client_satisfaction2]])</f>
        <v>0.7</v>
      </c>
    </row>
    <row r="469" spans="1:25" x14ac:dyDescent="0.25">
      <c r="A469" t="s">
        <v>1017</v>
      </c>
      <c r="B469" t="s">
        <v>1018</v>
      </c>
      <c r="C469" t="str">
        <f>PROPER(TRIM(SUBSTITUTE(SUBSTITUTE(SUBSTITUTE(Table1[[#This Row],[name]],"Ms. ",""),"Mr. ",""),"Mrs. ","")))</f>
        <v>Judith Riggs</v>
      </c>
      <c r="D469" t="s">
        <v>34</v>
      </c>
      <c r="E4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69">
        <v>41</v>
      </c>
      <c r="G469" t="str">
        <f>TRIM(IF(Table1[[#This Row],[age]]="","Unknown",Table1[[#This Row],[age]]))</f>
        <v>41</v>
      </c>
      <c r="H469" t="s">
        <v>175</v>
      </c>
      <c r="I469" t="s">
        <v>176</v>
      </c>
      <c r="J469" t="s">
        <v>114</v>
      </c>
      <c r="K469">
        <v>19</v>
      </c>
      <c r="L469" s="10" t="str">
        <f>TRIM(IF(Table1[[#This Row],[years_of_experience]]="","Unknown",Table1[[#This Row],[years_of_experience]]))</f>
        <v>19</v>
      </c>
      <c r="M469">
        <v>100</v>
      </c>
      <c r="N469">
        <f>IF(Table1[[#This Row],[hourly_rate (USD)]]="",MEDIAN(Table1[hourly_rate (USD)]),Table1[[#This Row],[hourly_rate (USD)]])</f>
        <v>100</v>
      </c>
      <c r="O469" t="str">
        <f>TRIM(CLEAN(Table1[[#This Row],[Updated hourly_rate (USD)]]))</f>
        <v>100</v>
      </c>
      <c r="P469" t="str">
        <f>SUBSTITUTE(SUBSTITUTE(Table1[[#This Row],[Formatted hourly rate]],"USD ",""),"$","")</f>
        <v>100</v>
      </c>
      <c r="Q469">
        <v>3.8</v>
      </c>
      <c r="R469">
        <f>IF(Table1[[#This Row],[rating]]="",2.6,Table1[[#This Row],[rating]])</f>
        <v>3.8</v>
      </c>
      <c r="S469" t="s">
        <v>68</v>
      </c>
      <c r="T469" t="str">
        <f>TRIM(CLEAN(Table1[[#This Row],[is_active]]))</f>
        <v>yes</v>
      </c>
      <c r="U46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69" s="11" t="str">
        <f>TRIM(IF(Table1[[#This Row],[is_active3]]="Unknown","TRUE",Table1[[#This Row],[is_active3]]))</f>
        <v>TRUE</v>
      </c>
      <c r="W469">
        <v>0.71</v>
      </c>
      <c r="X469">
        <f>IF(Table1[[#This Row],[client_satisfaction]]&gt;1,Table1[[#This Row],[client_satisfaction]]/100,Table1[[#This Row],[client_satisfaction]])</f>
        <v>0.71</v>
      </c>
      <c r="Y469">
        <f>IF(Table1[[#This Row],[client_satisfaction2]]=0,0.75,Table1[[#This Row],[client_satisfaction2]])</f>
        <v>0.71</v>
      </c>
    </row>
    <row r="470" spans="1:25" x14ac:dyDescent="0.25">
      <c r="A470" t="s">
        <v>1019</v>
      </c>
      <c r="B470" t="s">
        <v>1020</v>
      </c>
      <c r="C470" t="str">
        <f>PROPER(TRIM(SUBSTITUTE(SUBSTITUTE(SUBSTITUTE(Table1[[#This Row],[name]],"Ms. ",""),"Mr. ",""),"Mrs. ","")))</f>
        <v>Justin Ruiz</v>
      </c>
      <c r="D470" t="s">
        <v>97</v>
      </c>
      <c r="E4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70">
        <v>59</v>
      </c>
      <c r="G470" t="str">
        <f>TRIM(IF(Table1[[#This Row],[age]]="","Unknown",Table1[[#This Row],[age]]))</f>
        <v>59</v>
      </c>
      <c r="H470" t="s">
        <v>128</v>
      </c>
      <c r="I470" t="s">
        <v>22</v>
      </c>
      <c r="J470" t="s">
        <v>23</v>
      </c>
      <c r="K470">
        <v>30</v>
      </c>
      <c r="L470" s="10" t="str">
        <f>TRIM(IF(Table1[[#This Row],[years_of_experience]]="","Unknown",Table1[[#This Row],[years_of_experience]]))</f>
        <v>30</v>
      </c>
      <c r="M470" t="s">
        <v>109</v>
      </c>
      <c r="N470" t="str">
        <f>IF(Table1[[#This Row],[hourly_rate (USD)]]="",MEDIAN(Table1[hourly_rate (USD)]),Table1[[#This Row],[hourly_rate (USD)]])</f>
        <v>USD 30</v>
      </c>
      <c r="O470" t="str">
        <f>TRIM(CLEAN(Table1[[#This Row],[Updated hourly_rate (USD)]]))</f>
        <v>USD 30</v>
      </c>
      <c r="P470" t="str">
        <f>SUBSTITUTE(SUBSTITUTE(Table1[[#This Row],[Formatted hourly rate]],"USD ",""),"$","")</f>
        <v>30</v>
      </c>
      <c r="Q470">
        <v>4.3</v>
      </c>
      <c r="R470">
        <f>IF(Table1[[#This Row],[rating]]="",2.6,Table1[[#This Row],[rating]])</f>
        <v>4.3</v>
      </c>
      <c r="S470">
        <v>1</v>
      </c>
      <c r="T470" t="str">
        <f>TRIM(CLEAN(Table1[[#This Row],[is_active]]))</f>
        <v>1</v>
      </c>
      <c r="U47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70" s="11" t="str">
        <f>TRIM(IF(Table1[[#This Row],[is_active3]]="Unknown","TRUE",Table1[[#This Row],[is_active3]]))</f>
        <v>TRUE</v>
      </c>
      <c r="W470">
        <v>0.83</v>
      </c>
      <c r="X470">
        <f>IF(Table1[[#This Row],[client_satisfaction]]&gt;1,Table1[[#This Row],[client_satisfaction]]/100,Table1[[#This Row],[client_satisfaction]])</f>
        <v>0.83</v>
      </c>
      <c r="Y470">
        <f>IF(Table1[[#This Row],[client_satisfaction2]]=0,0.75,Table1[[#This Row],[client_satisfaction2]])</f>
        <v>0.83</v>
      </c>
    </row>
    <row r="471" spans="1:25" x14ac:dyDescent="0.25">
      <c r="A471" t="s">
        <v>1021</v>
      </c>
      <c r="B471" t="s">
        <v>1022</v>
      </c>
      <c r="C471" t="str">
        <f>PROPER(TRIM(SUBSTITUTE(SUBSTITUTE(SUBSTITUTE(Table1[[#This Row],[name]],"Ms. ",""),"Mr. ",""),"Mrs. ","")))</f>
        <v>Jennifer Sullivan</v>
      </c>
      <c r="D471" t="s">
        <v>77</v>
      </c>
      <c r="E4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71">
        <v>45</v>
      </c>
      <c r="G471" t="str">
        <f>TRIM(IF(Table1[[#This Row],[age]]="","Unknown",Table1[[#This Row],[age]]))</f>
        <v>45</v>
      </c>
      <c r="H471" t="s">
        <v>21</v>
      </c>
      <c r="I471" t="s">
        <v>22</v>
      </c>
      <c r="J471" t="s">
        <v>17</v>
      </c>
      <c r="K471">
        <v>8</v>
      </c>
      <c r="L471" s="10" t="str">
        <f>TRIM(IF(Table1[[#This Row],[years_of_experience]]="","Unknown",Table1[[#This Row],[years_of_experience]]))</f>
        <v>8</v>
      </c>
      <c r="M471">
        <v>40</v>
      </c>
      <c r="N471">
        <f>IF(Table1[[#This Row],[hourly_rate (USD)]]="",MEDIAN(Table1[hourly_rate (USD)]),Table1[[#This Row],[hourly_rate (USD)]])</f>
        <v>40</v>
      </c>
      <c r="O471" t="str">
        <f>TRIM(CLEAN(Table1[[#This Row],[Updated hourly_rate (USD)]]))</f>
        <v>40</v>
      </c>
      <c r="P471" t="str">
        <f>SUBSTITUTE(SUBSTITUTE(Table1[[#This Row],[Formatted hourly rate]],"USD ",""),"$","")</f>
        <v>40</v>
      </c>
      <c r="Q471">
        <v>0</v>
      </c>
      <c r="R471">
        <f>IF(Table1[[#This Row],[rating]]="",2.6,Table1[[#This Row],[rating]])</f>
        <v>0</v>
      </c>
      <c r="S471">
        <v>0</v>
      </c>
      <c r="T471" t="str">
        <f>TRIM(CLEAN(Table1[[#This Row],[is_active]]))</f>
        <v>0</v>
      </c>
      <c r="U4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71" s="11" t="str">
        <f>TRIM(IF(Table1[[#This Row],[is_active3]]="Unknown","TRUE",Table1[[#This Row],[is_active3]]))</f>
        <v>FALSE</v>
      </c>
      <c r="W471">
        <v>78</v>
      </c>
      <c r="X471">
        <f>IF(Table1[[#This Row],[client_satisfaction]]&gt;1,Table1[[#This Row],[client_satisfaction]]/100,Table1[[#This Row],[client_satisfaction]])</f>
        <v>0.78</v>
      </c>
      <c r="Y471">
        <f>IF(Table1[[#This Row],[client_satisfaction2]]=0,0.75,Table1[[#This Row],[client_satisfaction2]])</f>
        <v>0.78</v>
      </c>
    </row>
    <row r="472" spans="1:25" x14ac:dyDescent="0.25">
      <c r="A472" t="s">
        <v>1023</v>
      </c>
      <c r="B472" t="s">
        <v>1024</v>
      </c>
      <c r="C472" t="str">
        <f>PROPER(TRIM(SUBSTITUTE(SUBSTITUTE(SUBSTITUTE(Table1[[#This Row],[name]],"Ms. ",""),"Mr. ",""),"Mrs. ","")))</f>
        <v>Jesse Moran</v>
      </c>
      <c r="D472" t="s">
        <v>61</v>
      </c>
      <c r="E4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72">
        <v>22</v>
      </c>
      <c r="G472" t="str">
        <f>TRIM(IF(Table1[[#This Row],[age]]="","Unknown",Table1[[#This Row],[age]]))</f>
        <v>22</v>
      </c>
      <c r="H472" t="s">
        <v>49</v>
      </c>
      <c r="I472" t="s">
        <v>50</v>
      </c>
      <c r="J472" t="s">
        <v>78</v>
      </c>
      <c r="K472">
        <v>0</v>
      </c>
      <c r="L472" s="10" t="str">
        <f>TRIM(IF(Table1[[#This Row],[years_of_experience]]="","Unknown",Table1[[#This Row],[years_of_experience]]))</f>
        <v>0</v>
      </c>
      <c r="M472">
        <v>40</v>
      </c>
      <c r="N472">
        <f>IF(Table1[[#This Row],[hourly_rate (USD)]]="",MEDIAN(Table1[hourly_rate (USD)]),Table1[[#This Row],[hourly_rate (USD)]])</f>
        <v>40</v>
      </c>
      <c r="O472" t="str">
        <f>TRIM(CLEAN(Table1[[#This Row],[Updated hourly_rate (USD)]]))</f>
        <v>40</v>
      </c>
      <c r="P472" t="str">
        <f>SUBSTITUTE(SUBSTITUTE(Table1[[#This Row],[Formatted hourly rate]],"USD ",""),"$","")</f>
        <v>40</v>
      </c>
      <c r="Q472">
        <v>1.3</v>
      </c>
      <c r="R472">
        <f>IF(Table1[[#This Row],[rating]]="",2.6,Table1[[#This Row],[rating]])</f>
        <v>1.3</v>
      </c>
      <c r="S472">
        <v>1</v>
      </c>
      <c r="T472" t="str">
        <f>TRIM(CLEAN(Table1[[#This Row],[is_active]]))</f>
        <v>1</v>
      </c>
      <c r="U47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72" s="11" t="str">
        <f>TRIM(IF(Table1[[#This Row],[is_active3]]="Unknown","TRUE",Table1[[#This Row],[is_active3]]))</f>
        <v>TRUE</v>
      </c>
      <c r="W472">
        <v>0.78</v>
      </c>
      <c r="X472">
        <f>IF(Table1[[#This Row],[client_satisfaction]]&gt;1,Table1[[#This Row],[client_satisfaction]]/100,Table1[[#This Row],[client_satisfaction]])</f>
        <v>0.78</v>
      </c>
      <c r="Y472">
        <f>IF(Table1[[#This Row],[client_satisfaction2]]=0,0.75,Table1[[#This Row],[client_satisfaction2]])</f>
        <v>0.78</v>
      </c>
    </row>
    <row r="473" spans="1:25" x14ac:dyDescent="0.25">
      <c r="A473" t="s">
        <v>1025</v>
      </c>
      <c r="B473" t="s">
        <v>1026</v>
      </c>
      <c r="C473" t="str">
        <f>PROPER(TRIM(SUBSTITUTE(SUBSTITUTE(SUBSTITUTE(Table1[[#This Row],[name]],"Ms. ",""),"Mr. ",""),"Mrs. ","")))</f>
        <v>Monica Smith</v>
      </c>
      <c r="D473" t="s">
        <v>14</v>
      </c>
      <c r="E4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73">
        <v>48</v>
      </c>
      <c r="G473" t="str">
        <f>TRIM(IF(Table1[[#This Row],[age]]="","Unknown",Table1[[#This Row],[age]]))</f>
        <v>48</v>
      </c>
      <c r="H473" t="s">
        <v>93</v>
      </c>
      <c r="I473" t="s">
        <v>94</v>
      </c>
      <c r="J473" t="s">
        <v>23</v>
      </c>
      <c r="K473">
        <v>7</v>
      </c>
      <c r="L473" s="10" t="str">
        <f>TRIM(IF(Table1[[#This Row],[years_of_experience]]="","Unknown",Table1[[#This Row],[years_of_experience]]))</f>
        <v>7</v>
      </c>
      <c r="M473">
        <v>50</v>
      </c>
      <c r="N473">
        <f>IF(Table1[[#This Row],[hourly_rate (USD)]]="",MEDIAN(Table1[hourly_rate (USD)]),Table1[[#This Row],[hourly_rate (USD)]])</f>
        <v>50</v>
      </c>
      <c r="O473" t="str">
        <f>TRIM(CLEAN(Table1[[#This Row],[Updated hourly_rate (USD)]]))</f>
        <v>50</v>
      </c>
      <c r="P473" t="str">
        <f>SUBSTITUTE(SUBSTITUTE(Table1[[#This Row],[Formatted hourly rate]],"USD ",""),"$","")</f>
        <v>50</v>
      </c>
      <c r="Q473">
        <v>4.7</v>
      </c>
      <c r="R473">
        <f>IF(Table1[[#This Row],[rating]]="",2.6,Table1[[#This Row],[rating]])</f>
        <v>4.7</v>
      </c>
      <c r="S473" t="s">
        <v>74</v>
      </c>
      <c r="T473" t="str">
        <f>TRIM(CLEAN(Table1[[#This Row],[is_active]]))</f>
        <v>Y</v>
      </c>
      <c r="U47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73" s="11" t="str">
        <f>TRIM(IF(Table1[[#This Row],[is_active3]]="Unknown","TRUE",Table1[[#This Row],[is_active3]]))</f>
        <v>TRUE</v>
      </c>
      <c r="W473">
        <v>0.6</v>
      </c>
      <c r="X473">
        <f>IF(Table1[[#This Row],[client_satisfaction]]&gt;1,Table1[[#This Row],[client_satisfaction]]/100,Table1[[#This Row],[client_satisfaction]])</f>
        <v>0.6</v>
      </c>
      <c r="Y473">
        <f>IF(Table1[[#This Row],[client_satisfaction2]]=0,0.75,Table1[[#This Row],[client_satisfaction2]])</f>
        <v>0.6</v>
      </c>
    </row>
    <row r="474" spans="1:25" x14ac:dyDescent="0.25">
      <c r="A474" t="s">
        <v>1027</v>
      </c>
      <c r="B474" t="s">
        <v>1028</v>
      </c>
      <c r="C474" t="str">
        <f>PROPER(TRIM(SUBSTITUTE(SUBSTITUTE(SUBSTITUTE(Table1[[#This Row],[name]],"Ms. ",""),"Mr. ",""),"Mrs. ","")))</f>
        <v>Ian May</v>
      </c>
      <c r="D474" t="s">
        <v>61</v>
      </c>
      <c r="E4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74">
        <v>36</v>
      </c>
      <c r="G474" t="str">
        <f>TRIM(IF(Table1[[#This Row],[age]]="","Unknown",Table1[[#This Row],[age]]))</f>
        <v>36</v>
      </c>
      <c r="H474" t="s">
        <v>135</v>
      </c>
      <c r="I474" t="s">
        <v>136</v>
      </c>
      <c r="J474" t="s">
        <v>17</v>
      </c>
      <c r="K474">
        <v>11</v>
      </c>
      <c r="L474" s="10" t="str">
        <f>TRIM(IF(Table1[[#This Row],[years_of_experience]]="","Unknown",Table1[[#This Row],[years_of_experience]]))</f>
        <v>11</v>
      </c>
      <c r="M474" t="s">
        <v>36</v>
      </c>
      <c r="N474" t="str">
        <f>IF(Table1[[#This Row],[hourly_rate (USD)]]="",MEDIAN(Table1[hourly_rate (USD)]),Table1[[#This Row],[hourly_rate (USD)]])</f>
        <v>$40</v>
      </c>
      <c r="O474" t="str">
        <f>TRIM(CLEAN(Table1[[#This Row],[Updated hourly_rate (USD)]]))</f>
        <v>$40</v>
      </c>
      <c r="P474" t="str">
        <f>SUBSTITUTE(SUBSTITUTE(Table1[[#This Row],[Formatted hourly rate]],"USD ",""),"$","")</f>
        <v>40</v>
      </c>
      <c r="Q474">
        <v>1.3</v>
      </c>
      <c r="R474">
        <f>IF(Table1[[#This Row],[rating]]="",2.6,Table1[[#This Row],[rating]])</f>
        <v>1.3</v>
      </c>
      <c r="S474" t="b">
        <v>1</v>
      </c>
      <c r="T474" t="str">
        <f>TRIM(CLEAN(Table1[[#This Row],[is_active]]))</f>
        <v>TRUE</v>
      </c>
      <c r="U47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74" s="11" t="str">
        <f>TRIM(IF(Table1[[#This Row],[is_active3]]="Unknown","TRUE",Table1[[#This Row],[is_active3]]))</f>
        <v>TRUE</v>
      </c>
      <c r="X474">
        <f>IF(Table1[[#This Row],[client_satisfaction]]&gt;1,Table1[[#This Row],[client_satisfaction]]/100,Table1[[#This Row],[client_satisfaction]])</f>
        <v>0</v>
      </c>
      <c r="Y474">
        <f>IF(Table1[[#This Row],[client_satisfaction2]]=0,0.75,Table1[[#This Row],[client_satisfaction2]])</f>
        <v>0.75</v>
      </c>
    </row>
    <row r="475" spans="1:25" x14ac:dyDescent="0.25">
      <c r="A475" t="s">
        <v>1029</v>
      </c>
      <c r="B475" t="s">
        <v>1030</v>
      </c>
      <c r="C475" t="str">
        <f>PROPER(TRIM(SUBSTITUTE(SUBSTITUTE(SUBSTITUTE(Table1[[#This Row],[name]],"Ms. ",""),"Mr. ",""),"Mrs. ","")))</f>
        <v>Kayla Meyers</v>
      </c>
      <c r="D475" t="s">
        <v>20</v>
      </c>
      <c r="E4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75">
        <v>57</v>
      </c>
      <c r="G475" t="str">
        <f>TRIM(IF(Table1[[#This Row],[age]]="","Unknown",Table1[[#This Row],[age]]))</f>
        <v>57</v>
      </c>
      <c r="H475" t="s">
        <v>175</v>
      </c>
      <c r="I475" t="s">
        <v>176</v>
      </c>
      <c r="J475" t="s">
        <v>17</v>
      </c>
      <c r="L475" s="10" t="str">
        <f>TRIM(IF(Table1[[#This Row],[years_of_experience]]="","Unknown",Table1[[#This Row],[years_of_experience]]))</f>
        <v>Unknown</v>
      </c>
      <c r="M475">
        <v>75</v>
      </c>
      <c r="N475">
        <f>IF(Table1[[#This Row],[hourly_rate (USD)]]="",MEDIAN(Table1[hourly_rate (USD)]),Table1[[#This Row],[hourly_rate (USD)]])</f>
        <v>75</v>
      </c>
      <c r="O475" t="str">
        <f>TRIM(CLEAN(Table1[[#This Row],[Updated hourly_rate (USD)]]))</f>
        <v>75</v>
      </c>
      <c r="P475" t="str">
        <f>SUBSTITUTE(SUBSTITUTE(Table1[[#This Row],[Formatted hourly rate]],"USD ",""),"$","")</f>
        <v>75</v>
      </c>
      <c r="Q475">
        <v>4.8</v>
      </c>
      <c r="R475">
        <f>IF(Table1[[#This Row],[rating]]="",2.6,Table1[[#This Row],[rating]])</f>
        <v>4.8</v>
      </c>
      <c r="S475">
        <v>1</v>
      </c>
      <c r="T475" t="str">
        <f>TRIM(CLEAN(Table1[[#This Row],[is_active]]))</f>
        <v>1</v>
      </c>
      <c r="U47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75" s="11" t="str">
        <f>TRIM(IF(Table1[[#This Row],[is_active3]]="Unknown","TRUE",Table1[[#This Row],[is_active3]]))</f>
        <v>TRUE</v>
      </c>
      <c r="X475">
        <f>IF(Table1[[#This Row],[client_satisfaction]]&gt;1,Table1[[#This Row],[client_satisfaction]]/100,Table1[[#This Row],[client_satisfaction]])</f>
        <v>0</v>
      </c>
      <c r="Y475">
        <f>IF(Table1[[#This Row],[client_satisfaction2]]=0,0.75,Table1[[#This Row],[client_satisfaction2]])</f>
        <v>0.75</v>
      </c>
    </row>
    <row r="476" spans="1:25" x14ac:dyDescent="0.25">
      <c r="A476" t="s">
        <v>1031</v>
      </c>
      <c r="B476" t="s">
        <v>1032</v>
      </c>
      <c r="C476" t="str">
        <f>PROPER(TRIM(SUBSTITUTE(SUBSTITUTE(SUBSTITUTE(Table1[[#This Row],[name]],"Ms. ",""),"Mr. ",""),"Mrs. ","")))</f>
        <v>John Bray</v>
      </c>
      <c r="D476" t="s">
        <v>61</v>
      </c>
      <c r="E4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76">
        <v>42</v>
      </c>
      <c r="G476" t="str">
        <f>TRIM(IF(Table1[[#This Row],[age]]="","Unknown",Table1[[#This Row],[age]]))</f>
        <v>42</v>
      </c>
      <c r="H476" t="s">
        <v>58</v>
      </c>
      <c r="I476" t="s">
        <v>22</v>
      </c>
      <c r="J476" t="s">
        <v>73</v>
      </c>
      <c r="K476">
        <v>14</v>
      </c>
      <c r="L476" s="10" t="str">
        <f>TRIM(IF(Table1[[#This Row],[years_of_experience]]="","Unknown",Table1[[#This Row],[years_of_experience]]))</f>
        <v>14</v>
      </c>
      <c r="M476" t="s">
        <v>45</v>
      </c>
      <c r="N476" t="str">
        <f>IF(Table1[[#This Row],[hourly_rate (USD)]]="",MEDIAN(Table1[hourly_rate (USD)]),Table1[[#This Row],[hourly_rate (USD)]])</f>
        <v>$30</v>
      </c>
      <c r="O476" t="str">
        <f>TRIM(CLEAN(Table1[[#This Row],[Updated hourly_rate (USD)]]))</f>
        <v>$30</v>
      </c>
      <c r="P476" t="str">
        <f>SUBSTITUTE(SUBSTITUTE(Table1[[#This Row],[Formatted hourly rate]],"USD ",""),"$","")</f>
        <v>30</v>
      </c>
      <c r="Q476">
        <v>1.3</v>
      </c>
      <c r="R476">
        <f>IF(Table1[[#This Row],[rating]]="",2.6,Table1[[#This Row],[rating]])</f>
        <v>1.3</v>
      </c>
      <c r="S476">
        <v>0</v>
      </c>
      <c r="T476" t="str">
        <f>TRIM(CLEAN(Table1[[#This Row],[is_active]]))</f>
        <v>0</v>
      </c>
      <c r="U47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76" s="11" t="str">
        <f>TRIM(IF(Table1[[#This Row],[is_active3]]="Unknown","TRUE",Table1[[#This Row],[is_active3]]))</f>
        <v>FALSE</v>
      </c>
      <c r="W476">
        <v>0.94</v>
      </c>
      <c r="X476">
        <f>IF(Table1[[#This Row],[client_satisfaction]]&gt;1,Table1[[#This Row],[client_satisfaction]]/100,Table1[[#This Row],[client_satisfaction]])</f>
        <v>0.94</v>
      </c>
      <c r="Y476">
        <f>IF(Table1[[#This Row],[client_satisfaction2]]=0,0.75,Table1[[#This Row],[client_satisfaction2]])</f>
        <v>0.94</v>
      </c>
    </row>
    <row r="477" spans="1:25" x14ac:dyDescent="0.25">
      <c r="A477" t="s">
        <v>1033</v>
      </c>
      <c r="B477" t="s">
        <v>1034</v>
      </c>
      <c r="C477" t="str">
        <f>PROPER(TRIM(SUBSTITUTE(SUBSTITUTE(SUBSTITUTE(Table1[[#This Row],[name]],"Ms. ",""),"Mr. ",""),"Mrs. ","")))</f>
        <v>James Smith</v>
      </c>
      <c r="D477" t="s">
        <v>48</v>
      </c>
      <c r="E4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77">
        <v>31</v>
      </c>
      <c r="G477" t="str">
        <f>TRIM(IF(Table1[[#This Row],[age]]="","Unknown",Table1[[#This Row],[age]]))</f>
        <v>31</v>
      </c>
      <c r="H477" t="s">
        <v>49</v>
      </c>
      <c r="I477" t="s">
        <v>50</v>
      </c>
      <c r="J477" t="s">
        <v>78</v>
      </c>
      <c r="K477">
        <v>11</v>
      </c>
      <c r="L477" s="10" t="str">
        <f>TRIM(IF(Table1[[#This Row],[years_of_experience]]="","Unknown",Table1[[#This Row],[years_of_experience]]))</f>
        <v>11</v>
      </c>
      <c r="M477" t="s">
        <v>64</v>
      </c>
      <c r="N477" t="str">
        <f>IF(Table1[[#This Row],[hourly_rate (USD)]]="",MEDIAN(Table1[hourly_rate (USD)]),Table1[[#This Row],[hourly_rate (USD)]])</f>
        <v>$50</v>
      </c>
      <c r="O477" t="str">
        <f>TRIM(CLEAN(Table1[[#This Row],[Updated hourly_rate (USD)]]))</f>
        <v>$50</v>
      </c>
      <c r="P477" t="str">
        <f>SUBSTITUTE(SUBSTITUTE(Table1[[#This Row],[Formatted hourly rate]],"USD ",""),"$","")</f>
        <v>50</v>
      </c>
      <c r="Q477">
        <v>4.3</v>
      </c>
      <c r="R477">
        <f>IF(Table1[[#This Row],[rating]]="",2.6,Table1[[#This Row],[rating]])</f>
        <v>4.3</v>
      </c>
      <c r="S477">
        <v>0</v>
      </c>
      <c r="T477" t="str">
        <f>TRIM(CLEAN(Table1[[#This Row],[is_active]]))</f>
        <v>0</v>
      </c>
      <c r="U47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77" s="11" t="str">
        <f>TRIM(IF(Table1[[#This Row],[is_active3]]="Unknown","TRUE",Table1[[#This Row],[is_active3]]))</f>
        <v>FALSE</v>
      </c>
      <c r="W477">
        <v>62</v>
      </c>
      <c r="X477">
        <f>IF(Table1[[#This Row],[client_satisfaction]]&gt;1,Table1[[#This Row],[client_satisfaction]]/100,Table1[[#This Row],[client_satisfaction]])</f>
        <v>0.62</v>
      </c>
      <c r="Y477">
        <f>IF(Table1[[#This Row],[client_satisfaction2]]=0,0.75,Table1[[#This Row],[client_satisfaction2]])</f>
        <v>0.62</v>
      </c>
    </row>
    <row r="478" spans="1:25" x14ac:dyDescent="0.25">
      <c r="A478" t="s">
        <v>1035</v>
      </c>
      <c r="B478" t="s">
        <v>1036</v>
      </c>
      <c r="C478" t="str">
        <f>PROPER(TRIM(SUBSTITUTE(SUBSTITUTE(SUBSTITUTE(Table1[[#This Row],[name]],"Ms. ",""),"Mr. ",""),"Mrs. ","")))</f>
        <v>Mark Duncan</v>
      </c>
      <c r="D478" t="s">
        <v>92</v>
      </c>
      <c r="E4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78">
        <v>52</v>
      </c>
      <c r="G478" t="str">
        <f>TRIM(IF(Table1[[#This Row],[age]]="","Unknown",Table1[[#This Row],[age]]))</f>
        <v>52</v>
      </c>
      <c r="H478" t="s">
        <v>190</v>
      </c>
      <c r="I478" t="s">
        <v>72</v>
      </c>
      <c r="J478" t="s">
        <v>78</v>
      </c>
      <c r="K478">
        <v>31</v>
      </c>
      <c r="L478" s="10" t="str">
        <f>TRIM(IF(Table1[[#This Row],[years_of_experience]]="","Unknown",Table1[[#This Row],[years_of_experience]]))</f>
        <v>31</v>
      </c>
      <c r="M478">
        <v>30</v>
      </c>
      <c r="N478">
        <f>IF(Table1[[#This Row],[hourly_rate (USD)]]="",MEDIAN(Table1[hourly_rate (USD)]),Table1[[#This Row],[hourly_rate (USD)]])</f>
        <v>30</v>
      </c>
      <c r="O478" t="str">
        <f>TRIM(CLEAN(Table1[[#This Row],[Updated hourly_rate (USD)]]))</f>
        <v>30</v>
      </c>
      <c r="P478" t="str">
        <f>SUBSTITUTE(SUBSTITUTE(Table1[[#This Row],[Formatted hourly rate]],"USD ",""),"$","")</f>
        <v>30</v>
      </c>
      <c r="R478">
        <f>IF(Table1[[#This Row],[rating]]="",2.6,Table1[[#This Row],[rating]])</f>
        <v>2.6</v>
      </c>
      <c r="S478">
        <v>1</v>
      </c>
      <c r="T478" t="str">
        <f>TRIM(CLEAN(Table1[[#This Row],[is_active]]))</f>
        <v>1</v>
      </c>
      <c r="U47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78" s="11" t="str">
        <f>TRIM(IF(Table1[[#This Row],[is_active3]]="Unknown","TRUE",Table1[[#This Row],[is_active3]]))</f>
        <v>TRUE</v>
      </c>
      <c r="X478">
        <f>IF(Table1[[#This Row],[client_satisfaction]]&gt;1,Table1[[#This Row],[client_satisfaction]]/100,Table1[[#This Row],[client_satisfaction]])</f>
        <v>0</v>
      </c>
      <c r="Y478">
        <f>IF(Table1[[#This Row],[client_satisfaction2]]=0,0.75,Table1[[#This Row],[client_satisfaction2]])</f>
        <v>0.75</v>
      </c>
    </row>
    <row r="479" spans="1:25" x14ac:dyDescent="0.25">
      <c r="A479" t="s">
        <v>1037</v>
      </c>
      <c r="B479" t="s">
        <v>1038</v>
      </c>
      <c r="C479" t="str">
        <f>PROPER(TRIM(SUBSTITUTE(SUBSTITUTE(SUBSTITUTE(Table1[[#This Row],[name]],"Ms. ",""),"Mr. ",""),"Mrs. ","")))</f>
        <v>Matthew Gay</v>
      </c>
      <c r="D479" t="s">
        <v>92</v>
      </c>
      <c r="E4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79">
        <v>56</v>
      </c>
      <c r="G479" t="str">
        <f>TRIM(IF(Table1[[#This Row],[age]]="","Unknown",Table1[[#This Row],[age]]))</f>
        <v>56</v>
      </c>
      <c r="H479" t="s">
        <v>42</v>
      </c>
      <c r="I479" t="s">
        <v>43</v>
      </c>
      <c r="J479" t="s">
        <v>89</v>
      </c>
      <c r="K479">
        <v>16</v>
      </c>
      <c r="L479" s="10" t="str">
        <f>TRIM(IF(Table1[[#This Row],[years_of_experience]]="","Unknown",Table1[[#This Row],[years_of_experience]]))</f>
        <v>16</v>
      </c>
      <c r="M479" t="s">
        <v>109</v>
      </c>
      <c r="N479" t="str">
        <f>IF(Table1[[#This Row],[hourly_rate (USD)]]="",MEDIAN(Table1[hourly_rate (USD)]),Table1[[#This Row],[hourly_rate (USD)]])</f>
        <v>USD 30</v>
      </c>
      <c r="O479" t="str">
        <f>TRIM(CLEAN(Table1[[#This Row],[Updated hourly_rate (USD)]]))</f>
        <v>USD 30</v>
      </c>
      <c r="P479" t="str">
        <f>SUBSTITUTE(SUBSTITUTE(Table1[[#This Row],[Formatted hourly rate]],"USD ",""),"$","")</f>
        <v>30</v>
      </c>
      <c r="Q479">
        <v>0</v>
      </c>
      <c r="R479">
        <f>IF(Table1[[#This Row],[rating]]="",2.6,Table1[[#This Row],[rating]])</f>
        <v>0</v>
      </c>
      <c r="S479" t="s">
        <v>68</v>
      </c>
      <c r="T479" t="str">
        <f>TRIM(CLEAN(Table1[[#This Row],[is_active]]))</f>
        <v>yes</v>
      </c>
      <c r="U47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79" s="11" t="str">
        <f>TRIM(IF(Table1[[#This Row],[is_active3]]="Unknown","TRUE",Table1[[#This Row],[is_active3]]))</f>
        <v>TRUE</v>
      </c>
      <c r="X479">
        <f>IF(Table1[[#This Row],[client_satisfaction]]&gt;1,Table1[[#This Row],[client_satisfaction]]/100,Table1[[#This Row],[client_satisfaction]])</f>
        <v>0</v>
      </c>
      <c r="Y479">
        <f>IF(Table1[[#This Row],[client_satisfaction2]]=0,0.75,Table1[[#This Row],[client_satisfaction2]])</f>
        <v>0.75</v>
      </c>
    </row>
    <row r="480" spans="1:25" x14ac:dyDescent="0.25">
      <c r="A480" t="s">
        <v>1039</v>
      </c>
      <c r="B480" t="s">
        <v>1040</v>
      </c>
      <c r="C480" t="str">
        <f>PROPER(TRIM(SUBSTITUTE(SUBSTITUTE(SUBSTITUTE(Table1[[#This Row],[name]],"Ms. ",""),"Mr. ",""),"Mrs. ","")))</f>
        <v>Cheryl Freeman</v>
      </c>
      <c r="D480" t="s">
        <v>77</v>
      </c>
      <c r="E4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80">
        <v>24</v>
      </c>
      <c r="G480" t="str">
        <f>TRIM(IF(Table1[[#This Row],[age]]="","Unknown",Table1[[#This Row],[age]]))</f>
        <v>24</v>
      </c>
      <c r="H480" t="s">
        <v>42</v>
      </c>
      <c r="I480" t="s">
        <v>43</v>
      </c>
      <c r="J480" t="s">
        <v>89</v>
      </c>
      <c r="K480">
        <v>6</v>
      </c>
      <c r="L480" s="10" t="str">
        <f>TRIM(IF(Table1[[#This Row],[years_of_experience]]="","Unknown",Table1[[#This Row],[years_of_experience]]))</f>
        <v>6</v>
      </c>
      <c r="M480">
        <v>30</v>
      </c>
      <c r="N480">
        <f>IF(Table1[[#This Row],[hourly_rate (USD)]]="",MEDIAN(Table1[hourly_rate (USD)]),Table1[[#This Row],[hourly_rate (USD)]])</f>
        <v>30</v>
      </c>
      <c r="O480" t="str">
        <f>TRIM(CLEAN(Table1[[#This Row],[Updated hourly_rate (USD)]]))</f>
        <v>30</v>
      </c>
      <c r="P480" t="str">
        <f>SUBSTITUTE(SUBSTITUTE(Table1[[#This Row],[Formatted hourly rate]],"USD ",""),"$","")</f>
        <v>30</v>
      </c>
      <c r="Q480">
        <v>0</v>
      </c>
      <c r="R480">
        <f>IF(Table1[[#This Row],[rating]]="",2.6,Table1[[#This Row],[rating]])</f>
        <v>0</v>
      </c>
      <c r="S480" t="s">
        <v>68</v>
      </c>
      <c r="T480" t="str">
        <f>TRIM(CLEAN(Table1[[#This Row],[is_active]]))</f>
        <v>yes</v>
      </c>
      <c r="U48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80" s="11" t="str">
        <f>TRIM(IF(Table1[[#This Row],[is_active3]]="Unknown","TRUE",Table1[[#This Row],[is_active3]]))</f>
        <v>TRUE</v>
      </c>
      <c r="W480">
        <v>0.84</v>
      </c>
      <c r="X480">
        <f>IF(Table1[[#This Row],[client_satisfaction]]&gt;1,Table1[[#This Row],[client_satisfaction]]/100,Table1[[#This Row],[client_satisfaction]])</f>
        <v>0.84</v>
      </c>
      <c r="Y480">
        <f>IF(Table1[[#This Row],[client_satisfaction2]]=0,0.75,Table1[[#This Row],[client_satisfaction2]])</f>
        <v>0.84</v>
      </c>
    </row>
    <row r="481" spans="1:25" x14ac:dyDescent="0.25">
      <c r="A481" t="s">
        <v>1041</v>
      </c>
      <c r="B481" t="s">
        <v>1042</v>
      </c>
      <c r="C481" t="str">
        <f>PROPER(TRIM(SUBSTITUTE(SUBSTITUTE(SUBSTITUTE(Table1[[#This Row],[name]],"Ms. ",""),"Mr. ",""),"Mrs. ","")))</f>
        <v>Patrick Welch</v>
      </c>
      <c r="D481" t="s">
        <v>27</v>
      </c>
      <c r="E4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81">
        <v>48</v>
      </c>
      <c r="G481" t="str">
        <f>TRIM(IF(Table1[[#This Row],[age]]="","Unknown",Table1[[#This Row],[age]]))</f>
        <v>48</v>
      </c>
      <c r="H481" t="s">
        <v>128</v>
      </c>
      <c r="I481" t="s">
        <v>22</v>
      </c>
      <c r="J481" t="s">
        <v>89</v>
      </c>
      <c r="K481">
        <v>21</v>
      </c>
      <c r="L481" s="10" t="str">
        <f>TRIM(IF(Table1[[#This Row],[years_of_experience]]="","Unknown",Table1[[#This Row],[years_of_experience]]))</f>
        <v>21</v>
      </c>
      <c r="M481">
        <v>75</v>
      </c>
      <c r="N481">
        <f>IF(Table1[[#This Row],[hourly_rate (USD)]]="",MEDIAN(Table1[hourly_rate (USD)]),Table1[[#This Row],[hourly_rate (USD)]])</f>
        <v>75</v>
      </c>
      <c r="O481" t="str">
        <f>TRIM(CLEAN(Table1[[#This Row],[Updated hourly_rate (USD)]]))</f>
        <v>75</v>
      </c>
      <c r="P481" t="str">
        <f>SUBSTITUTE(SUBSTITUTE(Table1[[#This Row],[Formatted hourly rate]],"USD ",""),"$","")</f>
        <v>75</v>
      </c>
      <c r="Q481">
        <v>2.7</v>
      </c>
      <c r="R481">
        <f>IF(Table1[[#This Row],[rating]]="",2.6,Table1[[#This Row],[rating]])</f>
        <v>2.7</v>
      </c>
      <c r="S481">
        <v>1</v>
      </c>
      <c r="T481" t="str">
        <f>TRIM(CLEAN(Table1[[#This Row],[is_active]]))</f>
        <v>1</v>
      </c>
      <c r="U48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81" s="11" t="str">
        <f>TRIM(IF(Table1[[#This Row],[is_active3]]="Unknown","TRUE",Table1[[#This Row],[is_active3]]))</f>
        <v>TRUE</v>
      </c>
      <c r="X481">
        <f>IF(Table1[[#This Row],[client_satisfaction]]&gt;1,Table1[[#This Row],[client_satisfaction]]/100,Table1[[#This Row],[client_satisfaction]])</f>
        <v>0</v>
      </c>
      <c r="Y481">
        <f>IF(Table1[[#This Row],[client_satisfaction2]]=0,0.75,Table1[[#This Row],[client_satisfaction2]])</f>
        <v>0.75</v>
      </c>
    </row>
    <row r="482" spans="1:25" x14ac:dyDescent="0.25">
      <c r="A482" t="s">
        <v>1043</v>
      </c>
      <c r="B482" t="s">
        <v>1044</v>
      </c>
      <c r="C482" t="str">
        <f>PROPER(TRIM(SUBSTITUTE(SUBSTITUTE(SUBSTITUTE(Table1[[#This Row],[name]],"Ms. ",""),"Mr. ",""),"Mrs. ","")))</f>
        <v>Craig Levine</v>
      </c>
      <c r="D482" t="s">
        <v>97</v>
      </c>
      <c r="E4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82">
        <v>59</v>
      </c>
      <c r="G482" t="str">
        <f>TRIM(IF(Table1[[#This Row],[age]]="","Unknown",Table1[[#This Row],[age]]))</f>
        <v>59</v>
      </c>
      <c r="H482" t="s">
        <v>135</v>
      </c>
      <c r="I482" t="s">
        <v>136</v>
      </c>
      <c r="J482" t="s">
        <v>78</v>
      </c>
      <c r="K482">
        <v>13</v>
      </c>
      <c r="L482" s="10" t="str">
        <f>TRIM(IF(Table1[[#This Row],[years_of_experience]]="","Unknown",Table1[[#This Row],[years_of_experience]]))</f>
        <v>13</v>
      </c>
      <c r="M482">
        <v>40</v>
      </c>
      <c r="N482">
        <f>IF(Table1[[#This Row],[hourly_rate (USD)]]="",MEDIAN(Table1[hourly_rate (USD)]),Table1[[#This Row],[hourly_rate (USD)]])</f>
        <v>40</v>
      </c>
      <c r="O482" t="str">
        <f>TRIM(CLEAN(Table1[[#This Row],[Updated hourly_rate (USD)]]))</f>
        <v>40</v>
      </c>
      <c r="P482" t="str">
        <f>SUBSTITUTE(SUBSTITUTE(Table1[[#This Row],[Formatted hourly rate]],"USD ",""),"$","")</f>
        <v>40</v>
      </c>
      <c r="Q482">
        <v>2.4</v>
      </c>
      <c r="R482">
        <f>IF(Table1[[#This Row],[rating]]="",2.6,Table1[[#This Row],[rating]])</f>
        <v>2.4</v>
      </c>
      <c r="S482" t="s">
        <v>159</v>
      </c>
      <c r="T482" t="str">
        <f>TRIM(CLEAN(Table1[[#This Row],[is_active]]))</f>
        <v>no</v>
      </c>
      <c r="U48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82" s="11" t="str">
        <f>TRIM(IF(Table1[[#This Row],[is_active3]]="Unknown","TRUE",Table1[[#This Row],[is_active3]]))</f>
        <v>FALSE</v>
      </c>
      <c r="W482">
        <v>65</v>
      </c>
      <c r="X482">
        <f>IF(Table1[[#This Row],[client_satisfaction]]&gt;1,Table1[[#This Row],[client_satisfaction]]/100,Table1[[#This Row],[client_satisfaction]])</f>
        <v>0.65</v>
      </c>
      <c r="Y482">
        <f>IF(Table1[[#This Row],[client_satisfaction2]]=0,0.75,Table1[[#This Row],[client_satisfaction2]])</f>
        <v>0.65</v>
      </c>
    </row>
    <row r="483" spans="1:25" x14ac:dyDescent="0.25">
      <c r="A483" t="s">
        <v>1045</v>
      </c>
      <c r="B483" t="s">
        <v>1046</v>
      </c>
      <c r="C483" t="str">
        <f>PROPER(TRIM(SUBSTITUTE(SUBSTITUTE(SUBSTITUTE(Table1[[#This Row],[name]],"Ms. ",""),"Mr. ",""),"Mrs. ","")))</f>
        <v>Richard Harvey</v>
      </c>
      <c r="D483" t="s">
        <v>61</v>
      </c>
      <c r="E4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483" t="str">
        <f>TRIM(IF(Table1[[#This Row],[age]]="","Unknown",Table1[[#This Row],[age]]))</f>
        <v>Unknown</v>
      </c>
      <c r="H483" t="s">
        <v>67</v>
      </c>
      <c r="I483" t="s">
        <v>22</v>
      </c>
      <c r="J483" t="s">
        <v>35</v>
      </c>
      <c r="L483" s="10" t="str">
        <f>TRIM(IF(Table1[[#This Row],[years_of_experience]]="","Unknown",Table1[[#This Row],[years_of_experience]]))</f>
        <v>Unknown</v>
      </c>
      <c r="M483">
        <v>40</v>
      </c>
      <c r="N483">
        <f>IF(Table1[[#This Row],[hourly_rate (USD)]]="",MEDIAN(Table1[hourly_rate (USD)]),Table1[[#This Row],[hourly_rate (USD)]])</f>
        <v>40</v>
      </c>
      <c r="O483" t="str">
        <f>TRIM(CLEAN(Table1[[#This Row],[Updated hourly_rate (USD)]]))</f>
        <v>40</v>
      </c>
      <c r="P483" t="str">
        <f>SUBSTITUTE(SUBSTITUTE(Table1[[#This Row],[Formatted hourly rate]],"USD ",""),"$","")</f>
        <v>40</v>
      </c>
      <c r="Q483">
        <v>1.9</v>
      </c>
      <c r="R483">
        <f>IF(Table1[[#This Row],[rating]]="",2.6,Table1[[#This Row],[rating]])</f>
        <v>1.9</v>
      </c>
      <c r="S483">
        <v>1</v>
      </c>
      <c r="T483" t="str">
        <f>TRIM(CLEAN(Table1[[#This Row],[is_active]]))</f>
        <v>1</v>
      </c>
      <c r="U4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83" s="11" t="str">
        <f>TRIM(IF(Table1[[#This Row],[is_active3]]="Unknown","TRUE",Table1[[#This Row],[is_active3]]))</f>
        <v>TRUE</v>
      </c>
      <c r="W483">
        <v>0.94</v>
      </c>
      <c r="X483">
        <f>IF(Table1[[#This Row],[client_satisfaction]]&gt;1,Table1[[#This Row],[client_satisfaction]]/100,Table1[[#This Row],[client_satisfaction]])</f>
        <v>0.94</v>
      </c>
      <c r="Y483">
        <f>IF(Table1[[#This Row],[client_satisfaction2]]=0,0.75,Table1[[#This Row],[client_satisfaction2]])</f>
        <v>0.94</v>
      </c>
    </row>
    <row r="484" spans="1:25" x14ac:dyDescent="0.25">
      <c r="A484" t="s">
        <v>1047</v>
      </c>
      <c r="B484" t="s">
        <v>1048</v>
      </c>
      <c r="C484" t="str">
        <f>PROPER(TRIM(SUBSTITUTE(SUBSTITUTE(SUBSTITUTE(Table1[[#This Row],[name]],"Ms. ",""),"Mr. ",""),"Mrs. ","")))</f>
        <v>Bonnie Sherman</v>
      </c>
      <c r="D484" t="s">
        <v>39</v>
      </c>
      <c r="E4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484" t="str">
        <f>TRIM(IF(Table1[[#This Row],[age]]="","Unknown",Table1[[#This Row],[age]]))</f>
        <v>Unknown</v>
      </c>
      <c r="H484" t="s">
        <v>42</v>
      </c>
      <c r="I484" t="s">
        <v>43</v>
      </c>
      <c r="J484" t="s">
        <v>23</v>
      </c>
      <c r="K484">
        <v>11</v>
      </c>
      <c r="L484" s="10" t="str">
        <f>TRIM(IF(Table1[[#This Row],[years_of_experience]]="","Unknown",Table1[[#This Row],[years_of_experience]]))</f>
        <v>11</v>
      </c>
      <c r="M484" t="s">
        <v>121</v>
      </c>
      <c r="N484" t="str">
        <f>IF(Table1[[#This Row],[hourly_rate (USD)]]="",MEDIAN(Table1[hourly_rate (USD)]),Table1[[#This Row],[hourly_rate (USD)]])</f>
        <v>$20</v>
      </c>
      <c r="O484" t="str">
        <f>TRIM(CLEAN(Table1[[#This Row],[Updated hourly_rate (USD)]]))</f>
        <v>$20</v>
      </c>
      <c r="P484" t="str">
        <f>SUBSTITUTE(SUBSTITUTE(Table1[[#This Row],[Formatted hourly rate]],"USD ",""),"$","")</f>
        <v>20</v>
      </c>
      <c r="Q484">
        <v>3.6</v>
      </c>
      <c r="R484">
        <f>IF(Table1[[#This Row],[rating]]="",2.6,Table1[[#This Row],[rating]])</f>
        <v>3.6</v>
      </c>
      <c r="S484" t="s">
        <v>159</v>
      </c>
      <c r="T484" t="str">
        <f>TRIM(CLEAN(Table1[[#This Row],[is_active]]))</f>
        <v>no</v>
      </c>
      <c r="U48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84" s="11" t="str">
        <f>TRIM(IF(Table1[[#This Row],[is_active3]]="Unknown","TRUE",Table1[[#This Row],[is_active3]]))</f>
        <v>FALSE</v>
      </c>
      <c r="W484">
        <v>0.69</v>
      </c>
      <c r="X484">
        <f>IF(Table1[[#This Row],[client_satisfaction]]&gt;1,Table1[[#This Row],[client_satisfaction]]/100,Table1[[#This Row],[client_satisfaction]])</f>
        <v>0.69</v>
      </c>
      <c r="Y484">
        <f>IF(Table1[[#This Row],[client_satisfaction2]]=0,0.75,Table1[[#This Row],[client_satisfaction2]])</f>
        <v>0.69</v>
      </c>
    </row>
    <row r="485" spans="1:25" x14ac:dyDescent="0.25">
      <c r="A485" t="s">
        <v>1049</v>
      </c>
      <c r="B485" t="s">
        <v>1050</v>
      </c>
      <c r="C485" t="str">
        <f>PROPER(TRIM(SUBSTITUTE(SUBSTITUTE(SUBSTITUTE(Table1[[#This Row],[name]],"Ms. ",""),"Mr. ",""),"Mrs. ","")))</f>
        <v>Keith Trujillo</v>
      </c>
      <c r="D485" t="s">
        <v>48</v>
      </c>
      <c r="E4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85">
        <v>25</v>
      </c>
      <c r="G485" t="str">
        <f>TRIM(IF(Table1[[#This Row],[age]]="","Unknown",Table1[[#This Row],[age]]))</f>
        <v>25</v>
      </c>
      <c r="H485" t="s">
        <v>42</v>
      </c>
      <c r="I485" t="s">
        <v>43</v>
      </c>
      <c r="J485" t="s">
        <v>23</v>
      </c>
      <c r="K485">
        <v>0</v>
      </c>
      <c r="L485" s="10" t="str">
        <f>TRIM(IF(Table1[[#This Row],[years_of_experience]]="","Unknown",Table1[[#This Row],[years_of_experience]]))</f>
        <v>0</v>
      </c>
      <c r="M485">
        <v>50</v>
      </c>
      <c r="N485">
        <f>IF(Table1[[#This Row],[hourly_rate (USD)]]="",MEDIAN(Table1[hourly_rate (USD)]),Table1[[#This Row],[hourly_rate (USD)]])</f>
        <v>50</v>
      </c>
      <c r="O485" t="str">
        <f>TRIM(CLEAN(Table1[[#This Row],[Updated hourly_rate (USD)]]))</f>
        <v>50</v>
      </c>
      <c r="P485" t="str">
        <f>SUBSTITUTE(SUBSTITUTE(Table1[[#This Row],[Formatted hourly rate]],"USD ",""),"$","")</f>
        <v>50</v>
      </c>
      <c r="Q485">
        <v>2.9</v>
      </c>
      <c r="R485">
        <f>IF(Table1[[#This Row],[rating]]="",2.6,Table1[[#This Row],[rating]])</f>
        <v>2.9</v>
      </c>
      <c r="S485" t="s">
        <v>68</v>
      </c>
      <c r="T485" t="str">
        <f>TRIM(CLEAN(Table1[[#This Row],[is_active]]))</f>
        <v>yes</v>
      </c>
      <c r="U48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85" s="11" t="str">
        <f>TRIM(IF(Table1[[#This Row],[is_active3]]="Unknown","TRUE",Table1[[#This Row],[is_active3]]))</f>
        <v>TRUE</v>
      </c>
      <c r="W485">
        <v>0.65</v>
      </c>
      <c r="X485">
        <f>IF(Table1[[#This Row],[client_satisfaction]]&gt;1,Table1[[#This Row],[client_satisfaction]]/100,Table1[[#This Row],[client_satisfaction]])</f>
        <v>0.65</v>
      </c>
      <c r="Y485">
        <f>IF(Table1[[#This Row],[client_satisfaction2]]=0,0.75,Table1[[#This Row],[client_satisfaction2]])</f>
        <v>0.65</v>
      </c>
    </row>
    <row r="486" spans="1:25" x14ac:dyDescent="0.25">
      <c r="A486" t="s">
        <v>1051</v>
      </c>
      <c r="B486" t="s">
        <v>1052</v>
      </c>
      <c r="C486" t="str">
        <f>PROPER(TRIM(SUBSTITUTE(SUBSTITUTE(SUBSTITUTE(Table1[[#This Row],[name]],"Ms. ",""),"Mr. ",""),"Mrs. ","")))</f>
        <v>Corey Combs</v>
      </c>
      <c r="D486" t="s">
        <v>27</v>
      </c>
      <c r="E4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86">
        <v>31</v>
      </c>
      <c r="G486" t="str">
        <f>TRIM(IF(Table1[[#This Row],[age]]="","Unknown",Table1[[#This Row],[age]]))</f>
        <v>31</v>
      </c>
      <c r="H486" t="s">
        <v>139</v>
      </c>
      <c r="I486" t="s">
        <v>140</v>
      </c>
      <c r="J486" t="s">
        <v>23</v>
      </c>
      <c r="K486">
        <v>2</v>
      </c>
      <c r="L486" s="10" t="str">
        <f>TRIM(IF(Table1[[#This Row],[years_of_experience]]="","Unknown",Table1[[#This Row],[years_of_experience]]))</f>
        <v>2</v>
      </c>
      <c r="M486" t="s">
        <v>170</v>
      </c>
      <c r="N486" t="str">
        <f>IF(Table1[[#This Row],[hourly_rate (USD)]]="",MEDIAN(Table1[hourly_rate (USD)]),Table1[[#This Row],[hourly_rate (USD)]])</f>
        <v>$75</v>
      </c>
      <c r="O486" t="str">
        <f>TRIM(CLEAN(Table1[[#This Row],[Updated hourly_rate (USD)]]))</f>
        <v>$75</v>
      </c>
      <c r="P486" t="str">
        <f>SUBSTITUTE(SUBSTITUTE(Table1[[#This Row],[Formatted hourly rate]],"USD ",""),"$","")</f>
        <v>75</v>
      </c>
      <c r="Q486">
        <v>2.8</v>
      </c>
      <c r="R486">
        <f>IF(Table1[[#This Row],[rating]]="",2.6,Table1[[#This Row],[rating]])</f>
        <v>2.8</v>
      </c>
      <c r="S486" t="b">
        <v>0</v>
      </c>
      <c r="T486" t="str">
        <f>TRIM(CLEAN(Table1[[#This Row],[is_active]]))</f>
        <v>FALSE</v>
      </c>
      <c r="U48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86" s="11" t="str">
        <f>TRIM(IF(Table1[[#This Row],[is_active3]]="Unknown","TRUE",Table1[[#This Row],[is_active3]]))</f>
        <v>TRUE</v>
      </c>
      <c r="W486">
        <v>0.6</v>
      </c>
      <c r="X486">
        <f>IF(Table1[[#This Row],[client_satisfaction]]&gt;1,Table1[[#This Row],[client_satisfaction]]/100,Table1[[#This Row],[client_satisfaction]])</f>
        <v>0.6</v>
      </c>
      <c r="Y486">
        <f>IF(Table1[[#This Row],[client_satisfaction2]]=0,0.75,Table1[[#This Row],[client_satisfaction2]])</f>
        <v>0.6</v>
      </c>
    </row>
    <row r="487" spans="1:25" x14ac:dyDescent="0.25">
      <c r="A487" t="s">
        <v>1053</v>
      </c>
      <c r="B487" t="s">
        <v>1054</v>
      </c>
      <c r="C487" t="str">
        <f>PROPER(TRIM(SUBSTITUTE(SUBSTITUTE(SUBSTITUTE(Table1[[#This Row],[name]],"Ms. ",""),"Mr. ",""),"Mrs. ","")))</f>
        <v>Antonio King</v>
      </c>
      <c r="D487" t="s">
        <v>61</v>
      </c>
      <c r="E4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87">
        <v>40</v>
      </c>
      <c r="G487" t="str">
        <f>TRIM(IF(Table1[[#This Row],[age]]="","Unknown",Table1[[#This Row],[age]]))</f>
        <v>40</v>
      </c>
      <c r="H487" t="s">
        <v>62</v>
      </c>
      <c r="I487" t="s">
        <v>63</v>
      </c>
      <c r="J487" t="s">
        <v>89</v>
      </c>
      <c r="K487">
        <v>12</v>
      </c>
      <c r="L487" s="10" t="str">
        <f>TRIM(IF(Table1[[#This Row],[years_of_experience]]="","Unknown",Table1[[#This Row],[years_of_experience]]))</f>
        <v>12</v>
      </c>
      <c r="M487">
        <v>75</v>
      </c>
      <c r="N487">
        <f>IF(Table1[[#This Row],[hourly_rate (USD)]]="",MEDIAN(Table1[hourly_rate (USD)]),Table1[[#This Row],[hourly_rate (USD)]])</f>
        <v>75</v>
      </c>
      <c r="O487" t="str">
        <f>TRIM(CLEAN(Table1[[#This Row],[Updated hourly_rate (USD)]]))</f>
        <v>75</v>
      </c>
      <c r="P487" t="str">
        <f>SUBSTITUTE(SUBSTITUTE(Table1[[#This Row],[Formatted hourly rate]],"USD ",""),"$","")</f>
        <v>75</v>
      </c>
      <c r="Q487">
        <v>2.6</v>
      </c>
      <c r="R487">
        <f>IF(Table1[[#This Row],[rating]]="",2.6,Table1[[#This Row],[rating]])</f>
        <v>2.6</v>
      </c>
      <c r="S487" t="b">
        <v>0</v>
      </c>
      <c r="T487" t="str">
        <f>TRIM(CLEAN(Table1[[#This Row],[is_active]]))</f>
        <v>FALSE</v>
      </c>
      <c r="U48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87" s="11" t="str">
        <f>TRIM(IF(Table1[[#This Row],[is_active3]]="Unknown","TRUE",Table1[[#This Row],[is_active3]]))</f>
        <v>TRUE</v>
      </c>
      <c r="X487">
        <f>IF(Table1[[#This Row],[client_satisfaction]]&gt;1,Table1[[#This Row],[client_satisfaction]]/100,Table1[[#This Row],[client_satisfaction]])</f>
        <v>0</v>
      </c>
      <c r="Y487">
        <f>IF(Table1[[#This Row],[client_satisfaction2]]=0,0.75,Table1[[#This Row],[client_satisfaction2]])</f>
        <v>0.75</v>
      </c>
    </row>
    <row r="488" spans="1:25" x14ac:dyDescent="0.25">
      <c r="A488" t="s">
        <v>1055</v>
      </c>
      <c r="B488" t="s">
        <v>675</v>
      </c>
      <c r="C488" t="str">
        <f>PROPER(TRIM(SUBSTITUTE(SUBSTITUTE(SUBSTITUTE(Table1[[#This Row],[name]],"Ms. ",""),"Mr. ",""),"Mrs. ","")))</f>
        <v>Amy Lee</v>
      </c>
      <c r="D488" t="s">
        <v>14</v>
      </c>
      <c r="E4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88">
        <v>48</v>
      </c>
      <c r="G488" t="str">
        <f>TRIM(IF(Table1[[#This Row],[age]]="","Unknown",Table1[[#This Row],[age]]))</f>
        <v>48</v>
      </c>
      <c r="H488" t="s">
        <v>124</v>
      </c>
      <c r="I488" t="s">
        <v>125</v>
      </c>
      <c r="J488" t="s">
        <v>17</v>
      </c>
      <c r="K488">
        <v>13</v>
      </c>
      <c r="L488" s="10" t="str">
        <f>TRIM(IF(Table1[[#This Row],[years_of_experience]]="","Unknown",Table1[[#This Row],[years_of_experience]]))</f>
        <v>13</v>
      </c>
      <c r="M488" t="s">
        <v>229</v>
      </c>
      <c r="N488" t="str">
        <f>IF(Table1[[#This Row],[hourly_rate (USD)]]="",MEDIAN(Table1[hourly_rate (USD)]),Table1[[#This Row],[hourly_rate (USD)]])</f>
        <v>$100</v>
      </c>
      <c r="O488" t="str">
        <f>TRIM(CLEAN(Table1[[#This Row],[Updated hourly_rate (USD)]]))</f>
        <v>$100</v>
      </c>
      <c r="P488" t="str">
        <f>SUBSTITUTE(SUBSTITUTE(Table1[[#This Row],[Formatted hourly rate]],"USD ",""),"$","")</f>
        <v>100</v>
      </c>
      <c r="Q488">
        <v>2.7</v>
      </c>
      <c r="R488">
        <f>IF(Table1[[#This Row],[rating]]="",2.6,Table1[[#This Row],[rating]])</f>
        <v>2.7</v>
      </c>
      <c r="T488" t="str">
        <f>TRIM(CLEAN(Table1[[#This Row],[is_active]]))</f>
        <v/>
      </c>
      <c r="U48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88" s="11" t="str">
        <f>TRIM(IF(Table1[[#This Row],[is_active3]]="Unknown","TRUE",Table1[[#This Row],[is_active3]]))</f>
        <v>TRUE</v>
      </c>
      <c r="W488">
        <v>0.62</v>
      </c>
      <c r="X488">
        <f>IF(Table1[[#This Row],[client_satisfaction]]&gt;1,Table1[[#This Row],[client_satisfaction]]/100,Table1[[#This Row],[client_satisfaction]])</f>
        <v>0.62</v>
      </c>
      <c r="Y488">
        <f>IF(Table1[[#This Row],[client_satisfaction2]]=0,0.75,Table1[[#This Row],[client_satisfaction2]])</f>
        <v>0.62</v>
      </c>
    </row>
    <row r="489" spans="1:25" x14ac:dyDescent="0.25">
      <c r="A489" t="s">
        <v>1056</v>
      </c>
      <c r="B489" t="s">
        <v>1057</v>
      </c>
      <c r="C489" t="str">
        <f>PROPER(TRIM(SUBSTITUTE(SUBSTITUTE(SUBSTITUTE(Table1[[#This Row],[name]],"Ms. ",""),"Mr. ",""),"Mrs. ","")))</f>
        <v>Jennifer Rogers</v>
      </c>
      <c r="D489" t="s">
        <v>14</v>
      </c>
      <c r="E4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89">
        <v>24</v>
      </c>
      <c r="G489" t="str">
        <f>TRIM(IF(Table1[[#This Row],[age]]="","Unknown",Table1[[#This Row],[age]]))</f>
        <v>24</v>
      </c>
      <c r="H489" t="s">
        <v>153</v>
      </c>
      <c r="I489" t="s">
        <v>154</v>
      </c>
      <c r="J489" t="s">
        <v>23</v>
      </c>
      <c r="K489">
        <v>6</v>
      </c>
      <c r="L489" s="10" t="str">
        <f>TRIM(IF(Table1[[#This Row],[years_of_experience]]="","Unknown",Table1[[#This Row],[years_of_experience]]))</f>
        <v>6</v>
      </c>
      <c r="M489">
        <v>30</v>
      </c>
      <c r="N489">
        <f>IF(Table1[[#This Row],[hourly_rate (USD)]]="",MEDIAN(Table1[hourly_rate (USD)]),Table1[[#This Row],[hourly_rate (USD)]])</f>
        <v>30</v>
      </c>
      <c r="O489" t="str">
        <f>TRIM(CLEAN(Table1[[#This Row],[Updated hourly_rate (USD)]]))</f>
        <v>30</v>
      </c>
      <c r="P489" t="str">
        <f>SUBSTITUTE(SUBSTITUTE(Table1[[#This Row],[Formatted hourly rate]],"USD ",""),"$","")</f>
        <v>30</v>
      </c>
      <c r="Q489">
        <v>1.1000000000000001</v>
      </c>
      <c r="R489">
        <f>IF(Table1[[#This Row],[rating]]="",2.6,Table1[[#This Row],[rating]])</f>
        <v>1.1000000000000001</v>
      </c>
      <c r="S489" t="s">
        <v>68</v>
      </c>
      <c r="T489" t="str">
        <f>TRIM(CLEAN(Table1[[#This Row],[is_active]]))</f>
        <v>yes</v>
      </c>
      <c r="U48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89" s="11" t="str">
        <f>TRIM(IF(Table1[[#This Row],[is_active3]]="Unknown","TRUE",Table1[[#This Row],[is_active3]]))</f>
        <v>TRUE</v>
      </c>
      <c r="X489">
        <f>IF(Table1[[#This Row],[client_satisfaction]]&gt;1,Table1[[#This Row],[client_satisfaction]]/100,Table1[[#This Row],[client_satisfaction]])</f>
        <v>0</v>
      </c>
      <c r="Y489">
        <f>IF(Table1[[#This Row],[client_satisfaction2]]=0,0.75,Table1[[#This Row],[client_satisfaction2]])</f>
        <v>0.75</v>
      </c>
    </row>
    <row r="490" spans="1:25" x14ac:dyDescent="0.25">
      <c r="A490" t="s">
        <v>1058</v>
      </c>
      <c r="B490" t="s">
        <v>1059</v>
      </c>
      <c r="C490" t="str">
        <f>PROPER(TRIM(SUBSTITUTE(SUBSTITUTE(SUBSTITUTE(Table1[[#This Row],[name]],"Ms. ",""),"Mr. ",""),"Mrs. ","")))</f>
        <v>Jeffrey Cooper</v>
      </c>
      <c r="D490" t="s">
        <v>61</v>
      </c>
      <c r="E4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90">
        <v>33</v>
      </c>
      <c r="G490" t="str">
        <f>TRIM(IF(Table1[[#This Row],[age]]="","Unknown",Table1[[#This Row],[age]]))</f>
        <v>33</v>
      </c>
      <c r="H490" t="s">
        <v>49</v>
      </c>
      <c r="I490" t="s">
        <v>50</v>
      </c>
      <c r="J490" t="s">
        <v>35</v>
      </c>
      <c r="K490">
        <v>10</v>
      </c>
      <c r="L490" s="10" t="str">
        <f>TRIM(IF(Table1[[#This Row],[years_of_experience]]="","Unknown",Table1[[#This Row],[years_of_experience]]))</f>
        <v>10</v>
      </c>
      <c r="M490" t="s">
        <v>109</v>
      </c>
      <c r="N490" t="str">
        <f>IF(Table1[[#This Row],[hourly_rate (USD)]]="",MEDIAN(Table1[hourly_rate (USD)]),Table1[[#This Row],[hourly_rate (USD)]])</f>
        <v>USD 30</v>
      </c>
      <c r="O490" t="str">
        <f>TRIM(CLEAN(Table1[[#This Row],[Updated hourly_rate (USD)]]))</f>
        <v>USD 30</v>
      </c>
      <c r="P490" t="str">
        <f>SUBSTITUTE(SUBSTITUTE(Table1[[#This Row],[Formatted hourly rate]],"USD ",""),"$","")</f>
        <v>30</v>
      </c>
      <c r="Q490">
        <v>0</v>
      </c>
      <c r="R490">
        <f>IF(Table1[[#This Row],[rating]]="",2.6,Table1[[#This Row],[rating]])</f>
        <v>0</v>
      </c>
      <c r="S490" t="s">
        <v>68</v>
      </c>
      <c r="T490" t="str">
        <f>TRIM(CLEAN(Table1[[#This Row],[is_active]]))</f>
        <v>yes</v>
      </c>
      <c r="U49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90" s="11" t="str">
        <f>TRIM(IF(Table1[[#This Row],[is_active3]]="Unknown","TRUE",Table1[[#This Row],[is_active3]]))</f>
        <v>TRUE</v>
      </c>
      <c r="W490">
        <v>0.89</v>
      </c>
      <c r="X490">
        <f>IF(Table1[[#This Row],[client_satisfaction]]&gt;1,Table1[[#This Row],[client_satisfaction]]/100,Table1[[#This Row],[client_satisfaction]])</f>
        <v>0.89</v>
      </c>
      <c r="Y490">
        <f>IF(Table1[[#This Row],[client_satisfaction2]]=0,0.75,Table1[[#This Row],[client_satisfaction2]])</f>
        <v>0.89</v>
      </c>
    </row>
    <row r="491" spans="1:25" x14ac:dyDescent="0.25">
      <c r="A491" t="s">
        <v>1060</v>
      </c>
      <c r="B491" t="s">
        <v>1061</v>
      </c>
      <c r="C491" t="str">
        <f>PROPER(TRIM(SUBSTITUTE(SUBSTITUTE(SUBSTITUTE(Table1[[#This Row],[name]],"Ms. ",""),"Mr. ",""),"Mrs. ","")))</f>
        <v>Allison Williams</v>
      </c>
      <c r="D491" t="s">
        <v>77</v>
      </c>
      <c r="E4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91">
        <v>43</v>
      </c>
      <c r="G491" t="str">
        <f>TRIM(IF(Table1[[#This Row],[age]]="","Unknown",Table1[[#This Row],[age]]))</f>
        <v>43</v>
      </c>
      <c r="H491" t="s">
        <v>107</v>
      </c>
      <c r="I491" t="s">
        <v>108</v>
      </c>
      <c r="J491" t="s">
        <v>73</v>
      </c>
      <c r="K491">
        <v>2</v>
      </c>
      <c r="L491" s="10" t="str">
        <f>TRIM(IF(Table1[[#This Row],[years_of_experience]]="","Unknown",Table1[[#This Row],[years_of_experience]]))</f>
        <v>2</v>
      </c>
      <c r="M491" t="s">
        <v>36</v>
      </c>
      <c r="N491" t="str">
        <f>IF(Table1[[#This Row],[hourly_rate (USD)]]="",MEDIAN(Table1[hourly_rate (USD)]),Table1[[#This Row],[hourly_rate (USD)]])</f>
        <v>$40</v>
      </c>
      <c r="O491" t="str">
        <f>TRIM(CLEAN(Table1[[#This Row],[Updated hourly_rate (USD)]]))</f>
        <v>$40</v>
      </c>
      <c r="P491" t="str">
        <f>SUBSTITUTE(SUBSTITUTE(Table1[[#This Row],[Formatted hourly rate]],"USD ",""),"$","")</f>
        <v>40</v>
      </c>
      <c r="Q491">
        <v>0</v>
      </c>
      <c r="R491">
        <f>IF(Table1[[#This Row],[rating]]="",2.6,Table1[[#This Row],[rating]])</f>
        <v>0</v>
      </c>
      <c r="S491" t="s">
        <v>68</v>
      </c>
      <c r="T491" t="str">
        <f>TRIM(CLEAN(Table1[[#This Row],[is_active]]))</f>
        <v>yes</v>
      </c>
      <c r="U49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91" s="11" t="str">
        <f>TRIM(IF(Table1[[#This Row],[is_active3]]="Unknown","TRUE",Table1[[#This Row],[is_active3]]))</f>
        <v>TRUE</v>
      </c>
      <c r="W491">
        <v>0.89</v>
      </c>
      <c r="X491">
        <f>IF(Table1[[#This Row],[client_satisfaction]]&gt;1,Table1[[#This Row],[client_satisfaction]]/100,Table1[[#This Row],[client_satisfaction]])</f>
        <v>0.89</v>
      </c>
      <c r="Y491">
        <f>IF(Table1[[#This Row],[client_satisfaction2]]=0,0.75,Table1[[#This Row],[client_satisfaction2]])</f>
        <v>0.89</v>
      </c>
    </row>
    <row r="492" spans="1:25" x14ac:dyDescent="0.25">
      <c r="A492" t="s">
        <v>1062</v>
      </c>
      <c r="B492" t="s">
        <v>1063</v>
      </c>
      <c r="C492" t="str">
        <f>PROPER(TRIM(SUBSTITUTE(SUBSTITUTE(SUBSTITUTE(Table1[[#This Row],[name]],"Ms. ",""),"Mr. ",""),"Mrs. ","")))</f>
        <v>Raymond Sherman</v>
      </c>
      <c r="D492" t="s">
        <v>92</v>
      </c>
      <c r="E4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92">
        <v>43</v>
      </c>
      <c r="G492" t="str">
        <f>TRIM(IF(Table1[[#This Row],[age]]="","Unknown",Table1[[#This Row],[age]]))</f>
        <v>43</v>
      </c>
      <c r="H492" t="s">
        <v>190</v>
      </c>
      <c r="I492" t="s">
        <v>72</v>
      </c>
      <c r="J492" t="s">
        <v>17</v>
      </c>
      <c r="K492">
        <v>4</v>
      </c>
      <c r="L492" s="10" t="str">
        <f>TRIM(IF(Table1[[#This Row],[years_of_experience]]="","Unknown",Table1[[#This Row],[years_of_experience]]))</f>
        <v>4</v>
      </c>
      <c r="M492">
        <v>50</v>
      </c>
      <c r="N492">
        <f>IF(Table1[[#This Row],[hourly_rate (USD)]]="",MEDIAN(Table1[hourly_rate (USD)]),Table1[[#This Row],[hourly_rate (USD)]])</f>
        <v>50</v>
      </c>
      <c r="O492" t="str">
        <f>TRIM(CLEAN(Table1[[#This Row],[Updated hourly_rate (USD)]]))</f>
        <v>50</v>
      </c>
      <c r="P492" t="str">
        <f>SUBSTITUTE(SUBSTITUTE(Table1[[#This Row],[Formatted hourly rate]],"USD ",""),"$","")</f>
        <v>50</v>
      </c>
      <c r="Q492">
        <v>0</v>
      </c>
      <c r="R492">
        <f>IF(Table1[[#This Row],[rating]]="",2.6,Table1[[#This Row],[rating]])</f>
        <v>0</v>
      </c>
      <c r="S492" t="b">
        <v>1</v>
      </c>
      <c r="T492" t="str">
        <f>TRIM(CLEAN(Table1[[#This Row],[is_active]]))</f>
        <v>TRUE</v>
      </c>
      <c r="U49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92" s="11" t="str">
        <f>TRIM(IF(Table1[[#This Row],[is_active3]]="Unknown","TRUE",Table1[[#This Row],[is_active3]]))</f>
        <v>TRUE</v>
      </c>
      <c r="W492">
        <v>1</v>
      </c>
      <c r="X492">
        <f>IF(Table1[[#This Row],[client_satisfaction]]&gt;1,Table1[[#This Row],[client_satisfaction]]/100,Table1[[#This Row],[client_satisfaction]])</f>
        <v>1</v>
      </c>
      <c r="Y492">
        <f>IF(Table1[[#This Row],[client_satisfaction2]]=0,0.75,Table1[[#This Row],[client_satisfaction2]])</f>
        <v>1</v>
      </c>
    </row>
    <row r="493" spans="1:25" x14ac:dyDescent="0.25">
      <c r="A493" t="s">
        <v>1064</v>
      </c>
      <c r="B493" t="s">
        <v>1065</v>
      </c>
      <c r="C493" t="str">
        <f>PROPER(TRIM(SUBSTITUTE(SUBSTITUTE(SUBSTITUTE(Table1[[#This Row],[name]],"Ms. ",""),"Mr. ",""),"Mrs. ","")))</f>
        <v>Jennifer Nelson</v>
      </c>
      <c r="D493" t="s">
        <v>20</v>
      </c>
      <c r="E4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93">
        <v>33</v>
      </c>
      <c r="G493" t="str">
        <f>TRIM(IF(Table1[[#This Row],[age]]="","Unknown",Table1[[#This Row],[age]]))</f>
        <v>33</v>
      </c>
      <c r="H493" t="s">
        <v>21</v>
      </c>
      <c r="I493" t="s">
        <v>22</v>
      </c>
      <c r="J493" t="s">
        <v>35</v>
      </c>
      <c r="K493">
        <v>11</v>
      </c>
      <c r="L493" s="10" t="str">
        <f>TRIM(IF(Table1[[#This Row],[years_of_experience]]="","Unknown",Table1[[#This Row],[years_of_experience]]))</f>
        <v>11</v>
      </c>
      <c r="N493">
        <f>IF(Table1[[#This Row],[hourly_rate (USD)]]="",MEDIAN(Table1[hourly_rate (USD)]),Table1[[#This Row],[hourly_rate (USD)]])</f>
        <v>50</v>
      </c>
      <c r="O493" t="str">
        <f>TRIM(CLEAN(Table1[[#This Row],[Updated hourly_rate (USD)]]))</f>
        <v>50</v>
      </c>
      <c r="P493" t="str">
        <f>SUBSTITUTE(SUBSTITUTE(Table1[[#This Row],[Formatted hourly rate]],"USD ",""),"$","")</f>
        <v>50</v>
      </c>
      <c r="Q493">
        <v>4.5999999999999996</v>
      </c>
      <c r="R493">
        <f>IF(Table1[[#This Row],[rating]]="",2.6,Table1[[#This Row],[rating]])</f>
        <v>4.5999999999999996</v>
      </c>
      <c r="S493" t="s">
        <v>68</v>
      </c>
      <c r="T493" t="str">
        <f>TRIM(CLEAN(Table1[[#This Row],[is_active]]))</f>
        <v>yes</v>
      </c>
      <c r="U4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93" s="11" t="str">
        <f>TRIM(IF(Table1[[#This Row],[is_active3]]="Unknown","TRUE",Table1[[#This Row],[is_active3]]))</f>
        <v>TRUE</v>
      </c>
      <c r="X493">
        <f>IF(Table1[[#This Row],[client_satisfaction]]&gt;1,Table1[[#This Row],[client_satisfaction]]/100,Table1[[#This Row],[client_satisfaction]])</f>
        <v>0</v>
      </c>
      <c r="Y493">
        <f>IF(Table1[[#This Row],[client_satisfaction2]]=0,0.75,Table1[[#This Row],[client_satisfaction2]])</f>
        <v>0.75</v>
      </c>
    </row>
    <row r="494" spans="1:25" x14ac:dyDescent="0.25">
      <c r="A494" t="s">
        <v>1066</v>
      </c>
      <c r="B494" t="s">
        <v>1067</v>
      </c>
      <c r="C494" t="str">
        <f>PROPER(TRIM(SUBSTITUTE(SUBSTITUTE(SUBSTITUTE(Table1[[#This Row],[name]],"Ms. ",""),"Mr. ",""),"Mrs. ","")))</f>
        <v>Jennifer Carter</v>
      </c>
      <c r="D494" t="s">
        <v>20</v>
      </c>
      <c r="E4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94">
        <v>49</v>
      </c>
      <c r="G494" t="str">
        <f>TRIM(IF(Table1[[#This Row],[age]]="","Unknown",Table1[[#This Row],[age]]))</f>
        <v>49</v>
      </c>
      <c r="H494" t="s">
        <v>124</v>
      </c>
      <c r="I494" t="s">
        <v>125</v>
      </c>
      <c r="J494" t="s">
        <v>73</v>
      </c>
      <c r="K494">
        <v>14</v>
      </c>
      <c r="L494" s="10" t="str">
        <f>TRIM(IF(Table1[[#This Row],[years_of_experience]]="","Unknown",Table1[[#This Row],[years_of_experience]]))</f>
        <v>14</v>
      </c>
      <c r="M494">
        <v>40</v>
      </c>
      <c r="N494">
        <f>IF(Table1[[#This Row],[hourly_rate (USD)]]="",MEDIAN(Table1[hourly_rate (USD)]),Table1[[#This Row],[hourly_rate (USD)]])</f>
        <v>40</v>
      </c>
      <c r="O494" t="str">
        <f>TRIM(CLEAN(Table1[[#This Row],[Updated hourly_rate (USD)]]))</f>
        <v>40</v>
      </c>
      <c r="P494" t="str">
        <f>SUBSTITUTE(SUBSTITUTE(Table1[[#This Row],[Formatted hourly rate]],"USD ",""),"$","")</f>
        <v>40</v>
      </c>
      <c r="Q494">
        <v>1.5</v>
      </c>
      <c r="R494">
        <f>IF(Table1[[#This Row],[rating]]="",2.6,Table1[[#This Row],[rating]])</f>
        <v>1.5</v>
      </c>
      <c r="T494" t="str">
        <f>TRIM(CLEAN(Table1[[#This Row],[is_active]]))</f>
        <v/>
      </c>
      <c r="U49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94" s="11" t="str">
        <f>TRIM(IF(Table1[[#This Row],[is_active3]]="Unknown","TRUE",Table1[[#This Row],[is_active3]]))</f>
        <v>TRUE</v>
      </c>
      <c r="W494">
        <v>0.6</v>
      </c>
      <c r="X494">
        <f>IF(Table1[[#This Row],[client_satisfaction]]&gt;1,Table1[[#This Row],[client_satisfaction]]/100,Table1[[#This Row],[client_satisfaction]])</f>
        <v>0.6</v>
      </c>
      <c r="Y494">
        <f>IF(Table1[[#This Row],[client_satisfaction2]]=0,0.75,Table1[[#This Row],[client_satisfaction2]])</f>
        <v>0.6</v>
      </c>
    </row>
    <row r="495" spans="1:25" x14ac:dyDescent="0.25">
      <c r="A495" t="s">
        <v>1068</v>
      </c>
      <c r="B495" t="s">
        <v>1069</v>
      </c>
      <c r="C495" t="str">
        <f>PROPER(TRIM(SUBSTITUTE(SUBSTITUTE(SUBSTITUTE(Table1[[#This Row],[name]],"Ms. ",""),"Mr. ",""),"Mrs. ","")))</f>
        <v>Todd Williams</v>
      </c>
      <c r="D495" t="s">
        <v>48</v>
      </c>
      <c r="E4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95">
        <v>55</v>
      </c>
      <c r="G495" t="str">
        <f>TRIM(IF(Table1[[#This Row],[age]]="","Unknown",Table1[[#This Row],[age]]))</f>
        <v>55</v>
      </c>
      <c r="H495" t="s">
        <v>128</v>
      </c>
      <c r="I495" t="s">
        <v>22</v>
      </c>
      <c r="J495" t="s">
        <v>73</v>
      </c>
      <c r="K495">
        <v>10</v>
      </c>
      <c r="L495" s="10" t="str">
        <f>TRIM(IF(Table1[[#This Row],[years_of_experience]]="","Unknown",Table1[[#This Row],[years_of_experience]]))</f>
        <v>10</v>
      </c>
      <c r="M495">
        <v>40</v>
      </c>
      <c r="N495">
        <f>IF(Table1[[#This Row],[hourly_rate (USD)]]="",MEDIAN(Table1[hourly_rate (USD)]),Table1[[#This Row],[hourly_rate (USD)]])</f>
        <v>40</v>
      </c>
      <c r="O495" t="str">
        <f>TRIM(CLEAN(Table1[[#This Row],[Updated hourly_rate (USD)]]))</f>
        <v>40</v>
      </c>
      <c r="P495" t="str">
        <f>SUBSTITUTE(SUBSTITUTE(Table1[[#This Row],[Formatted hourly rate]],"USD ",""),"$","")</f>
        <v>40</v>
      </c>
      <c r="Q495">
        <v>2</v>
      </c>
      <c r="R495">
        <f>IF(Table1[[#This Row],[rating]]="",2.6,Table1[[#This Row],[rating]])</f>
        <v>2</v>
      </c>
      <c r="S495" t="s">
        <v>159</v>
      </c>
      <c r="T495" t="str">
        <f>TRIM(CLEAN(Table1[[#This Row],[is_active]]))</f>
        <v>no</v>
      </c>
      <c r="U49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95" s="11" t="str">
        <f>TRIM(IF(Table1[[#This Row],[is_active3]]="Unknown","TRUE",Table1[[#This Row],[is_active3]]))</f>
        <v>FALSE</v>
      </c>
      <c r="W495">
        <v>0.85</v>
      </c>
      <c r="X495">
        <f>IF(Table1[[#This Row],[client_satisfaction]]&gt;1,Table1[[#This Row],[client_satisfaction]]/100,Table1[[#This Row],[client_satisfaction]])</f>
        <v>0.85</v>
      </c>
      <c r="Y495">
        <f>IF(Table1[[#This Row],[client_satisfaction2]]=0,0.75,Table1[[#This Row],[client_satisfaction2]])</f>
        <v>0.85</v>
      </c>
    </row>
    <row r="496" spans="1:25" x14ac:dyDescent="0.25">
      <c r="A496" t="s">
        <v>1070</v>
      </c>
      <c r="B496" t="s">
        <v>1071</v>
      </c>
      <c r="C496" t="str">
        <f>PROPER(TRIM(SUBSTITUTE(SUBSTITUTE(SUBSTITUTE(Table1[[#This Row],[name]],"Ms. ",""),"Mr. ",""),"Mrs. ","")))</f>
        <v>Emily Horton</v>
      </c>
      <c r="D496" t="s">
        <v>34</v>
      </c>
      <c r="E4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496">
        <v>33</v>
      </c>
      <c r="G496" t="str">
        <f>TRIM(IF(Table1[[#This Row],[age]]="","Unknown",Table1[[#This Row],[age]]))</f>
        <v>33</v>
      </c>
      <c r="H496" t="s">
        <v>112</v>
      </c>
      <c r="I496" t="s">
        <v>113</v>
      </c>
      <c r="J496" t="s">
        <v>30</v>
      </c>
      <c r="K496">
        <v>3</v>
      </c>
      <c r="L496" s="10" t="str">
        <f>TRIM(IF(Table1[[#This Row],[years_of_experience]]="","Unknown",Table1[[#This Row],[years_of_experience]]))</f>
        <v>3</v>
      </c>
      <c r="M496" t="s">
        <v>36</v>
      </c>
      <c r="N496" t="str">
        <f>IF(Table1[[#This Row],[hourly_rate (USD)]]="",MEDIAN(Table1[hourly_rate (USD)]),Table1[[#This Row],[hourly_rate (USD)]])</f>
        <v>$40</v>
      </c>
      <c r="O496" t="str">
        <f>TRIM(CLEAN(Table1[[#This Row],[Updated hourly_rate (USD)]]))</f>
        <v>$40</v>
      </c>
      <c r="P496" t="str">
        <f>SUBSTITUTE(SUBSTITUTE(Table1[[#This Row],[Formatted hourly rate]],"USD ",""),"$","")</f>
        <v>40</v>
      </c>
      <c r="Q496">
        <v>1.6</v>
      </c>
      <c r="R496">
        <f>IF(Table1[[#This Row],[rating]]="",2.6,Table1[[#This Row],[rating]])</f>
        <v>1.6</v>
      </c>
      <c r="T496" t="str">
        <f>TRIM(CLEAN(Table1[[#This Row],[is_active]]))</f>
        <v/>
      </c>
      <c r="U49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496" s="11" t="str">
        <f>TRIM(IF(Table1[[#This Row],[is_active3]]="Unknown","TRUE",Table1[[#This Row],[is_active3]]))</f>
        <v>TRUE</v>
      </c>
      <c r="W496">
        <v>0.83</v>
      </c>
      <c r="X496">
        <f>IF(Table1[[#This Row],[client_satisfaction]]&gt;1,Table1[[#This Row],[client_satisfaction]]/100,Table1[[#This Row],[client_satisfaction]])</f>
        <v>0.83</v>
      </c>
      <c r="Y496">
        <f>IF(Table1[[#This Row],[client_satisfaction2]]=0,0.75,Table1[[#This Row],[client_satisfaction2]])</f>
        <v>0.83</v>
      </c>
    </row>
    <row r="497" spans="1:25" x14ac:dyDescent="0.25">
      <c r="A497" t="s">
        <v>1072</v>
      </c>
      <c r="B497" t="s">
        <v>1073</v>
      </c>
      <c r="C497" t="str">
        <f>PROPER(TRIM(SUBSTITUTE(SUBSTITUTE(SUBSTITUTE(Table1[[#This Row],[name]],"Ms. ",""),"Mr. ",""),"Mrs. ","")))</f>
        <v>Lance Lester</v>
      </c>
      <c r="D497" t="s">
        <v>97</v>
      </c>
      <c r="E4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97">
        <v>32</v>
      </c>
      <c r="G497" t="str">
        <f>TRIM(IF(Table1[[#This Row],[age]]="","Unknown",Table1[[#This Row],[age]]))</f>
        <v>32</v>
      </c>
      <c r="H497" t="s">
        <v>71</v>
      </c>
      <c r="I497" t="s">
        <v>72</v>
      </c>
      <c r="J497" t="s">
        <v>44</v>
      </c>
      <c r="K497">
        <v>3</v>
      </c>
      <c r="L497" s="10" t="str">
        <f>TRIM(IF(Table1[[#This Row],[years_of_experience]]="","Unknown",Table1[[#This Row],[years_of_experience]]))</f>
        <v>3</v>
      </c>
      <c r="M497" t="s">
        <v>45</v>
      </c>
      <c r="N497" t="str">
        <f>IF(Table1[[#This Row],[hourly_rate (USD)]]="",MEDIAN(Table1[hourly_rate (USD)]),Table1[[#This Row],[hourly_rate (USD)]])</f>
        <v>$30</v>
      </c>
      <c r="O497" t="str">
        <f>TRIM(CLEAN(Table1[[#This Row],[Updated hourly_rate (USD)]]))</f>
        <v>$30</v>
      </c>
      <c r="P497" t="str">
        <f>SUBSTITUTE(SUBSTITUTE(Table1[[#This Row],[Formatted hourly rate]],"USD ",""),"$","")</f>
        <v>30</v>
      </c>
      <c r="Q497">
        <v>1.5</v>
      </c>
      <c r="R497">
        <f>IF(Table1[[#This Row],[rating]]="",2.6,Table1[[#This Row],[rating]])</f>
        <v>1.5</v>
      </c>
      <c r="S497" t="s">
        <v>31</v>
      </c>
      <c r="T497" t="str">
        <f>TRIM(CLEAN(Table1[[#This Row],[is_active]]))</f>
        <v>N</v>
      </c>
      <c r="U49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97" s="11" t="str">
        <f>TRIM(IF(Table1[[#This Row],[is_active3]]="Unknown","TRUE",Table1[[#This Row],[is_active3]]))</f>
        <v>FALSE</v>
      </c>
      <c r="W497">
        <v>0.96</v>
      </c>
      <c r="X497">
        <f>IF(Table1[[#This Row],[client_satisfaction]]&gt;1,Table1[[#This Row],[client_satisfaction]]/100,Table1[[#This Row],[client_satisfaction]])</f>
        <v>0.96</v>
      </c>
      <c r="Y497">
        <f>IF(Table1[[#This Row],[client_satisfaction2]]=0,0.75,Table1[[#This Row],[client_satisfaction2]])</f>
        <v>0.96</v>
      </c>
    </row>
    <row r="498" spans="1:25" x14ac:dyDescent="0.25">
      <c r="A498" t="s">
        <v>1074</v>
      </c>
      <c r="B498" t="s">
        <v>1075</v>
      </c>
      <c r="C498" t="str">
        <f>PROPER(TRIM(SUBSTITUTE(SUBSTITUTE(SUBSTITUTE(Table1[[#This Row],[name]],"Ms. ",""),"Mr. ",""),"Mrs. ","")))</f>
        <v>Kevin Flores</v>
      </c>
      <c r="D498" t="s">
        <v>48</v>
      </c>
      <c r="E4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98">
        <v>58</v>
      </c>
      <c r="G498" t="str">
        <f>TRIM(IF(Table1[[#This Row],[age]]="","Unknown",Table1[[#This Row],[age]]))</f>
        <v>58</v>
      </c>
      <c r="H498" t="s">
        <v>42</v>
      </c>
      <c r="I498" t="s">
        <v>43</v>
      </c>
      <c r="J498" t="s">
        <v>17</v>
      </c>
      <c r="K498">
        <v>33</v>
      </c>
      <c r="L498" s="10" t="str">
        <f>TRIM(IF(Table1[[#This Row],[years_of_experience]]="","Unknown",Table1[[#This Row],[years_of_experience]]))</f>
        <v>33</v>
      </c>
      <c r="N498">
        <f>IF(Table1[[#This Row],[hourly_rate (USD)]]="",MEDIAN(Table1[hourly_rate (USD)]),Table1[[#This Row],[hourly_rate (USD)]])</f>
        <v>50</v>
      </c>
      <c r="O498" t="str">
        <f>TRIM(CLEAN(Table1[[#This Row],[Updated hourly_rate (USD)]]))</f>
        <v>50</v>
      </c>
      <c r="P498" t="str">
        <f>SUBSTITUTE(SUBSTITUTE(Table1[[#This Row],[Formatted hourly rate]],"USD ",""),"$","")</f>
        <v>50</v>
      </c>
      <c r="Q498">
        <v>4.0999999999999996</v>
      </c>
      <c r="R498">
        <f>IF(Table1[[#This Row],[rating]]="",2.6,Table1[[#This Row],[rating]])</f>
        <v>4.0999999999999996</v>
      </c>
      <c r="S498" t="s">
        <v>74</v>
      </c>
      <c r="T498" t="str">
        <f>TRIM(CLEAN(Table1[[#This Row],[is_active]]))</f>
        <v>Y</v>
      </c>
      <c r="U49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498" s="11" t="str">
        <f>TRIM(IF(Table1[[#This Row],[is_active3]]="Unknown","TRUE",Table1[[#This Row],[is_active3]]))</f>
        <v>TRUE</v>
      </c>
      <c r="W498">
        <v>0.83</v>
      </c>
      <c r="X498">
        <f>IF(Table1[[#This Row],[client_satisfaction]]&gt;1,Table1[[#This Row],[client_satisfaction]]/100,Table1[[#This Row],[client_satisfaction]])</f>
        <v>0.83</v>
      </c>
      <c r="Y498">
        <f>IF(Table1[[#This Row],[client_satisfaction2]]=0,0.75,Table1[[#This Row],[client_satisfaction2]])</f>
        <v>0.83</v>
      </c>
    </row>
    <row r="499" spans="1:25" x14ac:dyDescent="0.25">
      <c r="A499" t="s">
        <v>1076</v>
      </c>
      <c r="B499" t="s">
        <v>1077</v>
      </c>
      <c r="C499" t="str">
        <f>PROPER(TRIM(SUBSTITUTE(SUBSTITUTE(SUBSTITUTE(Table1[[#This Row],[name]],"Ms. ",""),"Mr. ",""),"Mrs. ","")))</f>
        <v>Aaron Stewart Phd</v>
      </c>
      <c r="D499" t="s">
        <v>27</v>
      </c>
      <c r="E4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499">
        <v>49</v>
      </c>
      <c r="G499" t="str">
        <f>TRIM(IF(Table1[[#This Row],[age]]="","Unknown",Table1[[#This Row],[age]]))</f>
        <v>49</v>
      </c>
      <c r="H499" t="s">
        <v>49</v>
      </c>
      <c r="I499" t="s">
        <v>50</v>
      </c>
      <c r="J499" t="s">
        <v>51</v>
      </c>
      <c r="K499">
        <v>24</v>
      </c>
      <c r="L499" s="10" t="str">
        <f>TRIM(IF(Table1[[#This Row],[years_of_experience]]="","Unknown",Table1[[#This Row],[years_of_experience]]))</f>
        <v>24</v>
      </c>
      <c r="M499">
        <v>100</v>
      </c>
      <c r="N499">
        <f>IF(Table1[[#This Row],[hourly_rate (USD)]]="",MEDIAN(Table1[hourly_rate (USD)]),Table1[[#This Row],[hourly_rate (USD)]])</f>
        <v>100</v>
      </c>
      <c r="O499" t="str">
        <f>TRIM(CLEAN(Table1[[#This Row],[Updated hourly_rate (USD)]]))</f>
        <v>100</v>
      </c>
      <c r="P499" t="str">
        <f>SUBSTITUTE(SUBSTITUTE(Table1[[#This Row],[Formatted hourly rate]],"USD ",""),"$","")</f>
        <v>100</v>
      </c>
      <c r="Q499">
        <v>4.7</v>
      </c>
      <c r="R499">
        <f>IF(Table1[[#This Row],[rating]]="",2.6,Table1[[#This Row],[rating]])</f>
        <v>4.7</v>
      </c>
      <c r="S499">
        <v>0</v>
      </c>
      <c r="T499" t="str">
        <f>TRIM(CLEAN(Table1[[#This Row],[is_active]]))</f>
        <v>0</v>
      </c>
      <c r="U49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499" s="11" t="str">
        <f>TRIM(IF(Table1[[#This Row],[is_active3]]="Unknown","TRUE",Table1[[#This Row],[is_active3]]))</f>
        <v>FALSE</v>
      </c>
      <c r="W499">
        <v>0.6</v>
      </c>
      <c r="X499">
        <f>IF(Table1[[#This Row],[client_satisfaction]]&gt;1,Table1[[#This Row],[client_satisfaction]]/100,Table1[[#This Row],[client_satisfaction]])</f>
        <v>0.6</v>
      </c>
      <c r="Y499">
        <f>IF(Table1[[#This Row],[client_satisfaction2]]=0,0.75,Table1[[#This Row],[client_satisfaction2]])</f>
        <v>0.6</v>
      </c>
    </row>
    <row r="500" spans="1:25" x14ac:dyDescent="0.25">
      <c r="A500" t="s">
        <v>1078</v>
      </c>
      <c r="B500" t="s">
        <v>1079</v>
      </c>
      <c r="C500" t="str">
        <f>PROPER(TRIM(SUBSTITUTE(SUBSTITUTE(SUBSTITUTE(Table1[[#This Row],[name]],"Ms. ",""),"Mr. ",""),"Mrs. ","")))</f>
        <v>Robin Moore</v>
      </c>
      <c r="D500" t="s">
        <v>77</v>
      </c>
      <c r="E5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00">
        <v>22</v>
      </c>
      <c r="G500" t="str">
        <f>TRIM(IF(Table1[[#This Row],[age]]="","Unknown",Table1[[#This Row],[age]]))</f>
        <v>22</v>
      </c>
      <c r="H500" t="s">
        <v>124</v>
      </c>
      <c r="I500" t="s">
        <v>125</v>
      </c>
      <c r="J500" t="s">
        <v>73</v>
      </c>
      <c r="K500">
        <v>3</v>
      </c>
      <c r="L500" s="10" t="str">
        <f>TRIM(IF(Table1[[#This Row],[years_of_experience]]="","Unknown",Table1[[#This Row],[years_of_experience]]))</f>
        <v>3</v>
      </c>
      <c r="M500" t="s">
        <v>24</v>
      </c>
      <c r="N500" t="str">
        <f>IF(Table1[[#This Row],[hourly_rate (USD)]]="",MEDIAN(Table1[hourly_rate (USD)]),Table1[[#This Row],[hourly_rate (USD)]])</f>
        <v>USD 100</v>
      </c>
      <c r="O500" t="str">
        <f>TRIM(CLEAN(Table1[[#This Row],[Updated hourly_rate (USD)]]))</f>
        <v>USD 100</v>
      </c>
      <c r="P500" t="str">
        <f>SUBSTITUTE(SUBSTITUTE(Table1[[#This Row],[Formatted hourly rate]],"USD ",""),"$","")</f>
        <v>100</v>
      </c>
      <c r="Q500">
        <v>3.6</v>
      </c>
      <c r="R500">
        <f>IF(Table1[[#This Row],[rating]]="",2.6,Table1[[#This Row],[rating]])</f>
        <v>3.6</v>
      </c>
      <c r="S500">
        <v>1</v>
      </c>
      <c r="T500" t="str">
        <f>TRIM(CLEAN(Table1[[#This Row],[is_active]]))</f>
        <v>1</v>
      </c>
      <c r="U5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00" s="11" t="str">
        <f>TRIM(IF(Table1[[#This Row],[is_active3]]="Unknown","TRUE",Table1[[#This Row],[is_active3]]))</f>
        <v>TRUE</v>
      </c>
      <c r="W500">
        <v>0.78</v>
      </c>
      <c r="X500">
        <f>IF(Table1[[#This Row],[client_satisfaction]]&gt;1,Table1[[#This Row],[client_satisfaction]]/100,Table1[[#This Row],[client_satisfaction]])</f>
        <v>0.78</v>
      </c>
      <c r="Y500">
        <f>IF(Table1[[#This Row],[client_satisfaction2]]=0,0.75,Table1[[#This Row],[client_satisfaction2]])</f>
        <v>0.78</v>
      </c>
    </row>
    <row r="501" spans="1:25" x14ac:dyDescent="0.25">
      <c r="A501" t="s">
        <v>1080</v>
      </c>
      <c r="B501" t="s">
        <v>1081</v>
      </c>
      <c r="C501" t="str">
        <f>PROPER(TRIM(SUBSTITUTE(SUBSTITUTE(SUBSTITUTE(Table1[[#This Row],[name]],"Ms. ",""),"Mr. ",""),"Mrs. ","")))</f>
        <v>Suzanne Ingram</v>
      </c>
      <c r="D501" t="s">
        <v>14</v>
      </c>
      <c r="E5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01">
        <v>40</v>
      </c>
      <c r="G501" t="str">
        <f>TRIM(IF(Table1[[#This Row],[age]]="","Unknown",Table1[[#This Row],[age]]))</f>
        <v>40</v>
      </c>
      <c r="H501" t="s">
        <v>139</v>
      </c>
      <c r="I501" t="s">
        <v>140</v>
      </c>
      <c r="J501" t="s">
        <v>35</v>
      </c>
      <c r="K501">
        <v>11</v>
      </c>
      <c r="L501" s="10" t="str">
        <f>TRIM(IF(Table1[[#This Row],[years_of_experience]]="","Unknown",Table1[[#This Row],[years_of_experience]]))</f>
        <v>11</v>
      </c>
      <c r="M501" t="s">
        <v>121</v>
      </c>
      <c r="N501" t="str">
        <f>IF(Table1[[#This Row],[hourly_rate (USD)]]="",MEDIAN(Table1[hourly_rate (USD)]),Table1[[#This Row],[hourly_rate (USD)]])</f>
        <v>$20</v>
      </c>
      <c r="O501" t="str">
        <f>TRIM(CLEAN(Table1[[#This Row],[Updated hourly_rate (USD)]]))</f>
        <v>$20</v>
      </c>
      <c r="P501" t="str">
        <f>SUBSTITUTE(SUBSTITUTE(Table1[[#This Row],[Formatted hourly rate]],"USD ",""),"$","")</f>
        <v>20</v>
      </c>
      <c r="Q501">
        <v>1.8</v>
      </c>
      <c r="R501">
        <f>IF(Table1[[#This Row],[rating]]="",2.6,Table1[[#This Row],[rating]])</f>
        <v>1.8</v>
      </c>
      <c r="S501">
        <v>1</v>
      </c>
      <c r="T501" t="str">
        <f>TRIM(CLEAN(Table1[[#This Row],[is_active]]))</f>
        <v>1</v>
      </c>
      <c r="U50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01" s="11" t="str">
        <f>TRIM(IF(Table1[[#This Row],[is_active3]]="Unknown","TRUE",Table1[[#This Row],[is_active3]]))</f>
        <v>TRUE</v>
      </c>
      <c r="W501">
        <v>0.9</v>
      </c>
      <c r="X501">
        <f>IF(Table1[[#This Row],[client_satisfaction]]&gt;1,Table1[[#This Row],[client_satisfaction]]/100,Table1[[#This Row],[client_satisfaction]])</f>
        <v>0.9</v>
      </c>
      <c r="Y501">
        <f>IF(Table1[[#This Row],[client_satisfaction2]]=0,0.75,Table1[[#This Row],[client_satisfaction2]])</f>
        <v>0.9</v>
      </c>
    </row>
    <row r="502" spans="1:25" x14ac:dyDescent="0.25">
      <c r="A502" t="s">
        <v>1082</v>
      </c>
      <c r="B502" t="s">
        <v>1083</v>
      </c>
      <c r="C502" t="str">
        <f>PROPER(TRIM(SUBSTITUTE(SUBSTITUTE(SUBSTITUTE(Table1[[#This Row],[name]],"Ms. ",""),"Mr. ",""),"Mrs. ","")))</f>
        <v>Jacob Mclaughlin</v>
      </c>
      <c r="D502" t="s">
        <v>48</v>
      </c>
      <c r="E5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02">
        <v>55</v>
      </c>
      <c r="G502" t="str">
        <f>TRIM(IF(Table1[[#This Row],[age]]="","Unknown",Table1[[#This Row],[age]]))</f>
        <v>55</v>
      </c>
      <c r="H502" t="s">
        <v>21</v>
      </c>
      <c r="I502" t="s">
        <v>22</v>
      </c>
      <c r="J502" t="s">
        <v>51</v>
      </c>
      <c r="K502">
        <v>7</v>
      </c>
      <c r="L502" s="10" t="str">
        <f>TRIM(IF(Table1[[#This Row],[years_of_experience]]="","Unknown",Table1[[#This Row],[years_of_experience]]))</f>
        <v>7</v>
      </c>
      <c r="M502" t="s">
        <v>24</v>
      </c>
      <c r="N502" t="str">
        <f>IF(Table1[[#This Row],[hourly_rate (USD)]]="",MEDIAN(Table1[hourly_rate (USD)]),Table1[[#This Row],[hourly_rate (USD)]])</f>
        <v>USD 100</v>
      </c>
      <c r="O502" t="str">
        <f>TRIM(CLEAN(Table1[[#This Row],[Updated hourly_rate (USD)]]))</f>
        <v>USD 100</v>
      </c>
      <c r="P502" t="str">
        <f>SUBSTITUTE(SUBSTITUTE(Table1[[#This Row],[Formatted hourly rate]],"USD ",""),"$","")</f>
        <v>100</v>
      </c>
      <c r="Q502">
        <v>2.1</v>
      </c>
      <c r="R502">
        <f>IF(Table1[[#This Row],[rating]]="",2.6,Table1[[#This Row],[rating]])</f>
        <v>2.1</v>
      </c>
      <c r="S502">
        <v>0</v>
      </c>
      <c r="T502" t="str">
        <f>TRIM(CLEAN(Table1[[#This Row],[is_active]]))</f>
        <v>0</v>
      </c>
      <c r="U50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02" s="11" t="str">
        <f>TRIM(IF(Table1[[#This Row],[is_active3]]="Unknown","TRUE",Table1[[#This Row],[is_active3]]))</f>
        <v>FALSE</v>
      </c>
      <c r="W502">
        <v>0.66</v>
      </c>
      <c r="X502">
        <f>IF(Table1[[#This Row],[client_satisfaction]]&gt;1,Table1[[#This Row],[client_satisfaction]]/100,Table1[[#This Row],[client_satisfaction]])</f>
        <v>0.66</v>
      </c>
      <c r="Y502">
        <f>IF(Table1[[#This Row],[client_satisfaction2]]=0,0.75,Table1[[#This Row],[client_satisfaction2]])</f>
        <v>0.66</v>
      </c>
    </row>
    <row r="503" spans="1:25" x14ac:dyDescent="0.25">
      <c r="A503" t="s">
        <v>1084</v>
      </c>
      <c r="B503" t="s">
        <v>1085</v>
      </c>
      <c r="C503" t="str">
        <f>PROPER(TRIM(SUBSTITUTE(SUBSTITUTE(SUBSTITUTE(Table1[[#This Row],[name]],"Ms. ",""),"Mr. ",""),"Mrs. ","")))</f>
        <v>Michael Nunez</v>
      </c>
      <c r="D503" t="s">
        <v>92</v>
      </c>
      <c r="E5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03">
        <v>32</v>
      </c>
      <c r="G503" t="str">
        <f>TRIM(IF(Table1[[#This Row],[age]]="","Unknown",Table1[[#This Row],[age]]))</f>
        <v>32</v>
      </c>
      <c r="H503" t="s">
        <v>179</v>
      </c>
      <c r="I503" t="s">
        <v>72</v>
      </c>
      <c r="J503" t="s">
        <v>89</v>
      </c>
      <c r="K503">
        <v>1</v>
      </c>
      <c r="L503" s="10" t="str">
        <f>TRIM(IF(Table1[[#This Row],[years_of_experience]]="","Unknown",Table1[[#This Row],[years_of_experience]]))</f>
        <v>1</v>
      </c>
      <c r="M503" t="s">
        <v>64</v>
      </c>
      <c r="N503" t="str">
        <f>IF(Table1[[#This Row],[hourly_rate (USD)]]="",MEDIAN(Table1[hourly_rate (USD)]),Table1[[#This Row],[hourly_rate (USD)]])</f>
        <v>$50</v>
      </c>
      <c r="O503" t="str">
        <f>TRIM(CLEAN(Table1[[#This Row],[Updated hourly_rate (USD)]]))</f>
        <v>$50</v>
      </c>
      <c r="P503" t="str">
        <f>SUBSTITUTE(SUBSTITUTE(Table1[[#This Row],[Formatted hourly rate]],"USD ",""),"$","")</f>
        <v>50</v>
      </c>
      <c r="R503">
        <f>IF(Table1[[#This Row],[rating]]="",2.6,Table1[[#This Row],[rating]])</f>
        <v>2.6</v>
      </c>
      <c r="S503" t="s">
        <v>68</v>
      </c>
      <c r="T503" t="str">
        <f>TRIM(CLEAN(Table1[[#This Row],[is_active]]))</f>
        <v>yes</v>
      </c>
      <c r="U50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03" s="11" t="str">
        <f>TRIM(IF(Table1[[#This Row],[is_active3]]="Unknown","TRUE",Table1[[#This Row],[is_active3]]))</f>
        <v>TRUE</v>
      </c>
      <c r="W503">
        <v>0.7</v>
      </c>
      <c r="X503">
        <f>IF(Table1[[#This Row],[client_satisfaction]]&gt;1,Table1[[#This Row],[client_satisfaction]]/100,Table1[[#This Row],[client_satisfaction]])</f>
        <v>0.7</v>
      </c>
      <c r="Y503">
        <f>IF(Table1[[#This Row],[client_satisfaction2]]=0,0.75,Table1[[#This Row],[client_satisfaction2]])</f>
        <v>0.7</v>
      </c>
    </row>
    <row r="504" spans="1:25" x14ac:dyDescent="0.25">
      <c r="A504" t="s">
        <v>1086</v>
      </c>
      <c r="B504" t="s">
        <v>1087</v>
      </c>
      <c r="C504" t="str">
        <f>PROPER(TRIM(SUBSTITUTE(SUBSTITUTE(SUBSTITUTE(Table1[[#This Row],[name]],"Ms. ",""),"Mr. ",""),"Mrs. ","")))</f>
        <v>Isabel Brown</v>
      </c>
      <c r="D504" t="s">
        <v>20</v>
      </c>
      <c r="E5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04">
        <v>21</v>
      </c>
      <c r="G504" t="str">
        <f>TRIM(IF(Table1[[#This Row],[age]]="","Unknown",Table1[[#This Row],[age]]))</f>
        <v>21</v>
      </c>
      <c r="H504" t="s">
        <v>85</v>
      </c>
      <c r="I504" t="s">
        <v>86</v>
      </c>
      <c r="J504" t="s">
        <v>73</v>
      </c>
      <c r="K504">
        <v>0</v>
      </c>
      <c r="L504" s="10" t="str">
        <f>TRIM(IF(Table1[[#This Row],[years_of_experience]]="","Unknown",Table1[[#This Row],[years_of_experience]]))</f>
        <v>0</v>
      </c>
      <c r="M504" t="s">
        <v>109</v>
      </c>
      <c r="N504" t="str">
        <f>IF(Table1[[#This Row],[hourly_rate (USD)]]="",MEDIAN(Table1[hourly_rate (USD)]),Table1[[#This Row],[hourly_rate (USD)]])</f>
        <v>USD 30</v>
      </c>
      <c r="O504" t="str">
        <f>TRIM(CLEAN(Table1[[#This Row],[Updated hourly_rate (USD)]]))</f>
        <v>USD 30</v>
      </c>
      <c r="P504" t="str">
        <f>SUBSTITUTE(SUBSTITUTE(Table1[[#This Row],[Formatted hourly rate]],"USD ",""),"$","")</f>
        <v>30</v>
      </c>
      <c r="Q504">
        <v>4.2</v>
      </c>
      <c r="R504">
        <f>IF(Table1[[#This Row],[rating]]="",2.6,Table1[[#This Row],[rating]])</f>
        <v>4.2</v>
      </c>
      <c r="S504" t="s">
        <v>68</v>
      </c>
      <c r="T504" t="str">
        <f>TRIM(CLEAN(Table1[[#This Row],[is_active]]))</f>
        <v>yes</v>
      </c>
      <c r="U50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04" s="11" t="str">
        <f>TRIM(IF(Table1[[#This Row],[is_active3]]="Unknown","TRUE",Table1[[#This Row],[is_active3]]))</f>
        <v>TRUE</v>
      </c>
      <c r="W504">
        <v>0.79</v>
      </c>
      <c r="X504">
        <f>IF(Table1[[#This Row],[client_satisfaction]]&gt;1,Table1[[#This Row],[client_satisfaction]]/100,Table1[[#This Row],[client_satisfaction]])</f>
        <v>0.79</v>
      </c>
      <c r="Y504">
        <f>IF(Table1[[#This Row],[client_satisfaction2]]=0,0.75,Table1[[#This Row],[client_satisfaction2]])</f>
        <v>0.79</v>
      </c>
    </row>
    <row r="505" spans="1:25" x14ac:dyDescent="0.25">
      <c r="A505" t="s">
        <v>1088</v>
      </c>
      <c r="B505" t="s">
        <v>1089</v>
      </c>
      <c r="C505" t="str">
        <f>PROPER(TRIM(SUBSTITUTE(SUBSTITUTE(SUBSTITUTE(Table1[[#This Row],[name]],"Ms. ",""),"Mr. ",""),"Mrs. ","")))</f>
        <v>Michael Stein</v>
      </c>
      <c r="D505" t="s">
        <v>92</v>
      </c>
      <c r="E5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05">
        <v>23</v>
      </c>
      <c r="G505" t="str">
        <f>TRIM(IF(Table1[[#This Row],[age]]="","Unknown",Table1[[#This Row],[age]]))</f>
        <v>23</v>
      </c>
      <c r="H505" t="s">
        <v>112</v>
      </c>
      <c r="I505" t="s">
        <v>113</v>
      </c>
      <c r="J505" t="s">
        <v>17</v>
      </c>
      <c r="K505">
        <v>1</v>
      </c>
      <c r="L505" s="10" t="str">
        <f>TRIM(IF(Table1[[#This Row],[years_of_experience]]="","Unknown",Table1[[#This Row],[years_of_experience]]))</f>
        <v>1</v>
      </c>
      <c r="M505">
        <v>40</v>
      </c>
      <c r="N505">
        <f>IF(Table1[[#This Row],[hourly_rate (USD)]]="",MEDIAN(Table1[hourly_rate (USD)]),Table1[[#This Row],[hourly_rate (USD)]])</f>
        <v>40</v>
      </c>
      <c r="O505" t="str">
        <f>TRIM(CLEAN(Table1[[#This Row],[Updated hourly_rate (USD)]]))</f>
        <v>40</v>
      </c>
      <c r="P505" t="str">
        <f>SUBSTITUTE(SUBSTITUTE(Table1[[#This Row],[Formatted hourly rate]],"USD ",""),"$","")</f>
        <v>40</v>
      </c>
      <c r="Q505">
        <v>0</v>
      </c>
      <c r="R505">
        <f>IF(Table1[[#This Row],[rating]]="",2.6,Table1[[#This Row],[rating]])</f>
        <v>0</v>
      </c>
      <c r="S505">
        <v>0</v>
      </c>
      <c r="T505" t="str">
        <f>TRIM(CLEAN(Table1[[#This Row],[is_active]]))</f>
        <v>0</v>
      </c>
      <c r="U50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05" s="11" t="str">
        <f>TRIM(IF(Table1[[#This Row],[is_active3]]="Unknown","TRUE",Table1[[#This Row],[is_active3]]))</f>
        <v>FALSE</v>
      </c>
      <c r="W505">
        <v>0.64</v>
      </c>
      <c r="X505">
        <f>IF(Table1[[#This Row],[client_satisfaction]]&gt;1,Table1[[#This Row],[client_satisfaction]]/100,Table1[[#This Row],[client_satisfaction]])</f>
        <v>0.64</v>
      </c>
      <c r="Y505">
        <f>IF(Table1[[#This Row],[client_satisfaction2]]=0,0.75,Table1[[#This Row],[client_satisfaction2]])</f>
        <v>0.64</v>
      </c>
    </row>
    <row r="506" spans="1:25" x14ac:dyDescent="0.25">
      <c r="A506" t="s">
        <v>1090</v>
      </c>
      <c r="B506" t="s">
        <v>1091</v>
      </c>
      <c r="C506" t="str">
        <f>PROPER(TRIM(SUBSTITUTE(SUBSTITUTE(SUBSTITUTE(Table1[[#This Row],[name]],"Ms. ",""),"Mr. ",""),"Mrs. ","")))</f>
        <v>Robert Stone</v>
      </c>
      <c r="D506" t="s">
        <v>97</v>
      </c>
      <c r="E5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06">
        <v>21</v>
      </c>
      <c r="G506" t="str">
        <f>TRIM(IF(Table1[[#This Row],[age]]="","Unknown",Table1[[#This Row],[age]]))</f>
        <v>21</v>
      </c>
      <c r="H506" t="s">
        <v>67</v>
      </c>
      <c r="I506" t="s">
        <v>22</v>
      </c>
      <c r="J506" t="s">
        <v>23</v>
      </c>
      <c r="K506">
        <v>1</v>
      </c>
      <c r="L506" s="10" t="str">
        <f>TRIM(IF(Table1[[#This Row],[years_of_experience]]="","Unknown",Table1[[#This Row],[years_of_experience]]))</f>
        <v>1</v>
      </c>
      <c r="M506" t="s">
        <v>109</v>
      </c>
      <c r="N506" t="str">
        <f>IF(Table1[[#This Row],[hourly_rate (USD)]]="",MEDIAN(Table1[hourly_rate (USD)]),Table1[[#This Row],[hourly_rate (USD)]])</f>
        <v>USD 30</v>
      </c>
      <c r="O506" t="str">
        <f>TRIM(CLEAN(Table1[[#This Row],[Updated hourly_rate (USD)]]))</f>
        <v>USD 30</v>
      </c>
      <c r="P506" t="str">
        <f>SUBSTITUTE(SUBSTITUTE(Table1[[#This Row],[Formatted hourly rate]],"USD ",""),"$","")</f>
        <v>30</v>
      </c>
      <c r="Q506">
        <v>1</v>
      </c>
      <c r="R506">
        <f>IF(Table1[[#This Row],[rating]]="",2.6,Table1[[#This Row],[rating]])</f>
        <v>1</v>
      </c>
      <c r="S506" t="s">
        <v>31</v>
      </c>
      <c r="T506" t="str">
        <f>TRIM(CLEAN(Table1[[#This Row],[is_active]]))</f>
        <v>N</v>
      </c>
      <c r="U50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06" s="11" t="str">
        <f>TRIM(IF(Table1[[#This Row],[is_active3]]="Unknown","TRUE",Table1[[#This Row],[is_active3]]))</f>
        <v>FALSE</v>
      </c>
      <c r="W506">
        <v>0.81</v>
      </c>
      <c r="X506">
        <f>IF(Table1[[#This Row],[client_satisfaction]]&gt;1,Table1[[#This Row],[client_satisfaction]]/100,Table1[[#This Row],[client_satisfaction]])</f>
        <v>0.81</v>
      </c>
      <c r="Y506">
        <f>IF(Table1[[#This Row],[client_satisfaction2]]=0,0.75,Table1[[#This Row],[client_satisfaction2]])</f>
        <v>0.81</v>
      </c>
    </row>
    <row r="507" spans="1:25" x14ac:dyDescent="0.25">
      <c r="A507" t="s">
        <v>1092</v>
      </c>
      <c r="B507" t="s">
        <v>1093</v>
      </c>
      <c r="C507" t="str">
        <f>PROPER(TRIM(SUBSTITUTE(SUBSTITUTE(SUBSTITUTE(Table1[[#This Row],[name]],"Ms. ",""),"Mr. ",""),"Mrs. ","")))</f>
        <v>Dillon Henry</v>
      </c>
      <c r="D507" t="s">
        <v>97</v>
      </c>
      <c r="E5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07">
        <v>31</v>
      </c>
      <c r="G507" t="str">
        <f>TRIM(IF(Table1[[#This Row],[age]]="","Unknown",Table1[[#This Row],[age]]))</f>
        <v>31</v>
      </c>
      <c r="H507" t="s">
        <v>71</v>
      </c>
      <c r="I507" t="s">
        <v>72</v>
      </c>
      <c r="J507" t="s">
        <v>44</v>
      </c>
      <c r="K507">
        <v>7</v>
      </c>
      <c r="L507" s="10" t="str">
        <f>TRIM(IF(Table1[[#This Row],[years_of_experience]]="","Unknown",Table1[[#This Row],[years_of_experience]]))</f>
        <v>7</v>
      </c>
      <c r="M507">
        <v>75</v>
      </c>
      <c r="N507">
        <f>IF(Table1[[#This Row],[hourly_rate (USD)]]="",MEDIAN(Table1[hourly_rate (USD)]),Table1[[#This Row],[hourly_rate (USD)]])</f>
        <v>75</v>
      </c>
      <c r="O507" t="str">
        <f>TRIM(CLEAN(Table1[[#This Row],[Updated hourly_rate (USD)]]))</f>
        <v>75</v>
      </c>
      <c r="P507" t="str">
        <f>SUBSTITUTE(SUBSTITUTE(Table1[[#This Row],[Formatted hourly rate]],"USD ",""),"$","")</f>
        <v>75</v>
      </c>
      <c r="Q507">
        <v>4.4000000000000004</v>
      </c>
      <c r="R507">
        <f>IF(Table1[[#This Row],[rating]]="",2.6,Table1[[#This Row],[rating]])</f>
        <v>4.4000000000000004</v>
      </c>
      <c r="S507">
        <v>0</v>
      </c>
      <c r="T507" t="str">
        <f>TRIM(CLEAN(Table1[[#This Row],[is_active]]))</f>
        <v>0</v>
      </c>
      <c r="U50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07" s="11" t="str">
        <f>TRIM(IF(Table1[[#This Row],[is_active3]]="Unknown","TRUE",Table1[[#This Row],[is_active3]]))</f>
        <v>FALSE</v>
      </c>
      <c r="W507">
        <v>0.83</v>
      </c>
      <c r="X507">
        <f>IF(Table1[[#This Row],[client_satisfaction]]&gt;1,Table1[[#This Row],[client_satisfaction]]/100,Table1[[#This Row],[client_satisfaction]])</f>
        <v>0.83</v>
      </c>
      <c r="Y507">
        <f>IF(Table1[[#This Row],[client_satisfaction2]]=0,0.75,Table1[[#This Row],[client_satisfaction2]])</f>
        <v>0.83</v>
      </c>
    </row>
    <row r="508" spans="1:25" x14ac:dyDescent="0.25">
      <c r="A508" t="s">
        <v>1094</v>
      </c>
      <c r="B508" t="s">
        <v>1095</v>
      </c>
      <c r="C508" t="str">
        <f>PROPER(TRIM(SUBSTITUTE(SUBSTITUTE(SUBSTITUTE(Table1[[#This Row],[name]],"Ms. ",""),"Mr. ",""),"Mrs. ","")))</f>
        <v>James Todd</v>
      </c>
      <c r="D508" t="s">
        <v>92</v>
      </c>
      <c r="E5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08">
        <v>21</v>
      </c>
      <c r="G508" t="str">
        <f>TRIM(IF(Table1[[#This Row],[age]]="","Unknown",Table1[[#This Row],[age]]))</f>
        <v>21</v>
      </c>
      <c r="H508" t="s">
        <v>179</v>
      </c>
      <c r="I508" t="s">
        <v>72</v>
      </c>
      <c r="J508" t="s">
        <v>17</v>
      </c>
      <c r="L508" s="10" t="str">
        <f>TRIM(IF(Table1[[#This Row],[years_of_experience]]="","Unknown",Table1[[#This Row],[years_of_experience]]))</f>
        <v>Unknown</v>
      </c>
      <c r="M508">
        <v>40</v>
      </c>
      <c r="N508">
        <f>IF(Table1[[#This Row],[hourly_rate (USD)]]="",MEDIAN(Table1[hourly_rate (USD)]),Table1[[#This Row],[hourly_rate (USD)]])</f>
        <v>40</v>
      </c>
      <c r="O508" t="str">
        <f>TRIM(CLEAN(Table1[[#This Row],[Updated hourly_rate (USD)]]))</f>
        <v>40</v>
      </c>
      <c r="P508" t="str">
        <f>SUBSTITUTE(SUBSTITUTE(Table1[[#This Row],[Formatted hourly rate]],"USD ",""),"$","")</f>
        <v>40</v>
      </c>
      <c r="Q508">
        <v>4</v>
      </c>
      <c r="R508">
        <f>IF(Table1[[#This Row],[rating]]="",2.6,Table1[[#This Row],[rating]])</f>
        <v>4</v>
      </c>
      <c r="S508">
        <v>0</v>
      </c>
      <c r="T508" t="str">
        <f>TRIM(CLEAN(Table1[[#This Row],[is_active]]))</f>
        <v>0</v>
      </c>
      <c r="U50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08" s="11" t="str">
        <f>TRIM(IF(Table1[[#This Row],[is_active3]]="Unknown","TRUE",Table1[[#This Row],[is_active3]]))</f>
        <v>FALSE</v>
      </c>
      <c r="W508">
        <v>0.91</v>
      </c>
      <c r="X508">
        <f>IF(Table1[[#This Row],[client_satisfaction]]&gt;1,Table1[[#This Row],[client_satisfaction]]/100,Table1[[#This Row],[client_satisfaction]])</f>
        <v>0.91</v>
      </c>
      <c r="Y508">
        <f>IF(Table1[[#This Row],[client_satisfaction2]]=0,0.75,Table1[[#This Row],[client_satisfaction2]])</f>
        <v>0.91</v>
      </c>
    </row>
    <row r="509" spans="1:25" x14ac:dyDescent="0.25">
      <c r="A509" t="s">
        <v>1096</v>
      </c>
      <c r="B509" t="s">
        <v>1097</v>
      </c>
      <c r="C509" t="str">
        <f>PROPER(TRIM(SUBSTITUTE(SUBSTITUTE(SUBSTITUTE(Table1[[#This Row],[name]],"Ms. ",""),"Mr. ",""),"Mrs. ","")))</f>
        <v>Clifford Moore Md</v>
      </c>
      <c r="D509" t="s">
        <v>27</v>
      </c>
      <c r="E5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09">
        <v>33</v>
      </c>
      <c r="G509" t="str">
        <f>TRIM(IF(Table1[[#This Row],[age]]="","Unknown",Table1[[#This Row],[age]]))</f>
        <v>33</v>
      </c>
      <c r="H509" t="s">
        <v>67</v>
      </c>
      <c r="I509" t="s">
        <v>22</v>
      </c>
      <c r="J509" t="s">
        <v>78</v>
      </c>
      <c r="K509">
        <v>6</v>
      </c>
      <c r="L509" s="10" t="str">
        <f>TRIM(IF(Table1[[#This Row],[years_of_experience]]="","Unknown",Table1[[#This Row],[years_of_experience]]))</f>
        <v>6</v>
      </c>
      <c r="M509" t="s">
        <v>98</v>
      </c>
      <c r="N509" t="str">
        <f>IF(Table1[[#This Row],[hourly_rate (USD)]]="",MEDIAN(Table1[hourly_rate (USD)]),Table1[[#This Row],[hourly_rate (USD)]])</f>
        <v>USD 50</v>
      </c>
      <c r="O509" t="str">
        <f>TRIM(CLEAN(Table1[[#This Row],[Updated hourly_rate (USD)]]))</f>
        <v>USD 50</v>
      </c>
      <c r="P509" t="str">
        <f>SUBSTITUTE(SUBSTITUTE(Table1[[#This Row],[Formatted hourly rate]],"USD ",""),"$","")</f>
        <v>50</v>
      </c>
      <c r="Q509">
        <v>3.1</v>
      </c>
      <c r="R509">
        <f>IF(Table1[[#This Row],[rating]]="",2.6,Table1[[#This Row],[rating]])</f>
        <v>3.1</v>
      </c>
      <c r="S509" t="s">
        <v>31</v>
      </c>
      <c r="T509" t="str">
        <f>TRIM(CLEAN(Table1[[#This Row],[is_active]]))</f>
        <v>N</v>
      </c>
      <c r="U50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09" s="11" t="str">
        <f>TRIM(IF(Table1[[#This Row],[is_active3]]="Unknown","TRUE",Table1[[#This Row],[is_active3]]))</f>
        <v>FALSE</v>
      </c>
      <c r="X509">
        <f>IF(Table1[[#This Row],[client_satisfaction]]&gt;1,Table1[[#This Row],[client_satisfaction]]/100,Table1[[#This Row],[client_satisfaction]])</f>
        <v>0</v>
      </c>
      <c r="Y509">
        <f>IF(Table1[[#This Row],[client_satisfaction2]]=0,0.75,Table1[[#This Row],[client_satisfaction2]])</f>
        <v>0.75</v>
      </c>
    </row>
    <row r="510" spans="1:25" x14ac:dyDescent="0.25">
      <c r="A510" t="s">
        <v>1098</v>
      </c>
      <c r="B510" t="s">
        <v>1099</v>
      </c>
      <c r="C510" t="str">
        <f>PROPER(TRIM(SUBSTITUTE(SUBSTITUTE(SUBSTITUTE(Table1[[#This Row],[name]],"Ms. ",""),"Mr. ",""),"Mrs. ","")))</f>
        <v>John Rios</v>
      </c>
      <c r="D510" t="s">
        <v>48</v>
      </c>
      <c r="E5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10">
        <v>57</v>
      </c>
      <c r="G510" t="str">
        <f>TRIM(IF(Table1[[#This Row],[age]]="","Unknown",Table1[[#This Row],[age]]))</f>
        <v>57</v>
      </c>
      <c r="H510" t="s">
        <v>107</v>
      </c>
      <c r="I510" t="s">
        <v>108</v>
      </c>
      <c r="J510" t="s">
        <v>35</v>
      </c>
      <c r="K510">
        <v>5</v>
      </c>
      <c r="L510" s="10" t="str">
        <f>TRIM(IF(Table1[[#This Row],[years_of_experience]]="","Unknown",Table1[[#This Row],[years_of_experience]]))</f>
        <v>5</v>
      </c>
      <c r="M510">
        <v>75</v>
      </c>
      <c r="N510">
        <f>IF(Table1[[#This Row],[hourly_rate (USD)]]="",MEDIAN(Table1[hourly_rate (USD)]),Table1[[#This Row],[hourly_rate (USD)]])</f>
        <v>75</v>
      </c>
      <c r="O510" t="str">
        <f>TRIM(CLEAN(Table1[[#This Row],[Updated hourly_rate (USD)]]))</f>
        <v>75</v>
      </c>
      <c r="P510" t="str">
        <f>SUBSTITUTE(SUBSTITUTE(Table1[[#This Row],[Formatted hourly rate]],"USD ",""),"$","")</f>
        <v>75</v>
      </c>
      <c r="Q510">
        <v>1.1000000000000001</v>
      </c>
      <c r="R510">
        <f>IF(Table1[[#This Row],[rating]]="",2.6,Table1[[#This Row],[rating]])</f>
        <v>1.1000000000000001</v>
      </c>
      <c r="S510" t="b">
        <v>1</v>
      </c>
      <c r="T510" t="str">
        <f>TRIM(CLEAN(Table1[[#This Row],[is_active]]))</f>
        <v>TRUE</v>
      </c>
      <c r="U51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10" s="11" t="str">
        <f>TRIM(IF(Table1[[#This Row],[is_active3]]="Unknown","TRUE",Table1[[#This Row],[is_active3]]))</f>
        <v>TRUE</v>
      </c>
      <c r="W510">
        <v>0.77</v>
      </c>
      <c r="X510">
        <f>IF(Table1[[#This Row],[client_satisfaction]]&gt;1,Table1[[#This Row],[client_satisfaction]]/100,Table1[[#This Row],[client_satisfaction]])</f>
        <v>0.77</v>
      </c>
      <c r="Y510">
        <f>IF(Table1[[#This Row],[client_satisfaction2]]=0,0.75,Table1[[#This Row],[client_satisfaction2]])</f>
        <v>0.77</v>
      </c>
    </row>
    <row r="511" spans="1:25" x14ac:dyDescent="0.25">
      <c r="A511" t="s">
        <v>1100</v>
      </c>
      <c r="B511" t="s">
        <v>1101</v>
      </c>
      <c r="C511" t="str">
        <f>PROPER(TRIM(SUBSTITUTE(SUBSTITUTE(SUBSTITUTE(Table1[[#This Row],[name]],"Ms. ",""),"Mr. ",""),"Mrs. ","")))</f>
        <v>Anthony Gaines</v>
      </c>
      <c r="D511" t="s">
        <v>48</v>
      </c>
      <c r="E5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11">
        <v>52</v>
      </c>
      <c r="G511" t="str">
        <f>TRIM(IF(Table1[[#This Row],[age]]="","Unknown",Table1[[#This Row],[age]]))</f>
        <v>52</v>
      </c>
      <c r="H511" t="s">
        <v>58</v>
      </c>
      <c r="I511" t="s">
        <v>22</v>
      </c>
      <c r="J511" t="s">
        <v>89</v>
      </c>
      <c r="K511">
        <v>17</v>
      </c>
      <c r="L511" s="10" t="str">
        <f>TRIM(IF(Table1[[#This Row],[years_of_experience]]="","Unknown",Table1[[#This Row],[years_of_experience]]))</f>
        <v>17</v>
      </c>
      <c r="M511" t="s">
        <v>52</v>
      </c>
      <c r="N511" t="str">
        <f>IF(Table1[[#This Row],[hourly_rate (USD)]]="",MEDIAN(Table1[hourly_rate (USD)]),Table1[[#This Row],[hourly_rate (USD)]])</f>
        <v>USD 75</v>
      </c>
      <c r="O511" t="str">
        <f>TRIM(CLEAN(Table1[[#This Row],[Updated hourly_rate (USD)]]))</f>
        <v>USD 75</v>
      </c>
      <c r="P511" t="str">
        <f>SUBSTITUTE(SUBSTITUTE(Table1[[#This Row],[Formatted hourly rate]],"USD ",""),"$","")</f>
        <v>75</v>
      </c>
      <c r="Q511">
        <v>0</v>
      </c>
      <c r="R511">
        <f>IF(Table1[[#This Row],[rating]]="",2.6,Table1[[#This Row],[rating]])</f>
        <v>0</v>
      </c>
      <c r="S511">
        <v>0</v>
      </c>
      <c r="T511" t="str">
        <f>TRIM(CLEAN(Table1[[#This Row],[is_active]]))</f>
        <v>0</v>
      </c>
      <c r="U51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11" s="11" t="str">
        <f>TRIM(IF(Table1[[#This Row],[is_active3]]="Unknown","TRUE",Table1[[#This Row],[is_active3]]))</f>
        <v>FALSE</v>
      </c>
      <c r="W511">
        <v>0.94</v>
      </c>
      <c r="X511">
        <f>IF(Table1[[#This Row],[client_satisfaction]]&gt;1,Table1[[#This Row],[client_satisfaction]]/100,Table1[[#This Row],[client_satisfaction]])</f>
        <v>0.94</v>
      </c>
      <c r="Y511">
        <f>IF(Table1[[#This Row],[client_satisfaction2]]=0,0.75,Table1[[#This Row],[client_satisfaction2]])</f>
        <v>0.94</v>
      </c>
    </row>
    <row r="512" spans="1:25" x14ac:dyDescent="0.25">
      <c r="A512" t="s">
        <v>1102</v>
      </c>
      <c r="B512" t="s">
        <v>1103</v>
      </c>
      <c r="C512" t="str">
        <f>PROPER(TRIM(SUBSTITUTE(SUBSTITUTE(SUBSTITUTE(Table1[[#This Row],[name]],"Ms. ",""),"Mr. ",""),"Mrs. ","")))</f>
        <v>Kristi Brown Dvm</v>
      </c>
      <c r="D512" t="s">
        <v>77</v>
      </c>
      <c r="E5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12">
        <v>21</v>
      </c>
      <c r="G512" t="str">
        <f>TRIM(IF(Table1[[#This Row],[age]]="","Unknown",Table1[[#This Row],[age]]))</f>
        <v>21</v>
      </c>
      <c r="H512" t="s">
        <v>28</v>
      </c>
      <c r="I512" t="s">
        <v>29</v>
      </c>
      <c r="J512" t="s">
        <v>35</v>
      </c>
      <c r="K512">
        <v>0</v>
      </c>
      <c r="L512" s="10" t="str">
        <f>TRIM(IF(Table1[[#This Row],[years_of_experience]]="","Unknown",Table1[[#This Row],[years_of_experience]]))</f>
        <v>0</v>
      </c>
      <c r="M512" t="s">
        <v>121</v>
      </c>
      <c r="N512" t="str">
        <f>IF(Table1[[#This Row],[hourly_rate (USD)]]="",MEDIAN(Table1[hourly_rate (USD)]),Table1[[#This Row],[hourly_rate (USD)]])</f>
        <v>$20</v>
      </c>
      <c r="O512" t="str">
        <f>TRIM(CLEAN(Table1[[#This Row],[Updated hourly_rate (USD)]]))</f>
        <v>$20</v>
      </c>
      <c r="P512" t="str">
        <f>SUBSTITUTE(SUBSTITUTE(Table1[[#This Row],[Formatted hourly rate]],"USD ",""),"$","")</f>
        <v>20</v>
      </c>
      <c r="Q512">
        <v>3.8</v>
      </c>
      <c r="R512">
        <f>IF(Table1[[#This Row],[rating]]="",2.6,Table1[[#This Row],[rating]])</f>
        <v>3.8</v>
      </c>
      <c r="S512">
        <v>1</v>
      </c>
      <c r="T512" t="str">
        <f>TRIM(CLEAN(Table1[[#This Row],[is_active]]))</f>
        <v>1</v>
      </c>
      <c r="U51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12" s="11" t="str">
        <f>TRIM(IF(Table1[[#This Row],[is_active3]]="Unknown","TRUE",Table1[[#This Row],[is_active3]]))</f>
        <v>TRUE</v>
      </c>
      <c r="W512">
        <v>0.61</v>
      </c>
      <c r="X512">
        <f>IF(Table1[[#This Row],[client_satisfaction]]&gt;1,Table1[[#This Row],[client_satisfaction]]/100,Table1[[#This Row],[client_satisfaction]])</f>
        <v>0.61</v>
      </c>
      <c r="Y512">
        <f>IF(Table1[[#This Row],[client_satisfaction2]]=0,0.75,Table1[[#This Row],[client_satisfaction2]])</f>
        <v>0.61</v>
      </c>
    </row>
    <row r="513" spans="1:25" x14ac:dyDescent="0.25">
      <c r="A513" t="s">
        <v>1104</v>
      </c>
      <c r="B513" t="s">
        <v>1105</v>
      </c>
      <c r="C513" t="str">
        <f>PROPER(TRIM(SUBSTITUTE(SUBSTITUTE(SUBSTITUTE(Table1[[#This Row],[name]],"Ms. ",""),"Mr. ",""),"Mrs. ","")))</f>
        <v>Ashley Odonnell</v>
      </c>
      <c r="D513" t="s">
        <v>20</v>
      </c>
      <c r="E5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13">
        <v>36</v>
      </c>
      <c r="G513" t="str">
        <f>TRIM(IF(Table1[[#This Row],[age]]="","Unknown",Table1[[#This Row],[age]]))</f>
        <v>36</v>
      </c>
      <c r="H513" t="s">
        <v>71</v>
      </c>
      <c r="I513" t="s">
        <v>72</v>
      </c>
      <c r="J513" t="s">
        <v>73</v>
      </c>
      <c r="K513">
        <v>8</v>
      </c>
      <c r="L513" s="10" t="str">
        <f>TRIM(IF(Table1[[#This Row],[years_of_experience]]="","Unknown",Table1[[#This Row],[years_of_experience]]))</f>
        <v>8</v>
      </c>
      <c r="M513">
        <v>100</v>
      </c>
      <c r="N513">
        <f>IF(Table1[[#This Row],[hourly_rate (USD)]]="",MEDIAN(Table1[hourly_rate (USD)]),Table1[[#This Row],[hourly_rate (USD)]])</f>
        <v>100</v>
      </c>
      <c r="O513" t="str">
        <f>TRIM(CLEAN(Table1[[#This Row],[Updated hourly_rate (USD)]]))</f>
        <v>100</v>
      </c>
      <c r="P513" t="str">
        <f>SUBSTITUTE(SUBSTITUTE(Table1[[#This Row],[Formatted hourly rate]],"USD ",""),"$","")</f>
        <v>100</v>
      </c>
      <c r="Q513">
        <v>1.7</v>
      </c>
      <c r="R513">
        <f>IF(Table1[[#This Row],[rating]]="",2.6,Table1[[#This Row],[rating]])</f>
        <v>1.7</v>
      </c>
      <c r="S513" t="s">
        <v>31</v>
      </c>
      <c r="T513" t="str">
        <f>TRIM(CLEAN(Table1[[#This Row],[is_active]]))</f>
        <v>N</v>
      </c>
      <c r="U5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13" s="11" t="str">
        <f>TRIM(IF(Table1[[#This Row],[is_active3]]="Unknown","TRUE",Table1[[#This Row],[is_active3]]))</f>
        <v>FALSE</v>
      </c>
      <c r="W513">
        <v>0.68</v>
      </c>
      <c r="X513">
        <f>IF(Table1[[#This Row],[client_satisfaction]]&gt;1,Table1[[#This Row],[client_satisfaction]]/100,Table1[[#This Row],[client_satisfaction]])</f>
        <v>0.68</v>
      </c>
      <c r="Y513">
        <f>IF(Table1[[#This Row],[client_satisfaction2]]=0,0.75,Table1[[#This Row],[client_satisfaction2]])</f>
        <v>0.68</v>
      </c>
    </row>
    <row r="514" spans="1:25" x14ac:dyDescent="0.25">
      <c r="A514" t="s">
        <v>1106</v>
      </c>
      <c r="B514" t="s">
        <v>1107</v>
      </c>
      <c r="C514" t="str">
        <f>PROPER(TRIM(SUBSTITUTE(SUBSTITUTE(SUBSTITUTE(Table1[[#This Row],[name]],"Ms. ",""),"Mr. ",""),"Mrs. ","")))</f>
        <v>Ronald Elliott</v>
      </c>
      <c r="D514" t="s">
        <v>27</v>
      </c>
      <c r="E5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14">
        <v>33</v>
      </c>
      <c r="G514" t="str">
        <f>TRIM(IF(Table1[[#This Row],[age]]="","Unknown",Table1[[#This Row],[age]]))</f>
        <v>33</v>
      </c>
      <c r="H514" t="s">
        <v>190</v>
      </c>
      <c r="I514" t="s">
        <v>72</v>
      </c>
      <c r="J514" t="s">
        <v>114</v>
      </c>
      <c r="K514">
        <v>13</v>
      </c>
      <c r="L514" s="10" t="str">
        <f>TRIM(IF(Table1[[#This Row],[years_of_experience]]="","Unknown",Table1[[#This Row],[years_of_experience]]))</f>
        <v>13</v>
      </c>
      <c r="M514">
        <v>50</v>
      </c>
      <c r="N514">
        <f>IF(Table1[[#This Row],[hourly_rate (USD)]]="",MEDIAN(Table1[hourly_rate (USD)]),Table1[[#This Row],[hourly_rate (USD)]])</f>
        <v>50</v>
      </c>
      <c r="O514" t="str">
        <f>TRIM(CLEAN(Table1[[#This Row],[Updated hourly_rate (USD)]]))</f>
        <v>50</v>
      </c>
      <c r="P514" t="str">
        <f>SUBSTITUTE(SUBSTITUTE(Table1[[#This Row],[Formatted hourly rate]],"USD ",""),"$","")</f>
        <v>50</v>
      </c>
      <c r="Q514">
        <v>2.2000000000000002</v>
      </c>
      <c r="R514">
        <f>IF(Table1[[#This Row],[rating]]="",2.6,Table1[[#This Row],[rating]])</f>
        <v>2.2000000000000002</v>
      </c>
      <c r="S514" t="s">
        <v>31</v>
      </c>
      <c r="T514" t="str">
        <f>TRIM(CLEAN(Table1[[#This Row],[is_active]]))</f>
        <v>N</v>
      </c>
      <c r="U51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14" s="11" t="str">
        <f>TRIM(IF(Table1[[#This Row],[is_active3]]="Unknown","TRUE",Table1[[#This Row],[is_active3]]))</f>
        <v>FALSE</v>
      </c>
      <c r="W514">
        <v>0.7</v>
      </c>
      <c r="X514">
        <f>IF(Table1[[#This Row],[client_satisfaction]]&gt;1,Table1[[#This Row],[client_satisfaction]]/100,Table1[[#This Row],[client_satisfaction]])</f>
        <v>0.7</v>
      </c>
      <c r="Y514">
        <f>IF(Table1[[#This Row],[client_satisfaction2]]=0,0.75,Table1[[#This Row],[client_satisfaction2]])</f>
        <v>0.7</v>
      </c>
    </row>
    <row r="515" spans="1:25" x14ac:dyDescent="0.25">
      <c r="A515" t="s">
        <v>1108</v>
      </c>
      <c r="B515" t="s">
        <v>1109</v>
      </c>
      <c r="C515" t="str">
        <f>PROPER(TRIM(SUBSTITUTE(SUBSTITUTE(SUBSTITUTE(Table1[[#This Row],[name]],"Ms. ",""),"Mr. ",""),"Mrs. ","")))</f>
        <v>Lorraine Lowery</v>
      </c>
      <c r="D515" t="s">
        <v>34</v>
      </c>
      <c r="E5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15">
        <v>54</v>
      </c>
      <c r="G515" t="str">
        <f>TRIM(IF(Table1[[#This Row],[age]]="","Unknown",Table1[[#This Row],[age]]))</f>
        <v>54</v>
      </c>
      <c r="H515" t="s">
        <v>67</v>
      </c>
      <c r="I515" t="s">
        <v>22</v>
      </c>
      <c r="J515" t="s">
        <v>51</v>
      </c>
      <c r="K515">
        <v>15</v>
      </c>
      <c r="L515" s="10" t="str">
        <f>TRIM(IF(Table1[[#This Row],[years_of_experience]]="","Unknown",Table1[[#This Row],[years_of_experience]]))</f>
        <v>15</v>
      </c>
      <c r="M515">
        <v>40</v>
      </c>
      <c r="N515">
        <f>IF(Table1[[#This Row],[hourly_rate (USD)]]="",MEDIAN(Table1[hourly_rate (USD)]),Table1[[#This Row],[hourly_rate (USD)]])</f>
        <v>40</v>
      </c>
      <c r="O515" t="str">
        <f>TRIM(CLEAN(Table1[[#This Row],[Updated hourly_rate (USD)]]))</f>
        <v>40</v>
      </c>
      <c r="P515" t="str">
        <f>SUBSTITUTE(SUBSTITUTE(Table1[[#This Row],[Formatted hourly rate]],"USD ",""),"$","")</f>
        <v>40</v>
      </c>
      <c r="Q515">
        <v>4.0999999999999996</v>
      </c>
      <c r="R515">
        <f>IF(Table1[[#This Row],[rating]]="",2.6,Table1[[#This Row],[rating]])</f>
        <v>4.0999999999999996</v>
      </c>
      <c r="S515" t="b">
        <v>1</v>
      </c>
      <c r="T515" t="str">
        <f>TRIM(CLEAN(Table1[[#This Row],[is_active]]))</f>
        <v>TRUE</v>
      </c>
      <c r="U51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15" s="11" t="str">
        <f>TRIM(IF(Table1[[#This Row],[is_active3]]="Unknown","TRUE",Table1[[#This Row],[is_active3]]))</f>
        <v>TRUE</v>
      </c>
      <c r="W515">
        <v>71</v>
      </c>
      <c r="X515">
        <f>IF(Table1[[#This Row],[client_satisfaction]]&gt;1,Table1[[#This Row],[client_satisfaction]]/100,Table1[[#This Row],[client_satisfaction]])</f>
        <v>0.71</v>
      </c>
      <c r="Y515">
        <f>IF(Table1[[#This Row],[client_satisfaction2]]=0,0.75,Table1[[#This Row],[client_satisfaction2]])</f>
        <v>0.71</v>
      </c>
    </row>
    <row r="516" spans="1:25" x14ac:dyDescent="0.25">
      <c r="A516" t="s">
        <v>1110</v>
      </c>
      <c r="B516" t="s">
        <v>1111</v>
      </c>
      <c r="C516" t="str">
        <f>PROPER(TRIM(SUBSTITUTE(SUBSTITUTE(SUBSTITUTE(Table1[[#This Row],[name]],"Ms. ",""),"Mr. ",""),"Mrs. ","")))</f>
        <v>Victoria Chapman</v>
      </c>
      <c r="D516" t="s">
        <v>39</v>
      </c>
      <c r="E5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16">
        <v>33</v>
      </c>
      <c r="G516" t="str">
        <f>TRIM(IF(Table1[[#This Row],[age]]="","Unknown",Table1[[#This Row],[age]]))</f>
        <v>33</v>
      </c>
      <c r="H516" t="s">
        <v>58</v>
      </c>
      <c r="I516" t="s">
        <v>22</v>
      </c>
      <c r="J516" t="s">
        <v>17</v>
      </c>
      <c r="K516">
        <v>2</v>
      </c>
      <c r="L516" s="10" t="str">
        <f>TRIM(IF(Table1[[#This Row],[years_of_experience]]="","Unknown",Table1[[#This Row],[years_of_experience]]))</f>
        <v>2</v>
      </c>
      <c r="M516" t="s">
        <v>24</v>
      </c>
      <c r="N516" t="str">
        <f>IF(Table1[[#This Row],[hourly_rate (USD)]]="",MEDIAN(Table1[hourly_rate (USD)]),Table1[[#This Row],[hourly_rate (USD)]])</f>
        <v>USD 100</v>
      </c>
      <c r="O516" t="str">
        <f>TRIM(CLEAN(Table1[[#This Row],[Updated hourly_rate (USD)]]))</f>
        <v>USD 100</v>
      </c>
      <c r="P516" t="str">
        <f>SUBSTITUTE(SUBSTITUTE(Table1[[#This Row],[Formatted hourly rate]],"USD ",""),"$","")</f>
        <v>100</v>
      </c>
      <c r="Q516">
        <v>3.8</v>
      </c>
      <c r="R516">
        <f>IF(Table1[[#This Row],[rating]]="",2.6,Table1[[#This Row],[rating]])</f>
        <v>3.8</v>
      </c>
      <c r="S516" t="b">
        <v>0</v>
      </c>
      <c r="T516" t="str">
        <f>TRIM(CLEAN(Table1[[#This Row],[is_active]]))</f>
        <v>FALSE</v>
      </c>
      <c r="U51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16" s="11" t="str">
        <f>TRIM(IF(Table1[[#This Row],[is_active3]]="Unknown","TRUE",Table1[[#This Row],[is_active3]]))</f>
        <v>TRUE</v>
      </c>
      <c r="X516">
        <f>IF(Table1[[#This Row],[client_satisfaction]]&gt;1,Table1[[#This Row],[client_satisfaction]]/100,Table1[[#This Row],[client_satisfaction]])</f>
        <v>0</v>
      </c>
      <c r="Y516">
        <f>IF(Table1[[#This Row],[client_satisfaction2]]=0,0.75,Table1[[#This Row],[client_satisfaction2]])</f>
        <v>0.75</v>
      </c>
    </row>
    <row r="517" spans="1:25" x14ac:dyDescent="0.25">
      <c r="A517" t="s">
        <v>1112</v>
      </c>
      <c r="B517" t="s">
        <v>1113</v>
      </c>
      <c r="C517" t="str">
        <f>PROPER(TRIM(SUBSTITUTE(SUBSTITUTE(SUBSTITUTE(Table1[[#This Row],[name]],"Ms. ",""),"Mr. ",""),"Mrs. ","")))</f>
        <v>Heather Davis</v>
      </c>
      <c r="D517" t="s">
        <v>39</v>
      </c>
      <c r="E5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17">
        <v>36</v>
      </c>
      <c r="G517" t="str">
        <f>TRIM(IF(Table1[[#This Row],[age]]="","Unknown",Table1[[#This Row],[age]]))</f>
        <v>36</v>
      </c>
      <c r="H517" t="s">
        <v>85</v>
      </c>
      <c r="I517" t="s">
        <v>86</v>
      </c>
      <c r="J517" t="s">
        <v>114</v>
      </c>
      <c r="K517">
        <v>9</v>
      </c>
      <c r="L517" s="10" t="str">
        <f>TRIM(IF(Table1[[#This Row],[years_of_experience]]="","Unknown",Table1[[#This Row],[years_of_experience]]))</f>
        <v>9</v>
      </c>
      <c r="M517" t="s">
        <v>45</v>
      </c>
      <c r="N517" t="str">
        <f>IF(Table1[[#This Row],[hourly_rate (USD)]]="",MEDIAN(Table1[hourly_rate (USD)]),Table1[[#This Row],[hourly_rate (USD)]])</f>
        <v>$30</v>
      </c>
      <c r="O517" t="str">
        <f>TRIM(CLEAN(Table1[[#This Row],[Updated hourly_rate (USD)]]))</f>
        <v>$30</v>
      </c>
      <c r="P517" t="str">
        <f>SUBSTITUTE(SUBSTITUTE(Table1[[#This Row],[Formatted hourly rate]],"USD ",""),"$","")</f>
        <v>30</v>
      </c>
      <c r="Q517">
        <v>0</v>
      </c>
      <c r="R517">
        <f>IF(Table1[[#This Row],[rating]]="",2.6,Table1[[#This Row],[rating]])</f>
        <v>0</v>
      </c>
      <c r="S517" t="s">
        <v>68</v>
      </c>
      <c r="T517" t="str">
        <f>TRIM(CLEAN(Table1[[#This Row],[is_active]]))</f>
        <v>yes</v>
      </c>
      <c r="U51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17" s="11" t="str">
        <f>TRIM(IF(Table1[[#This Row],[is_active3]]="Unknown","TRUE",Table1[[#This Row],[is_active3]]))</f>
        <v>TRUE</v>
      </c>
      <c r="W517">
        <v>0.78</v>
      </c>
      <c r="X517">
        <f>IF(Table1[[#This Row],[client_satisfaction]]&gt;1,Table1[[#This Row],[client_satisfaction]]/100,Table1[[#This Row],[client_satisfaction]])</f>
        <v>0.78</v>
      </c>
      <c r="Y517">
        <f>IF(Table1[[#This Row],[client_satisfaction2]]=0,0.75,Table1[[#This Row],[client_satisfaction2]])</f>
        <v>0.78</v>
      </c>
    </row>
    <row r="518" spans="1:25" x14ac:dyDescent="0.25">
      <c r="A518" t="s">
        <v>1114</v>
      </c>
      <c r="B518" t="s">
        <v>1115</v>
      </c>
      <c r="C518" t="str">
        <f>PROPER(TRIM(SUBSTITUTE(SUBSTITUTE(SUBSTITUTE(Table1[[#This Row],[name]],"Ms. ",""),"Mr. ",""),"Mrs. ","")))</f>
        <v>Diana Chase</v>
      </c>
      <c r="D518" t="s">
        <v>20</v>
      </c>
      <c r="E5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18">
        <v>36</v>
      </c>
      <c r="G518" t="str">
        <f>TRIM(IF(Table1[[#This Row],[age]]="","Unknown",Table1[[#This Row],[age]]))</f>
        <v>36</v>
      </c>
      <c r="H518" t="s">
        <v>62</v>
      </c>
      <c r="I518" t="s">
        <v>63</v>
      </c>
      <c r="J518" t="s">
        <v>44</v>
      </c>
      <c r="K518">
        <v>3</v>
      </c>
      <c r="L518" s="10" t="str">
        <f>TRIM(IF(Table1[[#This Row],[years_of_experience]]="","Unknown",Table1[[#This Row],[years_of_experience]]))</f>
        <v>3</v>
      </c>
      <c r="M518" t="s">
        <v>98</v>
      </c>
      <c r="N518" t="str">
        <f>IF(Table1[[#This Row],[hourly_rate (USD)]]="",MEDIAN(Table1[hourly_rate (USD)]),Table1[[#This Row],[hourly_rate (USD)]])</f>
        <v>USD 50</v>
      </c>
      <c r="O518" t="str">
        <f>TRIM(CLEAN(Table1[[#This Row],[Updated hourly_rate (USD)]]))</f>
        <v>USD 50</v>
      </c>
      <c r="P518" t="str">
        <f>SUBSTITUTE(SUBSTITUTE(Table1[[#This Row],[Formatted hourly rate]],"USD ",""),"$","")</f>
        <v>50</v>
      </c>
      <c r="Q518">
        <v>0</v>
      </c>
      <c r="R518">
        <f>IF(Table1[[#This Row],[rating]]="",2.6,Table1[[#This Row],[rating]])</f>
        <v>0</v>
      </c>
      <c r="S518" t="s">
        <v>159</v>
      </c>
      <c r="T518" t="str">
        <f>TRIM(CLEAN(Table1[[#This Row],[is_active]]))</f>
        <v>no</v>
      </c>
      <c r="U5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18" s="11" t="str">
        <f>TRIM(IF(Table1[[#This Row],[is_active3]]="Unknown","TRUE",Table1[[#This Row],[is_active3]]))</f>
        <v>FALSE</v>
      </c>
      <c r="W518">
        <v>75</v>
      </c>
      <c r="X518">
        <f>IF(Table1[[#This Row],[client_satisfaction]]&gt;1,Table1[[#This Row],[client_satisfaction]]/100,Table1[[#This Row],[client_satisfaction]])</f>
        <v>0.75</v>
      </c>
      <c r="Y518">
        <f>IF(Table1[[#This Row],[client_satisfaction2]]=0,0.75,Table1[[#This Row],[client_satisfaction2]])</f>
        <v>0.75</v>
      </c>
    </row>
    <row r="519" spans="1:25" x14ac:dyDescent="0.25">
      <c r="A519" t="s">
        <v>1116</v>
      </c>
      <c r="B519" t="s">
        <v>1117</v>
      </c>
      <c r="C519" t="str">
        <f>PROPER(TRIM(SUBSTITUTE(SUBSTITUTE(SUBSTITUTE(Table1[[#This Row],[name]],"Ms. ",""),"Mr. ",""),"Mrs. ","")))</f>
        <v>Danielle Adkins</v>
      </c>
      <c r="D519" t="s">
        <v>34</v>
      </c>
      <c r="E5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19">
        <v>43</v>
      </c>
      <c r="G519" t="str">
        <f>TRIM(IF(Table1[[#This Row],[age]]="","Unknown",Table1[[#This Row],[age]]))</f>
        <v>43</v>
      </c>
      <c r="H519" t="s">
        <v>175</v>
      </c>
      <c r="I519" t="s">
        <v>176</v>
      </c>
      <c r="J519" t="s">
        <v>44</v>
      </c>
      <c r="K519">
        <v>15</v>
      </c>
      <c r="L519" s="10" t="str">
        <f>TRIM(IF(Table1[[#This Row],[years_of_experience]]="","Unknown",Table1[[#This Row],[years_of_experience]]))</f>
        <v>15</v>
      </c>
      <c r="M519" t="s">
        <v>121</v>
      </c>
      <c r="N519" t="str">
        <f>IF(Table1[[#This Row],[hourly_rate (USD)]]="",MEDIAN(Table1[hourly_rate (USD)]),Table1[[#This Row],[hourly_rate (USD)]])</f>
        <v>$20</v>
      </c>
      <c r="O519" t="str">
        <f>TRIM(CLEAN(Table1[[#This Row],[Updated hourly_rate (USD)]]))</f>
        <v>$20</v>
      </c>
      <c r="P519" t="str">
        <f>SUBSTITUTE(SUBSTITUTE(Table1[[#This Row],[Formatted hourly rate]],"USD ",""),"$","")</f>
        <v>20</v>
      </c>
      <c r="Q519">
        <v>4.2</v>
      </c>
      <c r="R519">
        <f>IF(Table1[[#This Row],[rating]]="",2.6,Table1[[#This Row],[rating]])</f>
        <v>4.2</v>
      </c>
      <c r="S519" t="b">
        <v>1</v>
      </c>
      <c r="T519" t="str">
        <f>TRIM(CLEAN(Table1[[#This Row],[is_active]]))</f>
        <v>TRUE</v>
      </c>
      <c r="U51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19" s="11" t="str">
        <f>TRIM(IF(Table1[[#This Row],[is_active3]]="Unknown","TRUE",Table1[[#This Row],[is_active3]]))</f>
        <v>TRUE</v>
      </c>
      <c r="W519">
        <v>0.91</v>
      </c>
      <c r="X519">
        <f>IF(Table1[[#This Row],[client_satisfaction]]&gt;1,Table1[[#This Row],[client_satisfaction]]/100,Table1[[#This Row],[client_satisfaction]])</f>
        <v>0.91</v>
      </c>
      <c r="Y519">
        <f>IF(Table1[[#This Row],[client_satisfaction2]]=0,0.75,Table1[[#This Row],[client_satisfaction2]])</f>
        <v>0.91</v>
      </c>
    </row>
    <row r="520" spans="1:25" x14ac:dyDescent="0.25">
      <c r="A520" t="s">
        <v>1118</v>
      </c>
      <c r="B520" t="s">
        <v>1119</v>
      </c>
      <c r="C520" t="str">
        <f>PROPER(TRIM(SUBSTITUTE(SUBSTITUTE(SUBSTITUTE(Table1[[#This Row],[name]],"Ms. ",""),"Mr. ",""),"Mrs. ","")))</f>
        <v>Kenneth Arias</v>
      </c>
      <c r="D520" t="s">
        <v>97</v>
      </c>
      <c r="E5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20">
        <v>52</v>
      </c>
      <c r="G520" t="str">
        <f>TRIM(IF(Table1[[#This Row],[age]]="","Unknown",Table1[[#This Row],[age]]))</f>
        <v>52</v>
      </c>
      <c r="H520" t="s">
        <v>67</v>
      </c>
      <c r="I520" t="s">
        <v>22</v>
      </c>
      <c r="J520" t="s">
        <v>51</v>
      </c>
      <c r="K520">
        <v>21</v>
      </c>
      <c r="L520" s="10" t="str">
        <f>TRIM(IF(Table1[[#This Row],[years_of_experience]]="","Unknown",Table1[[#This Row],[years_of_experience]]))</f>
        <v>21</v>
      </c>
      <c r="M520" t="s">
        <v>52</v>
      </c>
      <c r="N520" t="str">
        <f>IF(Table1[[#This Row],[hourly_rate (USD)]]="",MEDIAN(Table1[hourly_rate (USD)]),Table1[[#This Row],[hourly_rate (USD)]])</f>
        <v>USD 75</v>
      </c>
      <c r="O520" t="str">
        <f>TRIM(CLEAN(Table1[[#This Row],[Updated hourly_rate (USD)]]))</f>
        <v>USD 75</v>
      </c>
      <c r="P520" t="str">
        <f>SUBSTITUTE(SUBSTITUTE(Table1[[#This Row],[Formatted hourly rate]],"USD ",""),"$","")</f>
        <v>75</v>
      </c>
      <c r="Q520">
        <v>2.2000000000000002</v>
      </c>
      <c r="R520">
        <f>IF(Table1[[#This Row],[rating]]="",2.6,Table1[[#This Row],[rating]])</f>
        <v>2.2000000000000002</v>
      </c>
      <c r="S520">
        <v>1</v>
      </c>
      <c r="T520" t="str">
        <f>TRIM(CLEAN(Table1[[#This Row],[is_active]]))</f>
        <v>1</v>
      </c>
      <c r="U52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20" s="11" t="str">
        <f>TRIM(IF(Table1[[#This Row],[is_active3]]="Unknown","TRUE",Table1[[#This Row],[is_active3]]))</f>
        <v>TRUE</v>
      </c>
      <c r="W520">
        <v>0.66</v>
      </c>
      <c r="X520">
        <f>IF(Table1[[#This Row],[client_satisfaction]]&gt;1,Table1[[#This Row],[client_satisfaction]]/100,Table1[[#This Row],[client_satisfaction]])</f>
        <v>0.66</v>
      </c>
      <c r="Y520">
        <f>IF(Table1[[#This Row],[client_satisfaction2]]=0,0.75,Table1[[#This Row],[client_satisfaction2]])</f>
        <v>0.66</v>
      </c>
    </row>
    <row r="521" spans="1:25" x14ac:dyDescent="0.25">
      <c r="A521" t="s">
        <v>1120</v>
      </c>
      <c r="B521" t="s">
        <v>1121</v>
      </c>
      <c r="C521" t="str">
        <f>PROPER(TRIM(SUBSTITUTE(SUBSTITUTE(SUBSTITUTE(Table1[[#This Row],[name]],"Ms. ",""),"Mr. ",""),"Mrs. ","")))</f>
        <v>Victoria Owen</v>
      </c>
      <c r="D521" t="s">
        <v>34</v>
      </c>
      <c r="E5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21">
        <v>28</v>
      </c>
      <c r="G521" t="str">
        <f>TRIM(IF(Table1[[#This Row],[age]]="","Unknown",Table1[[#This Row],[age]]))</f>
        <v>28</v>
      </c>
      <c r="H521" t="s">
        <v>49</v>
      </c>
      <c r="I521" t="s">
        <v>50</v>
      </c>
      <c r="J521" t="s">
        <v>78</v>
      </c>
      <c r="K521">
        <v>2</v>
      </c>
      <c r="L521" s="10" t="str">
        <f>TRIM(IF(Table1[[#This Row],[years_of_experience]]="","Unknown",Table1[[#This Row],[years_of_experience]]))</f>
        <v>2</v>
      </c>
      <c r="M521" t="s">
        <v>52</v>
      </c>
      <c r="N521" t="str">
        <f>IF(Table1[[#This Row],[hourly_rate (USD)]]="",MEDIAN(Table1[hourly_rate (USD)]),Table1[[#This Row],[hourly_rate (USD)]])</f>
        <v>USD 75</v>
      </c>
      <c r="O521" t="str">
        <f>TRIM(CLEAN(Table1[[#This Row],[Updated hourly_rate (USD)]]))</f>
        <v>USD 75</v>
      </c>
      <c r="P521" t="str">
        <f>SUBSTITUTE(SUBSTITUTE(Table1[[#This Row],[Formatted hourly rate]],"USD ",""),"$","")</f>
        <v>75</v>
      </c>
      <c r="Q521">
        <v>1.5</v>
      </c>
      <c r="R521">
        <f>IF(Table1[[#This Row],[rating]]="",2.6,Table1[[#This Row],[rating]])</f>
        <v>1.5</v>
      </c>
      <c r="S521">
        <v>1</v>
      </c>
      <c r="T521" t="str">
        <f>TRIM(CLEAN(Table1[[#This Row],[is_active]]))</f>
        <v>1</v>
      </c>
      <c r="U5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21" s="11" t="str">
        <f>TRIM(IF(Table1[[#This Row],[is_active3]]="Unknown","TRUE",Table1[[#This Row],[is_active3]]))</f>
        <v>TRUE</v>
      </c>
      <c r="W521">
        <v>0.68</v>
      </c>
      <c r="X521">
        <f>IF(Table1[[#This Row],[client_satisfaction]]&gt;1,Table1[[#This Row],[client_satisfaction]]/100,Table1[[#This Row],[client_satisfaction]])</f>
        <v>0.68</v>
      </c>
      <c r="Y521">
        <f>IF(Table1[[#This Row],[client_satisfaction2]]=0,0.75,Table1[[#This Row],[client_satisfaction2]])</f>
        <v>0.68</v>
      </c>
    </row>
    <row r="522" spans="1:25" x14ac:dyDescent="0.25">
      <c r="A522" t="s">
        <v>1122</v>
      </c>
      <c r="B522" t="s">
        <v>1123</v>
      </c>
      <c r="C522" t="str">
        <f>PROPER(TRIM(SUBSTITUTE(SUBSTITUTE(SUBSTITUTE(Table1[[#This Row],[name]],"Ms. ",""),"Mr. ",""),"Mrs. ","")))</f>
        <v>Christina King</v>
      </c>
      <c r="D522" t="s">
        <v>77</v>
      </c>
      <c r="E5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22">
        <v>47</v>
      </c>
      <c r="G522" t="str">
        <f>TRIM(IF(Table1[[#This Row],[age]]="","Unknown",Table1[[#This Row],[age]]))</f>
        <v>47</v>
      </c>
      <c r="H522" t="s">
        <v>175</v>
      </c>
      <c r="I522" t="s">
        <v>176</v>
      </c>
      <c r="J522" t="s">
        <v>78</v>
      </c>
      <c r="K522">
        <v>21</v>
      </c>
      <c r="L522" s="10" t="str">
        <f>TRIM(IF(Table1[[#This Row],[years_of_experience]]="","Unknown",Table1[[#This Row],[years_of_experience]]))</f>
        <v>21</v>
      </c>
      <c r="M522" t="s">
        <v>229</v>
      </c>
      <c r="N522" t="str">
        <f>IF(Table1[[#This Row],[hourly_rate (USD)]]="",MEDIAN(Table1[hourly_rate (USD)]),Table1[[#This Row],[hourly_rate (USD)]])</f>
        <v>$100</v>
      </c>
      <c r="O522" t="str">
        <f>TRIM(CLEAN(Table1[[#This Row],[Updated hourly_rate (USD)]]))</f>
        <v>$100</v>
      </c>
      <c r="P522" t="str">
        <f>SUBSTITUTE(SUBSTITUTE(Table1[[#This Row],[Formatted hourly rate]],"USD ",""),"$","")</f>
        <v>100</v>
      </c>
      <c r="Q522">
        <v>0</v>
      </c>
      <c r="R522">
        <f>IF(Table1[[#This Row],[rating]]="",2.6,Table1[[#This Row],[rating]])</f>
        <v>0</v>
      </c>
      <c r="S522" t="s">
        <v>31</v>
      </c>
      <c r="T522" t="str">
        <f>TRIM(CLEAN(Table1[[#This Row],[is_active]]))</f>
        <v>N</v>
      </c>
      <c r="U52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22" s="11" t="str">
        <f>TRIM(IF(Table1[[#This Row],[is_active3]]="Unknown","TRUE",Table1[[#This Row],[is_active3]]))</f>
        <v>FALSE</v>
      </c>
      <c r="X522">
        <f>IF(Table1[[#This Row],[client_satisfaction]]&gt;1,Table1[[#This Row],[client_satisfaction]]/100,Table1[[#This Row],[client_satisfaction]])</f>
        <v>0</v>
      </c>
      <c r="Y522">
        <f>IF(Table1[[#This Row],[client_satisfaction2]]=0,0.75,Table1[[#This Row],[client_satisfaction2]])</f>
        <v>0.75</v>
      </c>
    </row>
    <row r="523" spans="1:25" x14ac:dyDescent="0.25">
      <c r="A523" t="s">
        <v>1124</v>
      </c>
      <c r="B523" t="s">
        <v>1125</v>
      </c>
      <c r="C523" t="str">
        <f>PROPER(TRIM(SUBSTITUTE(SUBSTITUTE(SUBSTITUTE(Table1[[#This Row],[name]],"Ms. ",""),"Mr. ",""),"Mrs. ","")))</f>
        <v>Samantha King</v>
      </c>
      <c r="D523" t="s">
        <v>39</v>
      </c>
      <c r="E5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23">
        <v>30</v>
      </c>
      <c r="G523" t="str">
        <f>TRIM(IF(Table1[[#This Row],[age]]="","Unknown",Table1[[#This Row],[age]]))</f>
        <v>30</v>
      </c>
      <c r="H523" t="s">
        <v>135</v>
      </c>
      <c r="I523" t="s">
        <v>136</v>
      </c>
      <c r="J523" t="s">
        <v>89</v>
      </c>
      <c r="K523">
        <v>0</v>
      </c>
      <c r="L523" s="10" t="str">
        <f>TRIM(IF(Table1[[#This Row],[years_of_experience]]="","Unknown",Table1[[#This Row],[years_of_experience]]))</f>
        <v>0</v>
      </c>
      <c r="M523" t="s">
        <v>24</v>
      </c>
      <c r="N523" t="str">
        <f>IF(Table1[[#This Row],[hourly_rate (USD)]]="",MEDIAN(Table1[hourly_rate (USD)]),Table1[[#This Row],[hourly_rate (USD)]])</f>
        <v>USD 100</v>
      </c>
      <c r="O523" t="str">
        <f>TRIM(CLEAN(Table1[[#This Row],[Updated hourly_rate (USD)]]))</f>
        <v>USD 100</v>
      </c>
      <c r="P523" t="str">
        <f>SUBSTITUTE(SUBSTITUTE(Table1[[#This Row],[Formatted hourly rate]],"USD ",""),"$","")</f>
        <v>100</v>
      </c>
      <c r="Q523">
        <v>4.0999999999999996</v>
      </c>
      <c r="R523">
        <f>IF(Table1[[#This Row],[rating]]="",2.6,Table1[[#This Row],[rating]])</f>
        <v>4.0999999999999996</v>
      </c>
      <c r="S523">
        <v>0</v>
      </c>
      <c r="T523" t="str">
        <f>TRIM(CLEAN(Table1[[#This Row],[is_active]]))</f>
        <v>0</v>
      </c>
      <c r="U52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23" s="11" t="str">
        <f>TRIM(IF(Table1[[#This Row],[is_active3]]="Unknown","TRUE",Table1[[#This Row],[is_active3]]))</f>
        <v>FALSE</v>
      </c>
      <c r="W523">
        <v>0.62</v>
      </c>
      <c r="X523">
        <f>IF(Table1[[#This Row],[client_satisfaction]]&gt;1,Table1[[#This Row],[client_satisfaction]]/100,Table1[[#This Row],[client_satisfaction]])</f>
        <v>0.62</v>
      </c>
      <c r="Y523">
        <f>IF(Table1[[#This Row],[client_satisfaction2]]=0,0.75,Table1[[#This Row],[client_satisfaction2]])</f>
        <v>0.62</v>
      </c>
    </row>
    <row r="524" spans="1:25" x14ac:dyDescent="0.25">
      <c r="A524" t="s">
        <v>1126</v>
      </c>
      <c r="B524" t="s">
        <v>1127</v>
      </c>
      <c r="C524" t="str">
        <f>PROPER(TRIM(SUBSTITUTE(SUBSTITUTE(SUBSTITUTE(Table1[[#This Row],[name]],"Ms. ",""),"Mr. ",""),"Mrs. ","")))</f>
        <v>Scott Compton</v>
      </c>
      <c r="D524" t="s">
        <v>48</v>
      </c>
      <c r="E5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24">
        <v>36</v>
      </c>
      <c r="G524" t="str">
        <f>TRIM(IF(Table1[[#This Row],[age]]="","Unknown",Table1[[#This Row],[age]]))</f>
        <v>36</v>
      </c>
      <c r="H524" t="s">
        <v>139</v>
      </c>
      <c r="I524" t="s">
        <v>140</v>
      </c>
      <c r="J524" t="s">
        <v>17</v>
      </c>
      <c r="K524">
        <v>4</v>
      </c>
      <c r="L524" s="10" t="str">
        <f>TRIM(IF(Table1[[#This Row],[years_of_experience]]="","Unknown",Table1[[#This Row],[years_of_experience]]))</f>
        <v>4</v>
      </c>
      <c r="M524">
        <v>40</v>
      </c>
      <c r="N524">
        <f>IF(Table1[[#This Row],[hourly_rate (USD)]]="",MEDIAN(Table1[hourly_rate (USD)]),Table1[[#This Row],[hourly_rate (USD)]])</f>
        <v>40</v>
      </c>
      <c r="O524" t="str">
        <f>TRIM(CLEAN(Table1[[#This Row],[Updated hourly_rate (USD)]]))</f>
        <v>40</v>
      </c>
      <c r="P524" t="str">
        <f>SUBSTITUTE(SUBSTITUTE(Table1[[#This Row],[Formatted hourly rate]],"USD ",""),"$","")</f>
        <v>40</v>
      </c>
      <c r="Q524">
        <v>2.6</v>
      </c>
      <c r="R524">
        <f>IF(Table1[[#This Row],[rating]]="",2.6,Table1[[#This Row],[rating]])</f>
        <v>2.6</v>
      </c>
      <c r="S524" t="s">
        <v>159</v>
      </c>
      <c r="T524" t="str">
        <f>TRIM(CLEAN(Table1[[#This Row],[is_active]]))</f>
        <v>no</v>
      </c>
      <c r="U52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24" s="11" t="str">
        <f>TRIM(IF(Table1[[#This Row],[is_active3]]="Unknown","TRUE",Table1[[#This Row],[is_active3]]))</f>
        <v>FALSE</v>
      </c>
      <c r="W524">
        <v>0.9</v>
      </c>
      <c r="X524">
        <f>IF(Table1[[#This Row],[client_satisfaction]]&gt;1,Table1[[#This Row],[client_satisfaction]]/100,Table1[[#This Row],[client_satisfaction]])</f>
        <v>0.9</v>
      </c>
      <c r="Y524">
        <f>IF(Table1[[#This Row],[client_satisfaction2]]=0,0.75,Table1[[#This Row],[client_satisfaction2]])</f>
        <v>0.9</v>
      </c>
    </row>
    <row r="525" spans="1:25" x14ac:dyDescent="0.25">
      <c r="A525" t="s">
        <v>1128</v>
      </c>
      <c r="B525" t="s">
        <v>1129</v>
      </c>
      <c r="C525" t="str">
        <f>PROPER(TRIM(SUBSTITUTE(SUBSTITUTE(SUBSTITUTE(Table1[[#This Row],[name]],"Ms. ",""),"Mr. ",""),"Mrs. ","")))</f>
        <v>Monica West</v>
      </c>
      <c r="D525" t="s">
        <v>20</v>
      </c>
      <c r="E5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25">
        <v>45</v>
      </c>
      <c r="G525" t="str">
        <f>TRIM(IF(Table1[[#This Row],[age]]="","Unknown",Table1[[#This Row],[age]]))</f>
        <v>45</v>
      </c>
      <c r="H525" t="s">
        <v>58</v>
      </c>
      <c r="I525" t="s">
        <v>22</v>
      </c>
      <c r="J525" t="s">
        <v>73</v>
      </c>
      <c r="K525">
        <v>23</v>
      </c>
      <c r="L525" s="10" t="str">
        <f>TRIM(IF(Table1[[#This Row],[years_of_experience]]="","Unknown",Table1[[#This Row],[years_of_experience]]))</f>
        <v>23</v>
      </c>
      <c r="M525">
        <v>100</v>
      </c>
      <c r="N525">
        <f>IF(Table1[[#This Row],[hourly_rate (USD)]]="",MEDIAN(Table1[hourly_rate (USD)]),Table1[[#This Row],[hourly_rate (USD)]])</f>
        <v>100</v>
      </c>
      <c r="O525" t="str">
        <f>TRIM(CLEAN(Table1[[#This Row],[Updated hourly_rate (USD)]]))</f>
        <v>100</v>
      </c>
      <c r="P525" t="str">
        <f>SUBSTITUTE(SUBSTITUTE(Table1[[#This Row],[Formatted hourly rate]],"USD ",""),"$","")</f>
        <v>100</v>
      </c>
      <c r="Q525">
        <v>2.4</v>
      </c>
      <c r="R525">
        <f>IF(Table1[[#This Row],[rating]]="",2.6,Table1[[#This Row],[rating]])</f>
        <v>2.4</v>
      </c>
      <c r="S525" t="b">
        <v>0</v>
      </c>
      <c r="T525" t="str">
        <f>TRIM(CLEAN(Table1[[#This Row],[is_active]]))</f>
        <v>FALSE</v>
      </c>
      <c r="U52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25" s="11" t="str">
        <f>TRIM(IF(Table1[[#This Row],[is_active3]]="Unknown","TRUE",Table1[[#This Row],[is_active3]]))</f>
        <v>TRUE</v>
      </c>
      <c r="W525">
        <v>0.96</v>
      </c>
      <c r="X525">
        <f>IF(Table1[[#This Row],[client_satisfaction]]&gt;1,Table1[[#This Row],[client_satisfaction]]/100,Table1[[#This Row],[client_satisfaction]])</f>
        <v>0.96</v>
      </c>
      <c r="Y525">
        <f>IF(Table1[[#This Row],[client_satisfaction2]]=0,0.75,Table1[[#This Row],[client_satisfaction2]])</f>
        <v>0.96</v>
      </c>
    </row>
    <row r="526" spans="1:25" x14ac:dyDescent="0.25">
      <c r="A526" t="s">
        <v>1130</v>
      </c>
      <c r="B526" t="s">
        <v>1131</v>
      </c>
      <c r="C526" t="str">
        <f>PROPER(TRIM(SUBSTITUTE(SUBSTITUTE(SUBSTITUTE(Table1[[#This Row],[name]],"Ms. ",""),"Mr. ",""),"Mrs. ","")))</f>
        <v>Theresa Stewart</v>
      </c>
      <c r="D526" t="s">
        <v>34</v>
      </c>
      <c r="E5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26">
        <v>51</v>
      </c>
      <c r="G526" t="str">
        <f>TRIM(IF(Table1[[#This Row],[age]]="","Unknown",Table1[[#This Row],[age]]))</f>
        <v>51</v>
      </c>
      <c r="H526" t="s">
        <v>58</v>
      </c>
      <c r="I526" t="s">
        <v>22</v>
      </c>
      <c r="J526" t="s">
        <v>17</v>
      </c>
      <c r="K526">
        <v>25</v>
      </c>
      <c r="L526" s="10" t="str">
        <f>TRIM(IF(Table1[[#This Row],[years_of_experience]]="","Unknown",Table1[[#This Row],[years_of_experience]]))</f>
        <v>25</v>
      </c>
      <c r="M526">
        <v>50</v>
      </c>
      <c r="N526">
        <f>IF(Table1[[#This Row],[hourly_rate (USD)]]="",MEDIAN(Table1[hourly_rate (USD)]),Table1[[#This Row],[hourly_rate (USD)]])</f>
        <v>50</v>
      </c>
      <c r="O526" t="str">
        <f>TRIM(CLEAN(Table1[[#This Row],[Updated hourly_rate (USD)]]))</f>
        <v>50</v>
      </c>
      <c r="P526" t="str">
        <f>SUBSTITUTE(SUBSTITUTE(Table1[[#This Row],[Formatted hourly rate]],"USD ",""),"$","")</f>
        <v>50</v>
      </c>
      <c r="Q526">
        <v>1.4</v>
      </c>
      <c r="R526">
        <f>IF(Table1[[#This Row],[rating]]="",2.6,Table1[[#This Row],[rating]])</f>
        <v>1.4</v>
      </c>
      <c r="S526" t="s">
        <v>74</v>
      </c>
      <c r="T526" t="str">
        <f>TRIM(CLEAN(Table1[[#This Row],[is_active]]))</f>
        <v>Y</v>
      </c>
      <c r="U52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26" s="11" t="str">
        <f>TRIM(IF(Table1[[#This Row],[is_active3]]="Unknown","TRUE",Table1[[#This Row],[is_active3]]))</f>
        <v>TRUE</v>
      </c>
      <c r="W526">
        <v>0.6</v>
      </c>
      <c r="X526">
        <f>IF(Table1[[#This Row],[client_satisfaction]]&gt;1,Table1[[#This Row],[client_satisfaction]]/100,Table1[[#This Row],[client_satisfaction]])</f>
        <v>0.6</v>
      </c>
      <c r="Y526">
        <f>IF(Table1[[#This Row],[client_satisfaction2]]=0,0.75,Table1[[#This Row],[client_satisfaction2]])</f>
        <v>0.6</v>
      </c>
    </row>
    <row r="527" spans="1:25" x14ac:dyDescent="0.25">
      <c r="A527" t="s">
        <v>1132</v>
      </c>
      <c r="B527" t="s">
        <v>1133</v>
      </c>
      <c r="C527" t="str">
        <f>PROPER(TRIM(SUBSTITUTE(SUBSTITUTE(SUBSTITUTE(Table1[[#This Row],[name]],"Ms. ",""),"Mr. ",""),"Mrs. ","")))</f>
        <v>Steven Kim</v>
      </c>
      <c r="D527" t="s">
        <v>48</v>
      </c>
      <c r="E5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27">
        <v>46</v>
      </c>
      <c r="G527" t="str">
        <f>TRIM(IF(Table1[[#This Row],[age]]="","Unknown",Table1[[#This Row],[age]]))</f>
        <v>46</v>
      </c>
      <c r="H527" t="s">
        <v>62</v>
      </c>
      <c r="I527" t="s">
        <v>63</v>
      </c>
      <c r="J527" t="s">
        <v>23</v>
      </c>
      <c r="K527">
        <v>10</v>
      </c>
      <c r="L527" s="10" t="str">
        <f>TRIM(IF(Table1[[#This Row],[years_of_experience]]="","Unknown",Table1[[#This Row],[years_of_experience]]))</f>
        <v>10</v>
      </c>
      <c r="N527">
        <f>IF(Table1[[#This Row],[hourly_rate (USD)]]="",MEDIAN(Table1[hourly_rate (USD)]),Table1[[#This Row],[hourly_rate (USD)]])</f>
        <v>50</v>
      </c>
      <c r="O527" t="str">
        <f>TRIM(CLEAN(Table1[[#This Row],[Updated hourly_rate (USD)]]))</f>
        <v>50</v>
      </c>
      <c r="P527" t="str">
        <f>SUBSTITUTE(SUBSTITUTE(Table1[[#This Row],[Formatted hourly rate]],"USD ",""),"$","")</f>
        <v>50</v>
      </c>
      <c r="Q527">
        <v>4.5999999999999996</v>
      </c>
      <c r="R527">
        <f>IF(Table1[[#This Row],[rating]]="",2.6,Table1[[#This Row],[rating]])</f>
        <v>4.5999999999999996</v>
      </c>
      <c r="S527" t="s">
        <v>74</v>
      </c>
      <c r="T527" t="str">
        <f>TRIM(CLEAN(Table1[[#This Row],[is_active]]))</f>
        <v>Y</v>
      </c>
      <c r="U52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27" s="11" t="str">
        <f>TRIM(IF(Table1[[#This Row],[is_active3]]="Unknown","TRUE",Table1[[#This Row],[is_active3]]))</f>
        <v>TRUE</v>
      </c>
      <c r="W527">
        <v>0.62</v>
      </c>
      <c r="X527">
        <f>IF(Table1[[#This Row],[client_satisfaction]]&gt;1,Table1[[#This Row],[client_satisfaction]]/100,Table1[[#This Row],[client_satisfaction]])</f>
        <v>0.62</v>
      </c>
      <c r="Y527">
        <f>IF(Table1[[#This Row],[client_satisfaction2]]=0,0.75,Table1[[#This Row],[client_satisfaction2]])</f>
        <v>0.62</v>
      </c>
    </row>
    <row r="528" spans="1:25" x14ac:dyDescent="0.25">
      <c r="A528" t="s">
        <v>1134</v>
      </c>
      <c r="B528" t="s">
        <v>1135</v>
      </c>
      <c r="C528" t="str">
        <f>PROPER(TRIM(SUBSTITUTE(SUBSTITUTE(SUBSTITUTE(Table1[[#This Row],[name]],"Ms. ",""),"Mr. ",""),"Mrs. ","")))</f>
        <v>Kristi Knight</v>
      </c>
      <c r="D528" t="s">
        <v>20</v>
      </c>
      <c r="E5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28">
        <v>38</v>
      </c>
      <c r="G528" t="str">
        <f>TRIM(IF(Table1[[#This Row],[age]]="","Unknown",Table1[[#This Row],[age]]))</f>
        <v>38</v>
      </c>
      <c r="H528" t="s">
        <v>15</v>
      </c>
      <c r="I528" t="s">
        <v>16</v>
      </c>
      <c r="J528" t="s">
        <v>51</v>
      </c>
      <c r="K528">
        <v>18</v>
      </c>
      <c r="L528" s="10" t="str">
        <f>TRIM(IF(Table1[[#This Row],[years_of_experience]]="","Unknown",Table1[[#This Row],[years_of_experience]]))</f>
        <v>18</v>
      </c>
      <c r="M528" t="s">
        <v>55</v>
      </c>
      <c r="N528" t="str">
        <f>IF(Table1[[#This Row],[hourly_rate (USD)]]="",MEDIAN(Table1[hourly_rate (USD)]),Table1[[#This Row],[hourly_rate (USD)]])</f>
        <v>USD 40</v>
      </c>
      <c r="O528" t="str">
        <f>TRIM(CLEAN(Table1[[#This Row],[Updated hourly_rate (USD)]]))</f>
        <v>USD 40</v>
      </c>
      <c r="P528" t="str">
        <f>SUBSTITUTE(SUBSTITUTE(Table1[[#This Row],[Formatted hourly rate]],"USD ",""),"$","")</f>
        <v>40</v>
      </c>
      <c r="Q528">
        <v>4.9000000000000004</v>
      </c>
      <c r="R528">
        <f>IF(Table1[[#This Row],[rating]]="",2.6,Table1[[#This Row],[rating]])</f>
        <v>4.9000000000000004</v>
      </c>
      <c r="S528" t="b">
        <v>0</v>
      </c>
      <c r="T528" t="str">
        <f>TRIM(CLEAN(Table1[[#This Row],[is_active]]))</f>
        <v>FALSE</v>
      </c>
      <c r="U52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28" s="11" t="str">
        <f>TRIM(IF(Table1[[#This Row],[is_active3]]="Unknown","TRUE",Table1[[#This Row],[is_active3]]))</f>
        <v>TRUE</v>
      </c>
      <c r="W528">
        <v>0.74</v>
      </c>
      <c r="X528">
        <f>IF(Table1[[#This Row],[client_satisfaction]]&gt;1,Table1[[#This Row],[client_satisfaction]]/100,Table1[[#This Row],[client_satisfaction]])</f>
        <v>0.74</v>
      </c>
      <c r="Y528">
        <f>IF(Table1[[#This Row],[client_satisfaction2]]=0,0.75,Table1[[#This Row],[client_satisfaction2]])</f>
        <v>0.74</v>
      </c>
    </row>
    <row r="529" spans="1:25" x14ac:dyDescent="0.25">
      <c r="A529" t="s">
        <v>1136</v>
      </c>
      <c r="B529" t="s">
        <v>1137</v>
      </c>
      <c r="C529" t="str">
        <f>PROPER(TRIM(SUBSTITUTE(SUBSTITUTE(SUBSTITUTE(Table1[[#This Row],[name]],"Ms. ",""),"Mr. ",""),"Mrs. ","")))</f>
        <v>Jason Bryant</v>
      </c>
      <c r="D529" t="s">
        <v>97</v>
      </c>
      <c r="E5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29">
        <v>26</v>
      </c>
      <c r="G529" t="str">
        <f>TRIM(IF(Table1[[#This Row],[age]]="","Unknown",Table1[[#This Row],[age]]))</f>
        <v>26</v>
      </c>
      <c r="H529" t="s">
        <v>190</v>
      </c>
      <c r="I529" t="s">
        <v>72</v>
      </c>
      <c r="J529" t="s">
        <v>17</v>
      </c>
      <c r="K529">
        <v>1</v>
      </c>
      <c r="L529" s="10" t="str">
        <f>TRIM(IF(Table1[[#This Row],[years_of_experience]]="","Unknown",Table1[[#This Row],[years_of_experience]]))</f>
        <v>1</v>
      </c>
      <c r="M529" t="s">
        <v>121</v>
      </c>
      <c r="N529" t="str">
        <f>IF(Table1[[#This Row],[hourly_rate (USD)]]="",MEDIAN(Table1[hourly_rate (USD)]),Table1[[#This Row],[hourly_rate (USD)]])</f>
        <v>$20</v>
      </c>
      <c r="O529" t="str">
        <f>TRIM(CLEAN(Table1[[#This Row],[Updated hourly_rate (USD)]]))</f>
        <v>$20</v>
      </c>
      <c r="P529" t="str">
        <f>SUBSTITUTE(SUBSTITUTE(Table1[[#This Row],[Formatted hourly rate]],"USD ",""),"$","")</f>
        <v>20</v>
      </c>
      <c r="Q529">
        <v>0</v>
      </c>
      <c r="R529">
        <f>IF(Table1[[#This Row],[rating]]="",2.6,Table1[[#This Row],[rating]])</f>
        <v>0</v>
      </c>
      <c r="S529">
        <v>1</v>
      </c>
      <c r="T529" t="str">
        <f>TRIM(CLEAN(Table1[[#This Row],[is_active]]))</f>
        <v>1</v>
      </c>
      <c r="U52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29" s="11" t="str">
        <f>TRIM(IF(Table1[[#This Row],[is_active3]]="Unknown","TRUE",Table1[[#This Row],[is_active3]]))</f>
        <v>TRUE</v>
      </c>
      <c r="X529">
        <f>IF(Table1[[#This Row],[client_satisfaction]]&gt;1,Table1[[#This Row],[client_satisfaction]]/100,Table1[[#This Row],[client_satisfaction]])</f>
        <v>0</v>
      </c>
      <c r="Y529">
        <f>IF(Table1[[#This Row],[client_satisfaction2]]=0,0.75,Table1[[#This Row],[client_satisfaction2]])</f>
        <v>0.75</v>
      </c>
    </row>
    <row r="530" spans="1:25" x14ac:dyDescent="0.25">
      <c r="A530" t="s">
        <v>1138</v>
      </c>
      <c r="B530" t="s">
        <v>1139</v>
      </c>
      <c r="C530" t="str">
        <f>PROPER(TRIM(SUBSTITUTE(SUBSTITUTE(SUBSTITUTE(Table1[[#This Row],[name]],"Ms. ",""),"Mr. ",""),"Mrs. ","")))</f>
        <v>Maureen Keith</v>
      </c>
      <c r="D530" t="s">
        <v>77</v>
      </c>
      <c r="E5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30">
        <v>40</v>
      </c>
      <c r="G530" t="str">
        <f>TRIM(IF(Table1[[#This Row],[age]]="","Unknown",Table1[[#This Row],[age]]))</f>
        <v>40</v>
      </c>
      <c r="H530" t="s">
        <v>67</v>
      </c>
      <c r="I530" t="s">
        <v>22</v>
      </c>
      <c r="J530" t="s">
        <v>89</v>
      </c>
      <c r="K530">
        <v>12</v>
      </c>
      <c r="L530" s="10" t="str">
        <f>TRIM(IF(Table1[[#This Row],[years_of_experience]]="","Unknown",Table1[[#This Row],[years_of_experience]]))</f>
        <v>12</v>
      </c>
      <c r="M530">
        <v>30</v>
      </c>
      <c r="N530">
        <f>IF(Table1[[#This Row],[hourly_rate (USD)]]="",MEDIAN(Table1[hourly_rate (USD)]),Table1[[#This Row],[hourly_rate (USD)]])</f>
        <v>30</v>
      </c>
      <c r="O530" t="str">
        <f>TRIM(CLEAN(Table1[[#This Row],[Updated hourly_rate (USD)]]))</f>
        <v>30</v>
      </c>
      <c r="P530" t="str">
        <f>SUBSTITUTE(SUBSTITUTE(Table1[[#This Row],[Formatted hourly rate]],"USD ",""),"$","")</f>
        <v>30</v>
      </c>
      <c r="Q530">
        <v>3.5</v>
      </c>
      <c r="R530">
        <f>IF(Table1[[#This Row],[rating]]="",2.6,Table1[[#This Row],[rating]])</f>
        <v>3.5</v>
      </c>
      <c r="T530" t="str">
        <f>TRIM(CLEAN(Table1[[#This Row],[is_active]]))</f>
        <v/>
      </c>
      <c r="U53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30" s="11" t="str">
        <f>TRIM(IF(Table1[[#This Row],[is_active3]]="Unknown","TRUE",Table1[[#This Row],[is_active3]]))</f>
        <v>TRUE</v>
      </c>
      <c r="W530">
        <v>0.98</v>
      </c>
      <c r="X530">
        <f>IF(Table1[[#This Row],[client_satisfaction]]&gt;1,Table1[[#This Row],[client_satisfaction]]/100,Table1[[#This Row],[client_satisfaction]])</f>
        <v>0.98</v>
      </c>
      <c r="Y530">
        <f>IF(Table1[[#This Row],[client_satisfaction2]]=0,0.75,Table1[[#This Row],[client_satisfaction2]])</f>
        <v>0.98</v>
      </c>
    </row>
    <row r="531" spans="1:25" x14ac:dyDescent="0.25">
      <c r="A531" t="s">
        <v>1140</v>
      </c>
      <c r="B531" t="s">
        <v>1141</v>
      </c>
      <c r="C531" t="str">
        <f>PROPER(TRIM(SUBSTITUTE(SUBSTITUTE(SUBSTITUTE(Table1[[#This Row],[name]],"Ms. ",""),"Mr. ",""),"Mrs. ","")))</f>
        <v>Shawn Hogan</v>
      </c>
      <c r="D531" t="s">
        <v>97</v>
      </c>
      <c r="E5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31">
        <v>37</v>
      </c>
      <c r="G531" t="str">
        <f>TRIM(IF(Table1[[#This Row],[age]]="","Unknown",Table1[[#This Row],[age]]))</f>
        <v>37</v>
      </c>
      <c r="H531" t="s">
        <v>28</v>
      </c>
      <c r="I531" t="s">
        <v>29</v>
      </c>
      <c r="J531" t="s">
        <v>114</v>
      </c>
      <c r="L531" s="10" t="str">
        <f>TRIM(IF(Table1[[#This Row],[years_of_experience]]="","Unknown",Table1[[#This Row],[years_of_experience]]))</f>
        <v>Unknown</v>
      </c>
      <c r="N531">
        <f>IF(Table1[[#This Row],[hourly_rate (USD)]]="",MEDIAN(Table1[hourly_rate (USD)]),Table1[[#This Row],[hourly_rate (USD)]])</f>
        <v>50</v>
      </c>
      <c r="O531" t="str">
        <f>TRIM(CLEAN(Table1[[#This Row],[Updated hourly_rate (USD)]]))</f>
        <v>50</v>
      </c>
      <c r="P531" t="str">
        <f>SUBSTITUTE(SUBSTITUTE(Table1[[#This Row],[Formatted hourly rate]],"USD ",""),"$","")</f>
        <v>50</v>
      </c>
      <c r="Q531">
        <v>1.7</v>
      </c>
      <c r="R531">
        <f>IF(Table1[[#This Row],[rating]]="",2.6,Table1[[#This Row],[rating]])</f>
        <v>1.7</v>
      </c>
      <c r="S531" t="s">
        <v>68</v>
      </c>
      <c r="T531" t="str">
        <f>TRIM(CLEAN(Table1[[#This Row],[is_active]]))</f>
        <v>yes</v>
      </c>
      <c r="U53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31" s="11" t="str">
        <f>TRIM(IF(Table1[[#This Row],[is_active3]]="Unknown","TRUE",Table1[[#This Row],[is_active3]]))</f>
        <v>TRUE</v>
      </c>
      <c r="W531">
        <v>0.63</v>
      </c>
      <c r="X531">
        <f>IF(Table1[[#This Row],[client_satisfaction]]&gt;1,Table1[[#This Row],[client_satisfaction]]/100,Table1[[#This Row],[client_satisfaction]])</f>
        <v>0.63</v>
      </c>
      <c r="Y531">
        <f>IF(Table1[[#This Row],[client_satisfaction2]]=0,0.75,Table1[[#This Row],[client_satisfaction2]])</f>
        <v>0.63</v>
      </c>
    </row>
    <row r="532" spans="1:25" x14ac:dyDescent="0.25">
      <c r="A532" t="s">
        <v>1142</v>
      </c>
      <c r="B532" t="s">
        <v>1143</v>
      </c>
      <c r="C532" t="str">
        <f>PROPER(TRIM(SUBSTITUTE(SUBSTITUTE(SUBSTITUTE(Table1[[#This Row],[name]],"Ms. ",""),"Mr. ",""),"Mrs. ","")))</f>
        <v>William Davis</v>
      </c>
      <c r="D532" t="s">
        <v>92</v>
      </c>
      <c r="E5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32">
        <v>28</v>
      </c>
      <c r="G532" t="str">
        <f>TRIM(IF(Table1[[#This Row],[age]]="","Unknown",Table1[[#This Row],[age]]))</f>
        <v>28</v>
      </c>
      <c r="H532" t="s">
        <v>128</v>
      </c>
      <c r="I532" t="s">
        <v>22</v>
      </c>
      <c r="J532" t="s">
        <v>17</v>
      </c>
      <c r="K532">
        <v>5</v>
      </c>
      <c r="L532" s="10" t="str">
        <f>TRIM(IF(Table1[[#This Row],[years_of_experience]]="","Unknown",Table1[[#This Row],[years_of_experience]]))</f>
        <v>5</v>
      </c>
      <c r="M532" t="s">
        <v>64</v>
      </c>
      <c r="N532" t="str">
        <f>IF(Table1[[#This Row],[hourly_rate (USD)]]="",MEDIAN(Table1[hourly_rate (USD)]),Table1[[#This Row],[hourly_rate (USD)]])</f>
        <v>$50</v>
      </c>
      <c r="O532" t="str">
        <f>TRIM(CLEAN(Table1[[#This Row],[Updated hourly_rate (USD)]]))</f>
        <v>$50</v>
      </c>
      <c r="P532" t="str">
        <f>SUBSTITUTE(SUBSTITUTE(Table1[[#This Row],[Formatted hourly rate]],"USD ",""),"$","")</f>
        <v>50</v>
      </c>
      <c r="Q532">
        <v>0</v>
      </c>
      <c r="R532">
        <f>IF(Table1[[#This Row],[rating]]="",2.6,Table1[[#This Row],[rating]])</f>
        <v>0</v>
      </c>
      <c r="S532" t="s">
        <v>68</v>
      </c>
      <c r="T532" t="str">
        <f>TRIM(CLEAN(Table1[[#This Row],[is_active]]))</f>
        <v>yes</v>
      </c>
      <c r="U53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32" s="11" t="str">
        <f>TRIM(IF(Table1[[#This Row],[is_active3]]="Unknown","TRUE",Table1[[#This Row],[is_active3]]))</f>
        <v>TRUE</v>
      </c>
      <c r="W532">
        <v>96</v>
      </c>
      <c r="X532">
        <f>IF(Table1[[#This Row],[client_satisfaction]]&gt;1,Table1[[#This Row],[client_satisfaction]]/100,Table1[[#This Row],[client_satisfaction]])</f>
        <v>0.96</v>
      </c>
      <c r="Y532">
        <f>IF(Table1[[#This Row],[client_satisfaction2]]=0,0.75,Table1[[#This Row],[client_satisfaction2]])</f>
        <v>0.96</v>
      </c>
    </row>
    <row r="533" spans="1:25" x14ac:dyDescent="0.25">
      <c r="A533" t="s">
        <v>1144</v>
      </c>
      <c r="B533" t="s">
        <v>1145</v>
      </c>
      <c r="C533" t="str">
        <f>PROPER(TRIM(SUBSTITUTE(SUBSTITUTE(SUBSTITUTE(Table1[[#This Row],[name]],"Ms. ",""),"Mr. ",""),"Mrs. ","")))</f>
        <v>Stacy Bailey</v>
      </c>
      <c r="D533" t="s">
        <v>39</v>
      </c>
      <c r="E5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33">
        <v>48</v>
      </c>
      <c r="G533" t="str">
        <f>TRIM(IF(Table1[[#This Row],[age]]="","Unknown",Table1[[#This Row],[age]]))</f>
        <v>48</v>
      </c>
      <c r="H533" t="s">
        <v>93</v>
      </c>
      <c r="I533" t="s">
        <v>94</v>
      </c>
      <c r="J533" t="s">
        <v>23</v>
      </c>
      <c r="K533">
        <v>28</v>
      </c>
      <c r="L533" s="10" t="str">
        <f>TRIM(IF(Table1[[#This Row],[years_of_experience]]="","Unknown",Table1[[#This Row],[years_of_experience]]))</f>
        <v>28</v>
      </c>
      <c r="M533" t="s">
        <v>314</v>
      </c>
      <c r="N533" t="str">
        <f>IF(Table1[[#This Row],[hourly_rate (USD)]]="",MEDIAN(Table1[hourly_rate (USD)]),Table1[[#This Row],[hourly_rate (USD)]])</f>
        <v>USD 20</v>
      </c>
      <c r="O533" t="str">
        <f>TRIM(CLEAN(Table1[[#This Row],[Updated hourly_rate (USD)]]))</f>
        <v>USD 20</v>
      </c>
      <c r="P533" t="str">
        <f>SUBSTITUTE(SUBSTITUTE(Table1[[#This Row],[Formatted hourly rate]],"USD ",""),"$","")</f>
        <v>20</v>
      </c>
      <c r="Q533">
        <v>0</v>
      </c>
      <c r="R533">
        <f>IF(Table1[[#This Row],[rating]]="",2.6,Table1[[#This Row],[rating]])</f>
        <v>0</v>
      </c>
      <c r="S533">
        <v>0</v>
      </c>
      <c r="T533" t="str">
        <f>TRIM(CLEAN(Table1[[#This Row],[is_active]]))</f>
        <v>0</v>
      </c>
      <c r="U5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33" s="11" t="str">
        <f>TRIM(IF(Table1[[#This Row],[is_active3]]="Unknown","TRUE",Table1[[#This Row],[is_active3]]))</f>
        <v>FALSE</v>
      </c>
      <c r="W533">
        <v>0.88</v>
      </c>
      <c r="X533">
        <f>IF(Table1[[#This Row],[client_satisfaction]]&gt;1,Table1[[#This Row],[client_satisfaction]]/100,Table1[[#This Row],[client_satisfaction]])</f>
        <v>0.88</v>
      </c>
      <c r="Y533">
        <f>IF(Table1[[#This Row],[client_satisfaction2]]=0,0.75,Table1[[#This Row],[client_satisfaction2]])</f>
        <v>0.88</v>
      </c>
    </row>
    <row r="534" spans="1:25" x14ac:dyDescent="0.25">
      <c r="A534" t="s">
        <v>1146</v>
      </c>
      <c r="B534" t="s">
        <v>1147</v>
      </c>
      <c r="C534" t="str">
        <f>PROPER(TRIM(SUBSTITUTE(SUBSTITUTE(SUBSTITUTE(Table1[[#This Row],[name]],"Ms. ",""),"Mr. ",""),"Mrs. ","")))</f>
        <v>Thomas Dixon</v>
      </c>
      <c r="D534" t="s">
        <v>61</v>
      </c>
      <c r="E5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34">
        <v>22</v>
      </c>
      <c r="G534" t="str">
        <f>TRIM(IF(Table1[[#This Row],[age]]="","Unknown",Table1[[#This Row],[age]]))</f>
        <v>22</v>
      </c>
      <c r="H534" t="s">
        <v>93</v>
      </c>
      <c r="I534" t="s">
        <v>94</v>
      </c>
      <c r="J534" t="s">
        <v>44</v>
      </c>
      <c r="K534">
        <v>0</v>
      </c>
      <c r="L534" s="10" t="str">
        <f>TRIM(IF(Table1[[#This Row],[years_of_experience]]="","Unknown",Table1[[#This Row],[years_of_experience]]))</f>
        <v>0</v>
      </c>
      <c r="N534">
        <f>IF(Table1[[#This Row],[hourly_rate (USD)]]="",MEDIAN(Table1[hourly_rate (USD)]),Table1[[#This Row],[hourly_rate (USD)]])</f>
        <v>50</v>
      </c>
      <c r="O534" t="str">
        <f>TRIM(CLEAN(Table1[[#This Row],[Updated hourly_rate (USD)]]))</f>
        <v>50</v>
      </c>
      <c r="P534" t="str">
        <f>SUBSTITUTE(SUBSTITUTE(Table1[[#This Row],[Formatted hourly rate]],"USD ",""),"$","")</f>
        <v>50</v>
      </c>
      <c r="Q534">
        <v>4.5999999999999996</v>
      </c>
      <c r="R534">
        <f>IF(Table1[[#This Row],[rating]]="",2.6,Table1[[#This Row],[rating]])</f>
        <v>4.5999999999999996</v>
      </c>
      <c r="S534" t="b">
        <v>0</v>
      </c>
      <c r="T534" t="str">
        <f>TRIM(CLEAN(Table1[[#This Row],[is_active]]))</f>
        <v>FALSE</v>
      </c>
      <c r="U53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34" s="11" t="str">
        <f>TRIM(IF(Table1[[#This Row],[is_active3]]="Unknown","TRUE",Table1[[#This Row],[is_active3]]))</f>
        <v>TRUE</v>
      </c>
      <c r="X534">
        <f>IF(Table1[[#This Row],[client_satisfaction]]&gt;1,Table1[[#This Row],[client_satisfaction]]/100,Table1[[#This Row],[client_satisfaction]])</f>
        <v>0</v>
      </c>
      <c r="Y534">
        <f>IF(Table1[[#This Row],[client_satisfaction2]]=0,0.75,Table1[[#This Row],[client_satisfaction2]])</f>
        <v>0.75</v>
      </c>
    </row>
    <row r="535" spans="1:25" x14ac:dyDescent="0.25">
      <c r="A535" t="s">
        <v>1148</v>
      </c>
      <c r="B535" t="s">
        <v>1149</v>
      </c>
      <c r="C535" t="str">
        <f>PROPER(TRIM(SUBSTITUTE(SUBSTITUTE(SUBSTITUTE(Table1[[#This Row],[name]],"Ms. ",""),"Mr. ",""),"Mrs. ","")))</f>
        <v>Maria Hall</v>
      </c>
      <c r="D535" t="s">
        <v>39</v>
      </c>
      <c r="E5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35">
        <v>41</v>
      </c>
      <c r="G535" t="str">
        <f>TRIM(IF(Table1[[#This Row],[age]]="","Unknown",Table1[[#This Row],[age]]))</f>
        <v>41</v>
      </c>
      <c r="H535" t="s">
        <v>28</v>
      </c>
      <c r="I535" t="s">
        <v>29</v>
      </c>
      <c r="J535" t="s">
        <v>35</v>
      </c>
      <c r="K535">
        <v>14</v>
      </c>
      <c r="L535" s="10" t="str">
        <f>TRIM(IF(Table1[[#This Row],[years_of_experience]]="","Unknown",Table1[[#This Row],[years_of_experience]]))</f>
        <v>14</v>
      </c>
      <c r="M535">
        <v>40</v>
      </c>
      <c r="N535">
        <f>IF(Table1[[#This Row],[hourly_rate (USD)]]="",MEDIAN(Table1[hourly_rate (USD)]),Table1[[#This Row],[hourly_rate (USD)]])</f>
        <v>40</v>
      </c>
      <c r="O535" t="str">
        <f>TRIM(CLEAN(Table1[[#This Row],[Updated hourly_rate (USD)]]))</f>
        <v>40</v>
      </c>
      <c r="P535" t="str">
        <f>SUBSTITUTE(SUBSTITUTE(Table1[[#This Row],[Formatted hourly rate]],"USD ",""),"$","")</f>
        <v>40</v>
      </c>
      <c r="Q535">
        <v>1.1000000000000001</v>
      </c>
      <c r="R535">
        <f>IF(Table1[[#This Row],[rating]]="",2.6,Table1[[#This Row],[rating]])</f>
        <v>1.1000000000000001</v>
      </c>
      <c r="S535" t="b">
        <v>1</v>
      </c>
      <c r="T535" t="str">
        <f>TRIM(CLEAN(Table1[[#This Row],[is_active]]))</f>
        <v>TRUE</v>
      </c>
      <c r="U53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35" s="11" t="str">
        <f>TRIM(IF(Table1[[#This Row],[is_active3]]="Unknown","TRUE",Table1[[#This Row],[is_active3]]))</f>
        <v>TRUE</v>
      </c>
      <c r="W535">
        <v>0.73</v>
      </c>
      <c r="X535">
        <f>IF(Table1[[#This Row],[client_satisfaction]]&gt;1,Table1[[#This Row],[client_satisfaction]]/100,Table1[[#This Row],[client_satisfaction]])</f>
        <v>0.73</v>
      </c>
      <c r="Y535">
        <f>IF(Table1[[#This Row],[client_satisfaction2]]=0,0.75,Table1[[#This Row],[client_satisfaction2]])</f>
        <v>0.73</v>
      </c>
    </row>
    <row r="536" spans="1:25" x14ac:dyDescent="0.25">
      <c r="A536" t="s">
        <v>1150</v>
      </c>
      <c r="B536" t="s">
        <v>1151</v>
      </c>
      <c r="C536" t="str">
        <f>PROPER(TRIM(SUBSTITUTE(SUBSTITUTE(SUBSTITUTE(Table1[[#This Row],[name]],"Ms. ",""),"Mr. ",""),"Mrs. ","")))</f>
        <v>Tony Lee</v>
      </c>
      <c r="D536" t="s">
        <v>61</v>
      </c>
      <c r="E5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36">
        <v>38</v>
      </c>
      <c r="G536" t="str">
        <f>TRIM(IF(Table1[[#This Row],[age]]="","Unknown",Table1[[#This Row],[age]]))</f>
        <v>38</v>
      </c>
      <c r="H536" t="s">
        <v>58</v>
      </c>
      <c r="I536" t="s">
        <v>22</v>
      </c>
      <c r="J536" t="s">
        <v>30</v>
      </c>
      <c r="K536">
        <v>15</v>
      </c>
      <c r="L536" s="10" t="str">
        <f>TRIM(IF(Table1[[#This Row],[years_of_experience]]="","Unknown",Table1[[#This Row],[years_of_experience]]))</f>
        <v>15</v>
      </c>
      <c r="N536">
        <f>IF(Table1[[#This Row],[hourly_rate (USD)]]="",MEDIAN(Table1[hourly_rate (USD)]),Table1[[#This Row],[hourly_rate (USD)]])</f>
        <v>50</v>
      </c>
      <c r="O536" t="str">
        <f>TRIM(CLEAN(Table1[[#This Row],[Updated hourly_rate (USD)]]))</f>
        <v>50</v>
      </c>
      <c r="P536" t="str">
        <f>SUBSTITUTE(SUBSTITUTE(Table1[[#This Row],[Formatted hourly rate]],"USD ",""),"$","")</f>
        <v>50</v>
      </c>
      <c r="Q536">
        <v>4.2</v>
      </c>
      <c r="R536">
        <f>IF(Table1[[#This Row],[rating]]="",2.6,Table1[[#This Row],[rating]])</f>
        <v>4.2</v>
      </c>
      <c r="S536">
        <v>0</v>
      </c>
      <c r="T536" t="str">
        <f>TRIM(CLEAN(Table1[[#This Row],[is_active]]))</f>
        <v>0</v>
      </c>
      <c r="U53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36" s="11" t="str">
        <f>TRIM(IF(Table1[[#This Row],[is_active3]]="Unknown","TRUE",Table1[[#This Row],[is_active3]]))</f>
        <v>FALSE</v>
      </c>
      <c r="W536">
        <v>0.88</v>
      </c>
      <c r="X536">
        <f>IF(Table1[[#This Row],[client_satisfaction]]&gt;1,Table1[[#This Row],[client_satisfaction]]/100,Table1[[#This Row],[client_satisfaction]])</f>
        <v>0.88</v>
      </c>
      <c r="Y536">
        <f>IF(Table1[[#This Row],[client_satisfaction2]]=0,0.75,Table1[[#This Row],[client_satisfaction2]])</f>
        <v>0.88</v>
      </c>
    </row>
    <row r="537" spans="1:25" x14ac:dyDescent="0.25">
      <c r="A537" t="s">
        <v>1152</v>
      </c>
      <c r="B537" t="s">
        <v>1153</v>
      </c>
      <c r="C537" t="str">
        <f>PROPER(TRIM(SUBSTITUTE(SUBSTITUTE(SUBSTITUTE(Table1[[#This Row],[name]],"Ms. ",""),"Mr. ",""),"Mrs. ","")))</f>
        <v>Catherine Mccoy Md</v>
      </c>
      <c r="D537" t="s">
        <v>20</v>
      </c>
      <c r="E5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37">
        <v>31</v>
      </c>
      <c r="G537" t="str">
        <f>TRIM(IF(Table1[[#This Row],[age]]="","Unknown",Table1[[#This Row],[age]]))</f>
        <v>31</v>
      </c>
      <c r="H537" t="s">
        <v>153</v>
      </c>
      <c r="I537" t="s">
        <v>154</v>
      </c>
      <c r="J537" t="s">
        <v>73</v>
      </c>
      <c r="K537">
        <v>9</v>
      </c>
      <c r="L537" s="10" t="str">
        <f>TRIM(IF(Table1[[#This Row],[years_of_experience]]="","Unknown",Table1[[#This Row],[years_of_experience]]))</f>
        <v>9</v>
      </c>
      <c r="N537">
        <f>IF(Table1[[#This Row],[hourly_rate (USD)]]="",MEDIAN(Table1[hourly_rate (USD)]),Table1[[#This Row],[hourly_rate (USD)]])</f>
        <v>50</v>
      </c>
      <c r="O537" t="str">
        <f>TRIM(CLEAN(Table1[[#This Row],[Updated hourly_rate (USD)]]))</f>
        <v>50</v>
      </c>
      <c r="P537" t="str">
        <f>SUBSTITUTE(SUBSTITUTE(Table1[[#This Row],[Formatted hourly rate]],"USD ",""),"$","")</f>
        <v>50</v>
      </c>
      <c r="Q537">
        <v>0</v>
      </c>
      <c r="R537">
        <f>IF(Table1[[#This Row],[rating]]="",2.6,Table1[[#This Row],[rating]])</f>
        <v>0</v>
      </c>
      <c r="S537" t="b">
        <v>0</v>
      </c>
      <c r="T537" t="str">
        <f>TRIM(CLEAN(Table1[[#This Row],[is_active]]))</f>
        <v>FALSE</v>
      </c>
      <c r="U53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37" s="11" t="str">
        <f>TRIM(IF(Table1[[#This Row],[is_active3]]="Unknown","TRUE",Table1[[#This Row],[is_active3]]))</f>
        <v>TRUE</v>
      </c>
      <c r="W537">
        <v>0.91</v>
      </c>
      <c r="X537">
        <f>IF(Table1[[#This Row],[client_satisfaction]]&gt;1,Table1[[#This Row],[client_satisfaction]]/100,Table1[[#This Row],[client_satisfaction]])</f>
        <v>0.91</v>
      </c>
      <c r="Y537">
        <f>IF(Table1[[#This Row],[client_satisfaction2]]=0,0.75,Table1[[#This Row],[client_satisfaction2]])</f>
        <v>0.91</v>
      </c>
    </row>
    <row r="538" spans="1:25" x14ac:dyDescent="0.25">
      <c r="A538" t="s">
        <v>1154</v>
      </c>
      <c r="B538" t="s">
        <v>1155</v>
      </c>
      <c r="C538" t="str">
        <f>PROPER(TRIM(SUBSTITUTE(SUBSTITUTE(SUBSTITUTE(Table1[[#This Row],[name]],"Ms. ",""),"Mr. ",""),"Mrs. ","")))</f>
        <v>Maria Benitez</v>
      </c>
      <c r="D538" t="s">
        <v>34</v>
      </c>
      <c r="E5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38">
        <v>30</v>
      </c>
      <c r="G538" t="str">
        <f>TRIM(IF(Table1[[#This Row],[age]]="","Unknown",Table1[[#This Row],[age]]))</f>
        <v>30</v>
      </c>
      <c r="H538" t="s">
        <v>175</v>
      </c>
      <c r="I538" t="s">
        <v>176</v>
      </c>
      <c r="J538" t="s">
        <v>23</v>
      </c>
      <c r="K538">
        <v>9</v>
      </c>
      <c r="L538" s="10" t="str">
        <f>TRIM(IF(Table1[[#This Row],[years_of_experience]]="","Unknown",Table1[[#This Row],[years_of_experience]]))</f>
        <v>9</v>
      </c>
      <c r="M538" t="s">
        <v>45</v>
      </c>
      <c r="N538" t="str">
        <f>IF(Table1[[#This Row],[hourly_rate (USD)]]="",MEDIAN(Table1[hourly_rate (USD)]),Table1[[#This Row],[hourly_rate (USD)]])</f>
        <v>$30</v>
      </c>
      <c r="O538" t="str">
        <f>TRIM(CLEAN(Table1[[#This Row],[Updated hourly_rate (USD)]]))</f>
        <v>$30</v>
      </c>
      <c r="P538" t="str">
        <f>SUBSTITUTE(SUBSTITUTE(Table1[[#This Row],[Formatted hourly rate]],"USD ",""),"$","")</f>
        <v>30</v>
      </c>
      <c r="Q538">
        <v>3.9</v>
      </c>
      <c r="R538">
        <f>IF(Table1[[#This Row],[rating]]="",2.6,Table1[[#This Row],[rating]])</f>
        <v>3.9</v>
      </c>
      <c r="S538" t="s">
        <v>159</v>
      </c>
      <c r="T538" t="str">
        <f>TRIM(CLEAN(Table1[[#This Row],[is_active]]))</f>
        <v>no</v>
      </c>
      <c r="U5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38" s="11" t="str">
        <f>TRIM(IF(Table1[[#This Row],[is_active3]]="Unknown","TRUE",Table1[[#This Row],[is_active3]]))</f>
        <v>FALSE</v>
      </c>
      <c r="W538">
        <v>0.65</v>
      </c>
      <c r="X538">
        <f>IF(Table1[[#This Row],[client_satisfaction]]&gt;1,Table1[[#This Row],[client_satisfaction]]/100,Table1[[#This Row],[client_satisfaction]])</f>
        <v>0.65</v>
      </c>
      <c r="Y538">
        <f>IF(Table1[[#This Row],[client_satisfaction2]]=0,0.75,Table1[[#This Row],[client_satisfaction2]])</f>
        <v>0.65</v>
      </c>
    </row>
    <row r="539" spans="1:25" x14ac:dyDescent="0.25">
      <c r="A539" t="s">
        <v>1156</v>
      </c>
      <c r="B539" t="s">
        <v>1157</v>
      </c>
      <c r="C539" t="str">
        <f>PROPER(TRIM(SUBSTITUTE(SUBSTITUTE(SUBSTITUTE(Table1[[#This Row],[name]],"Ms. ",""),"Mr. ",""),"Mrs. ","")))</f>
        <v>Joshua Chambers</v>
      </c>
      <c r="D539" t="s">
        <v>61</v>
      </c>
      <c r="E5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39">
        <v>51</v>
      </c>
      <c r="G539" t="str">
        <f>TRIM(IF(Table1[[#This Row],[age]]="","Unknown",Table1[[#This Row],[age]]))</f>
        <v>51</v>
      </c>
      <c r="H539" t="s">
        <v>179</v>
      </c>
      <c r="I539" t="s">
        <v>72</v>
      </c>
      <c r="J539" t="s">
        <v>73</v>
      </c>
      <c r="K539">
        <v>22</v>
      </c>
      <c r="L539" s="10" t="str">
        <f>TRIM(IF(Table1[[#This Row],[years_of_experience]]="","Unknown",Table1[[#This Row],[years_of_experience]]))</f>
        <v>22</v>
      </c>
      <c r="M539">
        <v>20</v>
      </c>
      <c r="N539">
        <f>IF(Table1[[#This Row],[hourly_rate (USD)]]="",MEDIAN(Table1[hourly_rate (USD)]),Table1[[#This Row],[hourly_rate (USD)]])</f>
        <v>20</v>
      </c>
      <c r="O539" t="str">
        <f>TRIM(CLEAN(Table1[[#This Row],[Updated hourly_rate (USD)]]))</f>
        <v>20</v>
      </c>
      <c r="P539" t="str">
        <f>SUBSTITUTE(SUBSTITUTE(Table1[[#This Row],[Formatted hourly rate]],"USD ",""),"$","")</f>
        <v>20</v>
      </c>
      <c r="Q539">
        <v>3.4</v>
      </c>
      <c r="R539">
        <f>IF(Table1[[#This Row],[rating]]="",2.6,Table1[[#This Row],[rating]])</f>
        <v>3.4</v>
      </c>
      <c r="S539" t="b">
        <v>1</v>
      </c>
      <c r="T539" t="str">
        <f>TRIM(CLEAN(Table1[[#This Row],[is_active]]))</f>
        <v>TRUE</v>
      </c>
      <c r="U53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39" s="11" t="str">
        <f>TRIM(IF(Table1[[#This Row],[is_active3]]="Unknown","TRUE",Table1[[#This Row],[is_active3]]))</f>
        <v>TRUE</v>
      </c>
      <c r="W539">
        <v>90</v>
      </c>
      <c r="X539">
        <f>IF(Table1[[#This Row],[client_satisfaction]]&gt;1,Table1[[#This Row],[client_satisfaction]]/100,Table1[[#This Row],[client_satisfaction]])</f>
        <v>0.9</v>
      </c>
      <c r="Y539">
        <f>IF(Table1[[#This Row],[client_satisfaction2]]=0,0.75,Table1[[#This Row],[client_satisfaction2]])</f>
        <v>0.9</v>
      </c>
    </row>
    <row r="540" spans="1:25" x14ac:dyDescent="0.25">
      <c r="A540" t="s">
        <v>1158</v>
      </c>
      <c r="B540" t="s">
        <v>1159</v>
      </c>
      <c r="C540" t="str">
        <f>PROPER(TRIM(SUBSTITUTE(SUBSTITUTE(SUBSTITUTE(Table1[[#This Row],[name]],"Ms. ",""),"Mr. ",""),"Mrs. ","")))</f>
        <v>Janice Daniels</v>
      </c>
      <c r="D540" t="s">
        <v>14</v>
      </c>
      <c r="E5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40">
        <v>21</v>
      </c>
      <c r="G540" t="str">
        <f>TRIM(IF(Table1[[#This Row],[age]]="","Unknown",Table1[[#This Row],[age]]))</f>
        <v>21</v>
      </c>
      <c r="H540" t="s">
        <v>28</v>
      </c>
      <c r="I540" t="s">
        <v>29</v>
      </c>
      <c r="J540" t="s">
        <v>89</v>
      </c>
      <c r="K540">
        <v>0</v>
      </c>
      <c r="L540" s="10" t="str">
        <f>TRIM(IF(Table1[[#This Row],[years_of_experience]]="","Unknown",Table1[[#This Row],[years_of_experience]]))</f>
        <v>0</v>
      </c>
      <c r="M540" t="s">
        <v>121</v>
      </c>
      <c r="N540" t="str">
        <f>IF(Table1[[#This Row],[hourly_rate (USD)]]="",MEDIAN(Table1[hourly_rate (USD)]),Table1[[#This Row],[hourly_rate (USD)]])</f>
        <v>$20</v>
      </c>
      <c r="O540" t="str">
        <f>TRIM(CLEAN(Table1[[#This Row],[Updated hourly_rate (USD)]]))</f>
        <v>$20</v>
      </c>
      <c r="P540" t="str">
        <f>SUBSTITUTE(SUBSTITUTE(Table1[[#This Row],[Formatted hourly rate]],"USD ",""),"$","")</f>
        <v>20</v>
      </c>
      <c r="Q540">
        <v>2.6</v>
      </c>
      <c r="R540">
        <f>IF(Table1[[#This Row],[rating]]="",2.6,Table1[[#This Row],[rating]])</f>
        <v>2.6</v>
      </c>
      <c r="S540" t="s">
        <v>31</v>
      </c>
      <c r="T540" t="str">
        <f>TRIM(CLEAN(Table1[[#This Row],[is_active]]))</f>
        <v>N</v>
      </c>
      <c r="U54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40" s="11" t="str">
        <f>TRIM(IF(Table1[[#This Row],[is_active3]]="Unknown","TRUE",Table1[[#This Row],[is_active3]]))</f>
        <v>FALSE</v>
      </c>
      <c r="W540">
        <v>0.72</v>
      </c>
      <c r="X540">
        <f>IF(Table1[[#This Row],[client_satisfaction]]&gt;1,Table1[[#This Row],[client_satisfaction]]/100,Table1[[#This Row],[client_satisfaction]])</f>
        <v>0.72</v>
      </c>
      <c r="Y540">
        <f>IF(Table1[[#This Row],[client_satisfaction2]]=0,0.75,Table1[[#This Row],[client_satisfaction2]])</f>
        <v>0.72</v>
      </c>
    </row>
    <row r="541" spans="1:25" x14ac:dyDescent="0.25">
      <c r="A541" t="s">
        <v>1160</v>
      </c>
      <c r="B541" t="s">
        <v>1161</v>
      </c>
      <c r="C541" t="str">
        <f>PROPER(TRIM(SUBSTITUTE(SUBSTITUTE(SUBSTITUTE(Table1[[#This Row],[name]],"Ms. ",""),"Mr. ",""),"Mrs. ","")))</f>
        <v>Carla Wood</v>
      </c>
      <c r="D541" t="s">
        <v>20</v>
      </c>
      <c r="E5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41">
        <v>20</v>
      </c>
      <c r="G541" t="str">
        <f>TRIM(IF(Table1[[#This Row],[age]]="","Unknown",Table1[[#This Row],[age]]))</f>
        <v>20</v>
      </c>
      <c r="H541" t="s">
        <v>15</v>
      </c>
      <c r="I541" t="s">
        <v>16</v>
      </c>
      <c r="J541" t="s">
        <v>89</v>
      </c>
      <c r="K541">
        <v>1</v>
      </c>
      <c r="L541" s="10" t="str">
        <f>TRIM(IF(Table1[[#This Row],[years_of_experience]]="","Unknown",Table1[[#This Row],[years_of_experience]]))</f>
        <v>1</v>
      </c>
      <c r="M541" t="s">
        <v>55</v>
      </c>
      <c r="N541" t="str">
        <f>IF(Table1[[#This Row],[hourly_rate (USD)]]="",MEDIAN(Table1[hourly_rate (USD)]),Table1[[#This Row],[hourly_rate (USD)]])</f>
        <v>USD 40</v>
      </c>
      <c r="O541" t="str">
        <f>TRIM(CLEAN(Table1[[#This Row],[Updated hourly_rate (USD)]]))</f>
        <v>USD 40</v>
      </c>
      <c r="P541" t="str">
        <f>SUBSTITUTE(SUBSTITUTE(Table1[[#This Row],[Formatted hourly rate]],"USD ",""),"$","")</f>
        <v>40</v>
      </c>
      <c r="Q541">
        <v>2.2999999999999998</v>
      </c>
      <c r="R541">
        <f>IF(Table1[[#This Row],[rating]]="",2.6,Table1[[#This Row],[rating]])</f>
        <v>2.2999999999999998</v>
      </c>
      <c r="S541">
        <v>1</v>
      </c>
      <c r="T541" t="str">
        <f>TRIM(CLEAN(Table1[[#This Row],[is_active]]))</f>
        <v>1</v>
      </c>
      <c r="U54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41" s="11" t="str">
        <f>TRIM(IF(Table1[[#This Row],[is_active3]]="Unknown","TRUE",Table1[[#This Row],[is_active3]]))</f>
        <v>TRUE</v>
      </c>
      <c r="W541">
        <v>0.72</v>
      </c>
      <c r="X541">
        <f>IF(Table1[[#This Row],[client_satisfaction]]&gt;1,Table1[[#This Row],[client_satisfaction]]/100,Table1[[#This Row],[client_satisfaction]])</f>
        <v>0.72</v>
      </c>
      <c r="Y541">
        <f>IF(Table1[[#This Row],[client_satisfaction2]]=0,0.75,Table1[[#This Row],[client_satisfaction2]])</f>
        <v>0.72</v>
      </c>
    </row>
    <row r="542" spans="1:25" x14ac:dyDescent="0.25">
      <c r="A542" t="s">
        <v>1162</v>
      </c>
      <c r="B542" t="s">
        <v>1163</v>
      </c>
      <c r="C542" t="str">
        <f>PROPER(TRIM(SUBSTITUTE(SUBSTITUTE(SUBSTITUTE(Table1[[#This Row],[name]],"Ms. ",""),"Mr. ",""),"Mrs. ","")))</f>
        <v>Kenneth Vasquez</v>
      </c>
      <c r="D542" t="s">
        <v>97</v>
      </c>
      <c r="E5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42">
        <v>30</v>
      </c>
      <c r="G542" t="str">
        <f>TRIM(IF(Table1[[#This Row],[age]]="","Unknown",Table1[[#This Row],[age]]))</f>
        <v>30</v>
      </c>
      <c r="H542" t="s">
        <v>85</v>
      </c>
      <c r="I542" t="s">
        <v>86</v>
      </c>
      <c r="J542" t="s">
        <v>17</v>
      </c>
      <c r="K542">
        <v>5</v>
      </c>
      <c r="L542" s="10" t="str">
        <f>TRIM(IF(Table1[[#This Row],[years_of_experience]]="","Unknown",Table1[[#This Row],[years_of_experience]]))</f>
        <v>5</v>
      </c>
      <c r="M542" t="s">
        <v>45</v>
      </c>
      <c r="N542" t="str">
        <f>IF(Table1[[#This Row],[hourly_rate (USD)]]="",MEDIAN(Table1[hourly_rate (USD)]),Table1[[#This Row],[hourly_rate (USD)]])</f>
        <v>$30</v>
      </c>
      <c r="O542" t="str">
        <f>TRIM(CLEAN(Table1[[#This Row],[Updated hourly_rate (USD)]]))</f>
        <v>$30</v>
      </c>
      <c r="P542" t="str">
        <f>SUBSTITUTE(SUBSTITUTE(Table1[[#This Row],[Formatted hourly rate]],"USD ",""),"$","")</f>
        <v>30</v>
      </c>
      <c r="Q542">
        <v>4.8</v>
      </c>
      <c r="R542">
        <f>IF(Table1[[#This Row],[rating]]="",2.6,Table1[[#This Row],[rating]])</f>
        <v>4.8</v>
      </c>
      <c r="S542" t="s">
        <v>31</v>
      </c>
      <c r="T542" t="str">
        <f>TRIM(CLEAN(Table1[[#This Row],[is_active]]))</f>
        <v>N</v>
      </c>
      <c r="U54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42" s="11" t="str">
        <f>TRIM(IF(Table1[[#This Row],[is_active3]]="Unknown","TRUE",Table1[[#This Row],[is_active3]]))</f>
        <v>FALSE</v>
      </c>
      <c r="X542">
        <f>IF(Table1[[#This Row],[client_satisfaction]]&gt;1,Table1[[#This Row],[client_satisfaction]]/100,Table1[[#This Row],[client_satisfaction]])</f>
        <v>0</v>
      </c>
      <c r="Y542">
        <f>IF(Table1[[#This Row],[client_satisfaction2]]=0,0.75,Table1[[#This Row],[client_satisfaction2]])</f>
        <v>0.75</v>
      </c>
    </row>
    <row r="543" spans="1:25" x14ac:dyDescent="0.25">
      <c r="A543" t="s">
        <v>1164</v>
      </c>
      <c r="B543" t="s">
        <v>1165</v>
      </c>
      <c r="C543" t="str">
        <f>PROPER(TRIM(SUBSTITUTE(SUBSTITUTE(SUBSTITUTE(Table1[[#This Row],[name]],"Ms. ",""),"Mr. ",""),"Mrs. ","")))</f>
        <v>Kevin Smith</v>
      </c>
      <c r="D543" t="s">
        <v>61</v>
      </c>
      <c r="E5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43">
        <v>41</v>
      </c>
      <c r="G543" t="str">
        <f>TRIM(IF(Table1[[#This Row],[age]]="","Unknown",Table1[[#This Row],[age]]))</f>
        <v>41</v>
      </c>
      <c r="H543" t="s">
        <v>175</v>
      </c>
      <c r="I543" t="s">
        <v>176</v>
      </c>
      <c r="J543" t="s">
        <v>51</v>
      </c>
      <c r="K543">
        <v>0</v>
      </c>
      <c r="L543" s="10" t="str">
        <f>TRIM(IF(Table1[[#This Row],[years_of_experience]]="","Unknown",Table1[[#This Row],[years_of_experience]]))</f>
        <v>0</v>
      </c>
      <c r="M543" t="s">
        <v>55</v>
      </c>
      <c r="N543" t="str">
        <f>IF(Table1[[#This Row],[hourly_rate (USD)]]="",MEDIAN(Table1[hourly_rate (USD)]),Table1[[#This Row],[hourly_rate (USD)]])</f>
        <v>USD 40</v>
      </c>
      <c r="O543" t="str">
        <f>TRIM(CLEAN(Table1[[#This Row],[Updated hourly_rate (USD)]]))</f>
        <v>USD 40</v>
      </c>
      <c r="P543" t="str">
        <f>SUBSTITUTE(SUBSTITUTE(Table1[[#This Row],[Formatted hourly rate]],"USD ",""),"$","")</f>
        <v>40</v>
      </c>
      <c r="Q543">
        <v>4.5</v>
      </c>
      <c r="R543">
        <f>IF(Table1[[#This Row],[rating]]="",2.6,Table1[[#This Row],[rating]])</f>
        <v>4.5</v>
      </c>
      <c r="S543" t="s">
        <v>31</v>
      </c>
      <c r="T543" t="str">
        <f>TRIM(CLEAN(Table1[[#This Row],[is_active]]))</f>
        <v>N</v>
      </c>
      <c r="U54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43" s="11" t="str">
        <f>TRIM(IF(Table1[[#This Row],[is_active3]]="Unknown","TRUE",Table1[[#This Row],[is_active3]]))</f>
        <v>FALSE</v>
      </c>
      <c r="W543">
        <v>0.68</v>
      </c>
      <c r="X543">
        <f>IF(Table1[[#This Row],[client_satisfaction]]&gt;1,Table1[[#This Row],[client_satisfaction]]/100,Table1[[#This Row],[client_satisfaction]])</f>
        <v>0.68</v>
      </c>
      <c r="Y543">
        <f>IF(Table1[[#This Row],[client_satisfaction2]]=0,0.75,Table1[[#This Row],[client_satisfaction2]])</f>
        <v>0.68</v>
      </c>
    </row>
    <row r="544" spans="1:25" x14ac:dyDescent="0.25">
      <c r="A544" t="s">
        <v>1166</v>
      </c>
      <c r="B544" t="s">
        <v>1167</v>
      </c>
      <c r="C544" t="str">
        <f>PROPER(TRIM(SUBSTITUTE(SUBSTITUTE(SUBSTITUTE(Table1[[#This Row],[name]],"Ms. ",""),"Mr. ",""),"Mrs. ","")))</f>
        <v>Thomas Kim</v>
      </c>
      <c r="D544" t="s">
        <v>97</v>
      </c>
      <c r="E5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44">
        <v>22</v>
      </c>
      <c r="G544" t="str">
        <f>TRIM(IF(Table1[[#This Row],[age]]="","Unknown",Table1[[#This Row],[age]]))</f>
        <v>22</v>
      </c>
      <c r="H544" t="s">
        <v>190</v>
      </c>
      <c r="I544" t="s">
        <v>72</v>
      </c>
      <c r="J544" t="s">
        <v>17</v>
      </c>
      <c r="K544">
        <v>0</v>
      </c>
      <c r="L544" s="10" t="str">
        <f>TRIM(IF(Table1[[#This Row],[years_of_experience]]="","Unknown",Table1[[#This Row],[years_of_experience]]))</f>
        <v>0</v>
      </c>
      <c r="M544" t="s">
        <v>45</v>
      </c>
      <c r="N544" t="str">
        <f>IF(Table1[[#This Row],[hourly_rate (USD)]]="",MEDIAN(Table1[hourly_rate (USD)]),Table1[[#This Row],[hourly_rate (USD)]])</f>
        <v>$30</v>
      </c>
      <c r="O544" t="str">
        <f>TRIM(CLEAN(Table1[[#This Row],[Updated hourly_rate (USD)]]))</f>
        <v>$30</v>
      </c>
      <c r="P544" t="str">
        <f>SUBSTITUTE(SUBSTITUTE(Table1[[#This Row],[Formatted hourly rate]],"USD ",""),"$","")</f>
        <v>30</v>
      </c>
      <c r="Q544">
        <v>0</v>
      </c>
      <c r="R544">
        <f>IF(Table1[[#This Row],[rating]]="",2.6,Table1[[#This Row],[rating]])</f>
        <v>0</v>
      </c>
      <c r="S544">
        <v>0</v>
      </c>
      <c r="T544" t="str">
        <f>TRIM(CLEAN(Table1[[#This Row],[is_active]]))</f>
        <v>0</v>
      </c>
      <c r="U5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44" s="11" t="str">
        <f>TRIM(IF(Table1[[#This Row],[is_active3]]="Unknown","TRUE",Table1[[#This Row],[is_active3]]))</f>
        <v>FALSE</v>
      </c>
      <c r="W544">
        <v>0.87</v>
      </c>
      <c r="X544">
        <f>IF(Table1[[#This Row],[client_satisfaction]]&gt;1,Table1[[#This Row],[client_satisfaction]]/100,Table1[[#This Row],[client_satisfaction]])</f>
        <v>0.87</v>
      </c>
      <c r="Y544">
        <f>IF(Table1[[#This Row],[client_satisfaction2]]=0,0.75,Table1[[#This Row],[client_satisfaction2]])</f>
        <v>0.87</v>
      </c>
    </row>
    <row r="545" spans="1:25" x14ac:dyDescent="0.25">
      <c r="A545" t="s">
        <v>1168</v>
      </c>
      <c r="B545" t="s">
        <v>1169</v>
      </c>
      <c r="C545" t="str">
        <f>PROPER(TRIM(SUBSTITUTE(SUBSTITUTE(SUBSTITUTE(Table1[[#This Row],[name]],"Ms. ",""),"Mr. ",""),"Mrs. ","")))</f>
        <v>Sean Park</v>
      </c>
      <c r="D545" t="s">
        <v>61</v>
      </c>
      <c r="E5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45">
        <v>45</v>
      </c>
      <c r="G545" t="str">
        <f>TRIM(IF(Table1[[#This Row],[age]]="","Unknown",Table1[[#This Row],[age]]))</f>
        <v>45</v>
      </c>
      <c r="H545" t="s">
        <v>179</v>
      </c>
      <c r="I545" t="s">
        <v>72</v>
      </c>
      <c r="J545" t="s">
        <v>78</v>
      </c>
      <c r="K545">
        <v>19</v>
      </c>
      <c r="L545" s="10" t="str">
        <f>TRIM(IF(Table1[[#This Row],[years_of_experience]]="","Unknown",Table1[[#This Row],[years_of_experience]]))</f>
        <v>19</v>
      </c>
      <c r="M545">
        <v>75</v>
      </c>
      <c r="N545">
        <f>IF(Table1[[#This Row],[hourly_rate (USD)]]="",MEDIAN(Table1[hourly_rate (USD)]),Table1[[#This Row],[hourly_rate (USD)]])</f>
        <v>75</v>
      </c>
      <c r="O545" t="str">
        <f>TRIM(CLEAN(Table1[[#This Row],[Updated hourly_rate (USD)]]))</f>
        <v>75</v>
      </c>
      <c r="P545" t="str">
        <f>SUBSTITUTE(SUBSTITUTE(Table1[[#This Row],[Formatted hourly rate]],"USD ",""),"$","")</f>
        <v>75</v>
      </c>
      <c r="Q545">
        <v>0</v>
      </c>
      <c r="R545">
        <f>IF(Table1[[#This Row],[rating]]="",2.6,Table1[[#This Row],[rating]])</f>
        <v>0</v>
      </c>
      <c r="S545" t="s">
        <v>159</v>
      </c>
      <c r="T545" t="str">
        <f>TRIM(CLEAN(Table1[[#This Row],[is_active]]))</f>
        <v>no</v>
      </c>
      <c r="U54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45" s="11" t="str">
        <f>TRIM(IF(Table1[[#This Row],[is_active3]]="Unknown","TRUE",Table1[[#This Row],[is_active3]]))</f>
        <v>FALSE</v>
      </c>
      <c r="W545">
        <v>0.72</v>
      </c>
      <c r="X545">
        <f>IF(Table1[[#This Row],[client_satisfaction]]&gt;1,Table1[[#This Row],[client_satisfaction]]/100,Table1[[#This Row],[client_satisfaction]])</f>
        <v>0.72</v>
      </c>
      <c r="Y545">
        <f>IF(Table1[[#This Row],[client_satisfaction2]]=0,0.75,Table1[[#This Row],[client_satisfaction2]])</f>
        <v>0.72</v>
      </c>
    </row>
    <row r="546" spans="1:25" x14ac:dyDescent="0.25">
      <c r="A546" t="s">
        <v>1170</v>
      </c>
      <c r="B546" t="s">
        <v>1171</v>
      </c>
      <c r="C546" t="str">
        <f>PROPER(TRIM(SUBSTITUTE(SUBSTITUTE(SUBSTITUTE(Table1[[#This Row],[name]],"Ms. ",""),"Mr. ",""),"Mrs. ","")))</f>
        <v>Judith Poole</v>
      </c>
      <c r="D546" t="s">
        <v>77</v>
      </c>
      <c r="E5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46">
        <v>22</v>
      </c>
      <c r="G546" t="str">
        <f>TRIM(IF(Table1[[#This Row],[age]]="","Unknown",Table1[[#This Row],[age]]))</f>
        <v>22</v>
      </c>
      <c r="H546" t="s">
        <v>21</v>
      </c>
      <c r="I546" t="s">
        <v>22</v>
      </c>
      <c r="J546" t="s">
        <v>51</v>
      </c>
      <c r="K546">
        <v>2</v>
      </c>
      <c r="L546" s="10" t="str">
        <f>TRIM(IF(Table1[[#This Row],[years_of_experience]]="","Unknown",Table1[[#This Row],[years_of_experience]]))</f>
        <v>2</v>
      </c>
      <c r="M546">
        <v>40</v>
      </c>
      <c r="N546">
        <f>IF(Table1[[#This Row],[hourly_rate (USD)]]="",MEDIAN(Table1[hourly_rate (USD)]),Table1[[#This Row],[hourly_rate (USD)]])</f>
        <v>40</v>
      </c>
      <c r="O546" t="str">
        <f>TRIM(CLEAN(Table1[[#This Row],[Updated hourly_rate (USD)]]))</f>
        <v>40</v>
      </c>
      <c r="P546" t="str">
        <f>SUBSTITUTE(SUBSTITUTE(Table1[[#This Row],[Formatted hourly rate]],"USD ",""),"$","")</f>
        <v>40</v>
      </c>
      <c r="Q546">
        <v>1.1000000000000001</v>
      </c>
      <c r="R546">
        <f>IF(Table1[[#This Row],[rating]]="",2.6,Table1[[#This Row],[rating]])</f>
        <v>1.1000000000000001</v>
      </c>
      <c r="S546" t="s">
        <v>159</v>
      </c>
      <c r="T546" t="str">
        <f>TRIM(CLEAN(Table1[[#This Row],[is_active]]))</f>
        <v>no</v>
      </c>
      <c r="U54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46" s="11" t="str">
        <f>TRIM(IF(Table1[[#This Row],[is_active3]]="Unknown","TRUE",Table1[[#This Row],[is_active3]]))</f>
        <v>FALSE</v>
      </c>
      <c r="W546">
        <v>0.76</v>
      </c>
      <c r="X546">
        <f>IF(Table1[[#This Row],[client_satisfaction]]&gt;1,Table1[[#This Row],[client_satisfaction]]/100,Table1[[#This Row],[client_satisfaction]])</f>
        <v>0.76</v>
      </c>
      <c r="Y546">
        <f>IF(Table1[[#This Row],[client_satisfaction2]]=0,0.75,Table1[[#This Row],[client_satisfaction2]])</f>
        <v>0.76</v>
      </c>
    </row>
    <row r="547" spans="1:25" x14ac:dyDescent="0.25">
      <c r="A547" t="s">
        <v>1172</v>
      </c>
      <c r="B547" t="s">
        <v>1173</v>
      </c>
      <c r="C547" t="str">
        <f>PROPER(TRIM(SUBSTITUTE(SUBSTITUTE(SUBSTITUTE(Table1[[#This Row],[name]],"Ms. ",""),"Mr. ",""),"Mrs. ","")))</f>
        <v>Melanie Baird</v>
      </c>
      <c r="D547" t="s">
        <v>14</v>
      </c>
      <c r="E5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47">
        <v>20</v>
      </c>
      <c r="G547" t="str">
        <f>TRIM(IF(Table1[[#This Row],[age]]="","Unknown",Table1[[#This Row],[age]]))</f>
        <v>20</v>
      </c>
      <c r="H547" t="s">
        <v>62</v>
      </c>
      <c r="I547" t="s">
        <v>63</v>
      </c>
      <c r="J547" t="s">
        <v>23</v>
      </c>
      <c r="K547">
        <v>0</v>
      </c>
      <c r="L547" s="10" t="str">
        <f>TRIM(IF(Table1[[#This Row],[years_of_experience]]="","Unknown",Table1[[#This Row],[years_of_experience]]))</f>
        <v>0</v>
      </c>
      <c r="M547">
        <v>100</v>
      </c>
      <c r="N547">
        <f>IF(Table1[[#This Row],[hourly_rate (USD)]]="",MEDIAN(Table1[hourly_rate (USD)]),Table1[[#This Row],[hourly_rate (USD)]])</f>
        <v>100</v>
      </c>
      <c r="O547" t="str">
        <f>TRIM(CLEAN(Table1[[#This Row],[Updated hourly_rate (USD)]]))</f>
        <v>100</v>
      </c>
      <c r="P547" t="str">
        <f>SUBSTITUTE(SUBSTITUTE(Table1[[#This Row],[Formatted hourly rate]],"USD ",""),"$","")</f>
        <v>100</v>
      </c>
      <c r="Q547">
        <v>0</v>
      </c>
      <c r="R547">
        <f>IF(Table1[[#This Row],[rating]]="",2.6,Table1[[#This Row],[rating]])</f>
        <v>0</v>
      </c>
      <c r="S547">
        <v>0</v>
      </c>
      <c r="T547" t="str">
        <f>TRIM(CLEAN(Table1[[#This Row],[is_active]]))</f>
        <v>0</v>
      </c>
      <c r="U5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47" s="11" t="str">
        <f>TRIM(IF(Table1[[#This Row],[is_active3]]="Unknown","TRUE",Table1[[#This Row],[is_active3]]))</f>
        <v>FALSE</v>
      </c>
      <c r="W547">
        <v>63</v>
      </c>
      <c r="X547">
        <f>IF(Table1[[#This Row],[client_satisfaction]]&gt;1,Table1[[#This Row],[client_satisfaction]]/100,Table1[[#This Row],[client_satisfaction]])</f>
        <v>0.63</v>
      </c>
      <c r="Y547">
        <f>IF(Table1[[#This Row],[client_satisfaction2]]=0,0.75,Table1[[#This Row],[client_satisfaction2]])</f>
        <v>0.63</v>
      </c>
    </row>
    <row r="548" spans="1:25" x14ac:dyDescent="0.25">
      <c r="A548" t="s">
        <v>1174</v>
      </c>
      <c r="B548" t="s">
        <v>1175</v>
      </c>
      <c r="C548" t="str">
        <f>PROPER(TRIM(SUBSTITUTE(SUBSTITUTE(SUBSTITUTE(Table1[[#This Row],[name]],"Ms. ",""),"Mr. ",""),"Mrs. ","")))</f>
        <v>Erika Mitchell</v>
      </c>
      <c r="D548" t="s">
        <v>20</v>
      </c>
      <c r="E5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48">
        <v>20</v>
      </c>
      <c r="G548" t="str">
        <f>TRIM(IF(Table1[[#This Row],[age]]="","Unknown",Table1[[#This Row],[age]]))</f>
        <v>20</v>
      </c>
      <c r="H548" t="s">
        <v>128</v>
      </c>
      <c r="I548" t="s">
        <v>22</v>
      </c>
      <c r="J548" t="s">
        <v>51</v>
      </c>
      <c r="K548">
        <v>2</v>
      </c>
      <c r="L548" s="10" t="str">
        <f>TRIM(IF(Table1[[#This Row],[years_of_experience]]="","Unknown",Table1[[#This Row],[years_of_experience]]))</f>
        <v>2</v>
      </c>
      <c r="M548">
        <v>40</v>
      </c>
      <c r="N548">
        <f>IF(Table1[[#This Row],[hourly_rate (USD)]]="",MEDIAN(Table1[hourly_rate (USD)]),Table1[[#This Row],[hourly_rate (USD)]])</f>
        <v>40</v>
      </c>
      <c r="O548" t="str">
        <f>TRIM(CLEAN(Table1[[#This Row],[Updated hourly_rate (USD)]]))</f>
        <v>40</v>
      </c>
      <c r="P548" t="str">
        <f>SUBSTITUTE(SUBSTITUTE(Table1[[#This Row],[Formatted hourly rate]],"USD ",""),"$","")</f>
        <v>40</v>
      </c>
      <c r="R548">
        <f>IF(Table1[[#This Row],[rating]]="",2.6,Table1[[#This Row],[rating]])</f>
        <v>2.6</v>
      </c>
      <c r="S548">
        <v>1</v>
      </c>
      <c r="T548" t="str">
        <f>TRIM(CLEAN(Table1[[#This Row],[is_active]]))</f>
        <v>1</v>
      </c>
      <c r="U54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48" s="11" t="str">
        <f>TRIM(IF(Table1[[#This Row],[is_active3]]="Unknown","TRUE",Table1[[#This Row],[is_active3]]))</f>
        <v>TRUE</v>
      </c>
      <c r="W548">
        <v>0.91</v>
      </c>
      <c r="X548">
        <f>IF(Table1[[#This Row],[client_satisfaction]]&gt;1,Table1[[#This Row],[client_satisfaction]]/100,Table1[[#This Row],[client_satisfaction]])</f>
        <v>0.91</v>
      </c>
      <c r="Y548">
        <f>IF(Table1[[#This Row],[client_satisfaction2]]=0,0.75,Table1[[#This Row],[client_satisfaction2]])</f>
        <v>0.91</v>
      </c>
    </row>
    <row r="549" spans="1:25" x14ac:dyDescent="0.25">
      <c r="A549" t="s">
        <v>1176</v>
      </c>
      <c r="B549" t="s">
        <v>1177</v>
      </c>
      <c r="C549" t="str">
        <f>PROPER(TRIM(SUBSTITUTE(SUBSTITUTE(SUBSTITUTE(Table1[[#This Row],[name]],"Ms. ",""),"Mr. ",""),"Mrs. ","")))</f>
        <v>Ricky Martinez</v>
      </c>
      <c r="D549" t="s">
        <v>92</v>
      </c>
      <c r="E5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49">
        <v>21</v>
      </c>
      <c r="G549" t="str">
        <f>TRIM(IF(Table1[[#This Row],[age]]="","Unknown",Table1[[#This Row],[age]]))</f>
        <v>21</v>
      </c>
      <c r="H549" t="s">
        <v>67</v>
      </c>
      <c r="I549" t="s">
        <v>22</v>
      </c>
      <c r="J549" t="s">
        <v>44</v>
      </c>
      <c r="K549">
        <v>0</v>
      </c>
      <c r="L549" s="10" t="str">
        <f>TRIM(IF(Table1[[#This Row],[years_of_experience]]="","Unknown",Table1[[#This Row],[years_of_experience]]))</f>
        <v>0</v>
      </c>
      <c r="M549">
        <v>100</v>
      </c>
      <c r="N549">
        <f>IF(Table1[[#This Row],[hourly_rate (USD)]]="",MEDIAN(Table1[hourly_rate (USD)]),Table1[[#This Row],[hourly_rate (USD)]])</f>
        <v>100</v>
      </c>
      <c r="O549" t="str">
        <f>TRIM(CLEAN(Table1[[#This Row],[Updated hourly_rate (USD)]]))</f>
        <v>100</v>
      </c>
      <c r="P549" t="str">
        <f>SUBSTITUTE(SUBSTITUTE(Table1[[#This Row],[Formatted hourly rate]],"USD ",""),"$","")</f>
        <v>100</v>
      </c>
      <c r="R549">
        <f>IF(Table1[[#This Row],[rating]]="",2.6,Table1[[#This Row],[rating]])</f>
        <v>2.6</v>
      </c>
      <c r="S549">
        <v>0</v>
      </c>
      <c r="T549" t="str">
        <f>TRIM(CLEAN(Table1[[#This Row],[is_active]]))</f>
        <v>0</v>
      </c>
      <c r="U5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49" s="11" t="str">
        <f>TRIM(IF(Table1[[#This Row],[is_active3]]="Unknown","TRUE",Table1[[#This Row],[is_active3]]))</f>
        <v>FALSE</v>
      </c>
      <c r="W549">
        <v>0.73</v>
      </c>
      <c r="X549">
        <f>IF(Table1[[#This Row],[client_satisfaction]]&gt;1,Table1[[#This Row],[client_satisfaction]]/100,Table1[[#This Row],[client_satisfaction]])</f>
        <v>0.73</v>
      </c>
      <c r="Y549">
        <f>IF(Table1[[#This Row],[client_satisfaction2]]=0,0.75,Table1[[#This Row],[client_satisfaction2]])</f>
        <v>0.73</v>
      </c>
    </row>
    <row r="550" spans="1:25" x14ac:dyDescent="0.25">
      <c r="A550" t="s">
        <v>1178</v>
      </c>
      <c r="B550" t="s">
        <v>1179</v>
      </c>
      <c r="C550" t="str">
        <f>PROPER(TRIM(SUBSTITUTE(SUBSTITUTE(SUBSTITUTE(Table1[[#This Row],[name]],"Ms. ",""),"Mr. ",""),"Mrs. ","")))</f>
        <v>John Christian</v>
      </c>
      <c r="D550" t="s">
        <v>97</v>
      </c>
      <c r="E5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50">
        <v>22</v>
      </c>
      <c r="G550" t="str">
        <f>TRIM(IF(Table1[[#This Row],[age]]="","Unknown",Table1[[#This Row],[age]]))</f>
        <v>22</v>
      </c>
      <c r="H550" t="s">
        <v>42</v>
      </c>
      <c r="I550" t="s">
        <v>43</v>
      </c>
      <c r="J550" t="s">
        <v>78</v>
      </c>
      <c r="K550">
        <v>1</v>
      </c>
      <c r="L550" s="10" t="str">
        <f>TRIM(IF(Table1[[#This Row],[years_of_experience]]="","Unknown",Table1[[#This Row],[years_of_experience]]))</f>
        <v>1</v>
      </c>
      <c r="M550">
        <v>40</v>
      </c>
      <c r="N550">
        <f>IF(Table1[[#This Row],[hourly_rate (USD)]]="",MEDIAN(Table1[hourly_rate (USD)]),Table1[[#This Row],[hourly_rate (USD)]])</f>
        <v>40</v>
      </c>
      <c r="O550" t="str">
        <f>TRIM(CLEAN(Table1[[#This Row],[Updated hourly_rate (USD)]]))</f>
        <v>40</v>
      </c>
      <c r="P550" t="str">
        <f>SUBSTITUTE(SUBSTITUTE(Table1[[#This Row],[Formatted hourly rate]],"USD ",""),"$","")</f>
        <v>40</v>
      </c>
      <c r="Q550">
        <v>0</v>
      </c>
      <c r="R550">
        <f>IF(Table1[[#This Row],[rating]]="",2.6,Table1[[#This Row],[rating]])</f>
        <v>0</v>
      </c>
      <c r="S550">
        <v>0</v>
      </c>
      <c r="T550" t="str">
        <f>TRIM(CLEAN(Table1[[#This Row],[is_active]]))</f>
        <v>0</v>
      </c>
      <c r="U55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50" s="11" t="str">
        <f>TRIM(IF(Table1[[#This Row],[is_active3]]="Unknown","TRUE",Table1[[#This Row],[is_active3]]))</f>
        <v>FALSE</v>
      </c>
      <c r="W550">
        <v>0.63</v>
      </c>
      <c r="X550">
        <f>IF(Table1[[#This Row],[client_satisfaction]]&gt;1,Table1[[#This Row],[client_satisfaction]]/100,Table1[[#This Row],[client_satisfaction]])</f>
        <v>0.63</v>
      </c>
      <c r="Y550">
        <f>IF(Table1[[#This Row],[client_satisfaction2]]=0,0.75,Table1[[#This Row],[client_satisfaction2]])</f>
        <v>0.63</v>
      </c>
    </row>
    <row r="551" spans="1:25" x14ac:dyDescent="0.25">
      <c r="A551" t="s">
        <v>1180</v>
      </c>
      <c r="B551" t="s">
        <v>1181</v>
      </c>
      <c r="C551" t="str">
        <f>PROPER(TRIM(SUBSTITUTE(SUBSTITUTE(SUBSTITUTE(Table1[[#This Row],[name]],"Ms. ",""),"Mr. ",""),"Mrs. ","")))</f>
        <v>Nancy Smith</v>
      </c>
      <c r="D551" t="s">
        <v>34</v>
      </c>
      <c r="E5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51">
        <v>28</v>
      </c>
      <c r="G551" t="str">
        <f>TRIM(IF(Table1[[#This Row],[age]]="","Unknown",Table1[[#This Row],[age]]))</f>
        <v>28</v>
      </c>
      <c r="H551" t="s">
        <v>67</v>
      </c>
      <c r="I551" t="s">
        <v>22</v>
      </c>
      <c r="J551" t="s">
        <v>89</v>
      </c>
      <c r="K551">
        <v>3</v>
      </c>
      <c r="L551" s="10" t="str">
        <f>TRIM(IF(Table1[[#This Row],[years_of_experience]]="","Unknown",Table1[[#This Row],[years_of_experience]]))</f>
        <v>3</v>
      </c>
      <c r="M551" t="s">
        <v>314</v>
      </c>
      <c r="N551" t="str">
        <f>IF(Table1[[#This Row],[hourly_rate (USD)]]="",MEDIAN(Table1[hourly_rate (USD)]),Table1[[#This Row],[hourly_rate (USD)]])</f>
        <v>USD 20</v>
      </c>
      <c r="O551" t="str">
        <f>TRIM(CLEAN(Table1[[#This Row],[Updated hourly_rate (USD)]]))</f>
        <v>USD 20</v>
      </c>
      <c r="P551" t="str">
        <f>SUBSTITUTE(SUBSTITUTE(Table1[[#This Row],[Formatted hourly rate]],"USD ",""),"$","")</f>
        <v>20</v>
      </c>
      <c r="R551">
        <f>IF(Table1[[#This Row],[rating]]="",2.6,Table1[[#This Row],[rating]])</f>
        <v>2.6</v>
      </c>
      <c r="S551">
        <v>1</v>
      </c>
      <c r="T551" t="str">
        <f>TRIM(CLEAN(Table1[[#This Row],[is_active]]))</f>
        <v>1</v>
      </c>
      <c r="U55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51" s="11" t="str">
        <f>TRIM(IF(Table1[[#This Row],[is_active3]]="Unknown","TRUE",Table1[[#This Row],[is_active3]]))</f>
        <v>TRUE</v>
      </c>
      <c r="W551">
        <v>0.79</v>
      </c>
      <c r="X551">
        <f>IF(Table1[[#This Row],[client_satisfaction]]&gt;1,Table1[[#This Row],[client_satisfaction]]/100,Table1[[#This Row],[client_satisfaction]])</f>
        <v>0.79</v>
      </c>
      <c r="Y551">
        <f>IF(Table1[[#This Row],[client_satisfaction2]]=0,0.75,Table1[[#This Row],[client_satisfaction2]])</f>
        <v>0.79</v>
      </c>
    </row>
    <row r="552" spans="1:25" x14ac:dyDescent="0.25">
      <c r="A552" t="s">
        <v>1182</v>
      </c>
      <c r="B552" t="s">
        <v>1183</v>
      </c>
      <c r="C552" t="str">
        <f>PROPER(TRIM(SUBSTITUTE(SUBSTITUTE(SUBSTITUTE(Table1[[#This Row],[name]],"Ms. ",""),"Mr. ",""),"Mrs. ","")))</f>
        <v>Cassandra Stephens</v>
      </c>
      <c r="D552" t="s">
        <v>34</v>
      </c>
      <c r="E5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52">
        <v>59</v>
      </c>
      <c r="G552" t="str">
        <f>TRIM(IF(Table1[[#This Row],[age]]="","Unknown",Table1[[#This Row],[age]]))</f>
        <v>59</v>
      </c>
      <c r="H552" t="s">
        <v>71</v>
      </c>
      <c r="I552" t="s">
        <v>72</v>
      </c>
      <c r="J552" t="s">
        <v>44</v>
      </c>
      <c r="L552" s="10" t="str">
        <f>TRIM(IF(Table1[[#This Row],[years_of_experience]]="","Unknown",Table1[[#This Row],[years_of_experience]]))</f>
        <v>Unknown</v>
      </c>
      <c r="M552">
        <v>20</v>
      </c>
      <c r="N552">
        <f>IF(Table1[[#This Row],[hourly_rate (USD)]]="",MEDIAN(Table1[hourly_rate (USD)]),Table1[[#This Row],[hourly_rate (USD)]])</f>
        <v>20</v>
      </c>
      <c r="O552" t="str">
        <f>TRIM(CLEAN(Table1[[#This Row],[Updated hourly_rate (USD)]]))</f>
        <v>20</v>
      </c>
      <c r="P552" t="str">
        <f>SUBSTITUTE(SUBSTITUTE(Table1[[#This Row],[Formatted hourly rate]],"USD ",""),"$","")</f>
        <v>20</v>
      </c>
      <c r="Q552">
        <v>4.0999999999999996</v>
      </c>
      <c r="R552">
        <f>IF(Table1[[#This Row],[rating]]="",2.6,Table1[[#This Row],[rating]])</f>
        <v>4.0999999999999996</v>
      </c>
      <c r="S552">
        <v>0</v>
      </c>
      <c r="T552" t="str">
        <f>TRIM(CLEAN(Table1[[#This Row],[is_active]]))</f>
        <v>0</v>
      </c>
      <c r="U55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52" s="11" t="str">
        <f>TRIM(IF(Table1[[#This Row],[is_active3]]="Unknown","TRUE",Table1[[#This Row],[is_active3]]))</f>
        <v>FALSE</v>
      </c>
      <c r="W552">
        <v>75</v>
      </c>
      <c r="X552">
        <f>IF(Table1[[#This Row],[client_satisfaction]]&gt;1,Table1[[#This Row],[client_satisfaction]]/100,Table1[[#This Row],[client_satisfaction]])</f>
        <v>0.75</v>
      </c>
      <c r="Y552">
        <f>IF(Table1[[#This Row],[client_satisfaction2]]=0,0.75,Table1[[#This Row],[client_satisfaction2]])</f>
        <v>0.75</v>
      </c>
    </row>
    <row r="553" spans="1:25" x14ac:dyDescent="0.25">
      <c r="A553" t="s">
        <v>1184</v>
      </c>
      <c r="B553" t="s">
        <v>1185</v>
      </c>
      <c r="C553" t="str">
        <f>PROPER(TRIM(SUBSTITUTE(SUBSTITUTE(SUBSTITUTE(Table1[[#This Row],[name]],"Ms. ",""),"Mr. ",""),"Mrs. ","")))</f>
        <v>Miss Janet Donovan Md</v>
      </c>
      <c r="D553" t="s">
        <v>39</v>
      </c>
      <c r="E5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53">
        <v>28</v>
      </c>
      <c r="G553" t="str">
        <f>TRIM(IF(Table1[[#This Row],[age]]="","Unknown",Table1[[#This Row],[age]]))</f>
        <v>28</v>
      </c>
      <c r="H553" t="s">
        <v>135</v>
      </c>
      <c r="I553" t="s">
        <v>136</v>
      </c>
      <c r="J553" t="s">
        <v>35</v>
      </c>
      <c r="K553">
        <v>1</v>
      </c>
      <c r="L553" s="10" t="str">
        <f>TRIM(IF(Table1[[#This Row],[years_of_experience]]="","Unknown",Table1[[#This Row],[years_of_experience]]))</f>
        <v>1</v>
      </c>
      <c r="N553">
        <f>IF(Table1[[#This Row],[hourly_rate (USD)]]="",MEDIAN(Table1[hourly_rate (USD)]),Table1[[#This Row],[hourly_rate (USD)]])</f>
        <v>50</v>
      </c>
      <c r="O553" t="str">
        <f>TRIM(CLEAN(Table1[[#This Row],[Updated hourly_rate (USD)]]))</f>
        <v>50</v>
      </c>
      <c r="P553" t="str">
        <f>SUBSTITUTE(SUBSTITUTE(Table1[[#This Row],[Formatted hourly rate]],"USD ",""),"$","")</f>
        <v>50</v>
      </c>
      <c r="Q553">
        <v>0</v>
      </c>
      <c r="R553">
        <f>IF(Table1[[#This Row],[rating]]="",2.6,Table1[[#This Row],[rating]])</f>
        <v>0</v>
      </c>
      <c r="S553">
        <v>0</v>
      </c>
      <c r="T553" t="str">
        <f>TRIM(CLEAN(Table1[[#This Row],[is_active]]))</f>
        <v>0</v>
      </c>
      <c r="U55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53" s="11" t="str">
        <f>TRIM(IF(Table1[[#This Row],[is_active3]]="Unknown","TRUE",Table1[[#This Row],[is_active3]]))</f>
        <v>FALSE</v>
      </c>
      <c r="W553">
        <v>0.7</v>
      </c>
      <c r="X553">
        <f>IF(Table1[[#This Row],[client_satisfaction]]&gt;1,Table1[[#This Row],[client_satisfaction]]/100,Table1[[#This Row],[client_satisfaction]])</f>
        <v>0.7</v>
      </c>
      <c r="Y553">
        <f>IF(Table1[[#This Row],[client_satisfaction2]]=0,0.75,Table1[[#This Row],[client_satisfaction2]])</f>
        <v>0.7</v>
      </c>
    </row>
    <row r="554" spans="1:25" x14ac:dyDescent="0.25">
      <c r="A554" t="s">
        <v>1186</v>
      </c>
      <c r="B554" t="s">
        <v>1187</v>
      </c>
      <c r="C554" t="str">
        <f>PROPER(TRIM(SUBSTITUTE(SUBSTITUTE(SUBSTITUTE(Table1[[#This Row],[name]],"Ms. ",""),"Mr. ",""),"Mrs. ","")))</f>
        <v>Kristina Williams</v>
      </c>
      <c r="D554" t="s">
        <v>34</v>
      </c>
      <c r="E5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54">
        <v>40</v>
      </c>
      <c r="G554" t="str">
        <f>TRIM(IF(Table1[[#This Row],[age]]="","Unknown",Table1[[#This Row],[age]]))</f>
        <v>40</v>
      </c>
      <c r="H554" t="s">
        <v>21</v>
      </c>
      <c r="I554" t="s">
        <v>22</v>
      </c>
      <c r="J554" t="s">
        <v>89</v>
      </c>
      <c r="K554">
        <v>0</v>
      </c>
      <c r="L554" s="10" t="str">
        <f>TRIM(IF(Table1[[#This Row],[years_of_experience]]="","Unknown",Table1[[#This Row],[years_of_experience]]))</f>
        <v>0</v>
      </c>
      <c r="M554" t="s">
        <v>229</v>
      </c>
      <c r="N554" t="str">
        <f>IF(Table1[[#This Row],[hourly_rate (USD)]]="",MEDIAN(Table1[hourly_rate (USD)]),Table1[[#This Row],[hourly_rate (USD)]])</f>
        <v>$100</v>
      </c>
      <c r="O554" t="str">
        <f>TRIM(CLEAN(Table1[[#This Row],[Updated hourly_rate (USD)]]))</f>
        <v>$100</v>
      </c>
      <c r="P554" t="str">
        <f>SUBSTITUTE(SUBSTITUTE(Table1[[#This Row],[Formatted hourly rate]],"USD ",""),"$","")</f>
        <v>100</v>
      </c>
      <c r="Q554">
        <v>1.2</v>
      </c>
      <c r="R554">
        <f>IF(Table1[[#This Row],[rating]]="",2.6,Table1[[#This Row],[rating]])</f>
        <v>1.2</v>
      </c>
      <c r="T554" t="str">
        <f>TRIM(CLEAN(Table1[[#This Row],[is_active]]))</f>
        <v/>
      </c>
      <c r="U55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54" s="11" t="str">
        <f>TRIM(IF(Table1[[#This Row],[is_active3]]="Unknown","TRUE",Table1[[#This Row],[is_active3]]))</f>
        <v>TRUE</v>
      </c>
      <c r="W554">
        <v>0.87</v>
      </c>
      <c r="X554">
        <f>IF(Table1[[#This Row],[client_satisfaction]]&gt;1,Table1[[#This Row],[client_satisfaction]]/100,Table1[[#This Row],[client_satisfaction]])</f>
        <v>0.87</v>
      </c>
      <c r="Y554">
        <f>IF(Table1[[#This Row],[client_satisfaction2]]=0,0.75,Table1[[#This Row],[client_satisfaction2]])</f>
        <v>0.87</v>
      </c>
    </row>
    <row r="555" spans="1:25" x14ac:dyDescent="0.25">
      <c r="A555" t="s">
        <v>1188</v>
      </c>
      <c r="B555" t="s">
        <v>1189</v>
      </c>
      <c r="C555" t="str">
        <f>PROPER(TRIM(SUBSTITUTE(SUBSTITUTE(SUBSTITUTE(Table1[[#This Row],[name]],"Ms. ",""),"Mr. ",""),"Mrs. ","")))</f>
        <v>Wayne Barnes</v>
      </c>
      <c r="D555" t="s">
        <v>92</v>
      </c>
      <c r="E5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55">
        <v>57</v>
      </c>
      <c r="G555" t="str">
        <f>TRIM(IF(Table1[[#This Row],[age]]="","Unknown",Table1[[#This Row],[age]]))</f>
        <v>57</v>
      </c>
      <c r="H555" t="s">
        <v>15</v>
      </c>
      <c r="I555" t="s">
        <v>16</v>
      </c>
      <c r="J555" t="s">
        <v>17</v>
      </c>
      <c r="K555">
        <v>7</v>
      </c>
      <c r="L555" s="10" t="str">
        <f>TRIM(IF(Table1[[#This Row],[years_of_experience]]="","Unknown",Table1[[#This Row],[years_of_experience]]))</f>
        <v>7</v>
      </c>
      <c r="M555">
        <v>30</v>
      </c>
      <c r="N555">
        <f>IF(Table1[[#This Row],[hourly_rate (USD)]]="",MEDIAN(Table1[hourly_rate (USD)]),Table1[[#This Row],[hourly_rate (USD)]])</f>
        <v>30</v>
      </c>
      <c r="O555" t="str">
        <f>TRIM(CLEAN(Table1[[#This Row],[Updated hourly_rate (USD)]]))</f>
        <v>30</v>
      </c>
      <c r="P555" t="str">
        <f>SUBSTITUTE(SUBSTITUTE(Table1[[#This Row],[Formatted hourly rate]],"USD ",""),"$","")</f>
        <v>30</v>
      </c>
      <c r="Q555">
        <v>1.6</v>
      </c>
      <c r="R555">
        <f>IF(Table1[[#This Row],[rating]]="",2.6,Table1[[#This Row],[rating]])</f>
        <v>1.6</v>
      </c>
      <c r="S555" t="s">
        <v>159</v>
      </c>
      <c r="T555" t="str">
        <f>TRIM(CLEAN(Table1[[#This Row],[is_active]]))</f>
        <v>no</v>
      </c>
      <c r="U55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55" s="11" t="str">
        <f>TRIM(IF(Table1[[#This Row],[is_active3]]="Unknown","TRUE",Table1[[#This Row],[is_active3]]))</f>
        <v>FALSE</v>
      </c>
      <c r="X555">
        <f>IF(Table1[[#This Row],[client_satisfaction]]&gt;1,Table1[[#This Row],[client_satisfaction]]/100,Table1[[#This Row],[client_satisfaction]])</f>
        <v>0</v>
      </c>
      <c r="Y555">
        <f>IF(Table1[[#This Row],[client_satisfaction2]]=0,0.75,Table1[[#This Row],[client_satisfaction2]])</f>
        <v>0.75</v>
      </c>
    </row>
    <row r="556" spans="1:25" x14ac:dyDescent="0.25">
      <c r="A556" t="s">
        <v>1190</v>
      </c>
      <c r="B556" t="s">
        <v>1191</v>
      </c>
      <c r="C556" t="str">
        <f>PROPER(TRIM(SUBSTITUTE(SUBSTITUTE(SUBSTITUTE(Table1[[#This Row],[name]],"Ms. ",""),"Mr. ",""),"Mrs. ","")))</f>
        <v>James Hinton</v>
      </c>
      <c r="D556" t="s">
        <v>61</v>
      </c>
      <c r="E5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56">
        <v>47</v>
      </c>
      <c r="G556" t="str">
        <f>TRIM(IF(Table1[[#This Row],[age]]="","Unknown",Table1[[#This Row],[age]]))</f>
        <v>47</v>
      </c>
      <c r="H556" t="s">
        <v>62</v>
      </c>
      <c r="I556" t="s">
        <v>63</v>
      </c>
      <c r="J556" t="s">
        <v>89</v>
      </c>
      <c r="K556">
        <v>1</v>
      </c>
      <c r="L556" s="10" t="str">
        <f>TRIM(IF(Table1[[#This Row],[years_of_experience]]="","Unknown",Table1[[#This Row],[years_of_experience]]))</f>
        <v>1</v>
      </c>
      <c r="M556">
        <v>50</v>
      </c>
      <c r="N556">
        <f>IF(Table1[[#This Row],[hourly_rate (USD)]]="",MEDIAN(Table1[hourly_rate (USD)]),Table1[[#This Row],[hourly_rate (USD)]])</f>
        <v>50</v>
      </c>
      <c r="O556" t="str">
        <f>TRIM(CLEAN(Table1[[#This Row],[Updated hourly_rate (USD)]]))</f>
        <v>50</v>
      </c>
      <c r="P556" t="str">
        <f>SUBSTITUTE(SUBSTITUTE(Table1[[#This Row],[Formatted hourly rate]],"USD ",""),"$","")</f>
        <v>50</v>
      </c>
      <c r="Q556">
        <v>3.9</v>
      </c>
      <c r="R556">
        <f>IF(Table1[[#This Row],[rating]]="",2.6,Table1[[#This Row],[rating]])</f>
        <v>3.9</v>
      </c>
      <c r="S556" t="s">
        <v>74</v>
      </c>
      <c r="T556" t="str">
        <f>TRIM(CLEAN(Table1[[#This Row],[is_active]]))</f>
        <v>Y</v>
      </c>
      <c r="U55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56" s="11" t="str">
        <f>TRIM(IF(Table1[[#This Row],[is_active3]]="Unknown","TRUE",Table1[[#This Row],[is_active3]]))</f>
        <v>TRUE</v>
      </c>
      <c r="W556">
        <v>0.88</v>
      </c>
      <c r="X556">
        <f>IF(Table1[[#This Row],[client_satisfaction]]&gt;1,Table1[[#This Row],[client_satisfaction]]/100,Table1[[#This Row],[client_satisfaction]])</f>
        <v>0.88</v>
      </c>
      <c r="Y556">
        <f>IF(Table1[[#This Row],[client_satisfaction2]]=0,0.75,Table1[[#This Row],[client_satisfaction2]])</f>
        <v>0.88</v>
      </c>
    </row>
    <row r="557" spans="1:25" x14ac:dyDescent="0.25">
      <c r="A557" t="s">
        <v>1192</v>
      </c>
      <c r="B557" t="s">
        <v>1193</v>
      </c>
      <c r="C557" t="str">
        <f>PROPER(TRIM(SUBSTITUTE(SUBSTITUTE(SUBSTITUTE(Table1[[#This Row],[name]],"Ms. ",""),"Mr. ",""),"Mrs. ","")))</f>
        <v>David Spence</v>
      </c>
      <c r="D557" t="s">
        <v>27</v>
      </c>
      <c r="E5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57">
        <v>48</v>
      </c>
      <c r="G557" t="str">
        <f>TRIM(IF(Table1[[#This Row],[age]]="","Unknown",Table1[[#This Row],[age]]))</f>
        <v>48</v>
      </c>
      <c r="H557" t="s">
        <v>112</v>
      </c>
      <c r="I557" t="s">
        <v>113</v>
      </c>
      <c r="J557" t="s">
        <v>78</v>
      </c>
      <c r="K557">
        <v>21</v>
      </c>
      <c r="L557" s="10" t="str">
        <f>TRIM(IF(Table1[[#This Row],[years_of_experience]]="","Unknown",Table1[[#This Row],[years_of_experience]]))</f>
        <v>21</v>
      </c>
      <c r="M557">
        <v>40</v>
      </c>
      <c r="N557">
        <f>IF(Table1[[#This Row],[hourly_rate (USD)]]="",MEDIAN(Table1[hourly_rate (USD)]),Table1[[#This Row],[hourly_rate (USD)]])</f>
        <v>40</v>
      </c>
      <c r="O557" t="str">
        <f>TRIM(CLEAN(Table1[[#This Row],[Updated hourly_rate (USD)]]))</f>
        <v>40</v>
      </c>
      <c r="P557" t="str">
        <f>SUBSTITUTE(SUBSTITUTE(Table1[[#This Row],[Formatted hourly rate]],"USD ",""),"$","")</f>
        <v>40</v>
      </c>
      <c r="Q557">
        <v>0</v>
      </c>
      <c r="R557">
        <f>IF(Table1[[#This Row],[rating]]="",2.6,Table1[[#This Row],[rating]])</f>
        <v>0</v>
      </c>
      <c r="S557">
        <v>1</v>
      </c>
      <c r="T557" t="str">
        <f>TRIM(CLEAN(Table1[[#This Row],[is_active]]))</f>
        <v>1</v>
      </c>
      <c r="U55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57" s="11" t="str">
        <f>TRIM(IF(Table1[[#This Row],[is_active3]]="Unknown","TRUE",Table1[[#This Row],[is_active3]]))</f>
        <v>TRUE</v>
      </c>
      <c r="X557">
        <f>IF(Table1[[#This Row],[client_satisfaction]]&gt;1,Table1[[#This Row],[client_satisfaction]]/100,Table1[[#This Row],[client_satisfaction]])</f>
        <v>0</v>
      </c>
      <c r="Y557">
        <f>IF(Table1[[#This Row],[client_satisfaction2]]=0,0.75,Table1[[#This Row],[client_satisfaction2]])</f>
        <v>0.75</v>
      </c>
    </row>
    <row r="558" spans="1:25" x14ac:dyDescent="0.25">
      <c r="A558" t="s">
        <v>1194</v>
      </c>
      <c r="B558" t="s">
        <v>1195</v>
      </c>
      <c r="C558" t="str">
        <f>PROPER(TRIM(SUBSTITUTE(SUBSTITUTE(SUBSTITUTE(Table1[[#This Row],[name]],"Ms. ",""),"Mr. ",""),"Mrs. ","")))</f>
        <v>Tyler Cooper</v>
      </c>
      <c r="D558" t="s">
        <v>97</v>
      </c>
      <c r="E5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58">
        <v>28</v>
      </c>
      <c r="G558" t="str">
        <f>TRIM(IF(Table1[[#This Row],[age]]="","Unknown",Table1[[#This Row],[age]]))</f>
        <v>28</v>
      </c>
      <c r="H558" t="s">
        <v>58</v>
      </c>
      <c r="I558" t="s">
        <v>22</v>
      </c>
      <c r="J558" t="s">
        <v>73</v>
      </c>
      <c r="K558">
        <v>1</v>
      </c>
      <c r="L558" s="10" t="str">
        <f>TRIM(IF(Table1[[#This Row],[years_of_experience]]="","Unknown",Table1[[#This Row],[years_of_experience]]))</f>
        <v>1</v>
      </c>
      <c r="M558" t="s">
        <v>314</v>
      </c>
      <c r="N558" t="str">
        <f>IF(Table1[[#This Row],[hourly_rate (USD)]]="",MEDIAN(Table1[hourly_rate (USD)]),Table1[[#This Row],[hourly_rate (USD)]])</f>
        <v>USD 20</v>
      </c>
      <c r="O558" t="str">
        <f>TRIM(CLEAN(Table1[[#This Row],[Updated hourly_rate (USD)]]))</f>
        <v>USD 20</v>
      </c>
      <c r="P558" t="str">
        <f>SUBSTITUTE(SUBSTITUTE(Table1[[#This Row],[Formatted hourly rate]],"USD ",""),"$","")</f>
        <v>20</v>
      </c>
      <c r="Q558">
        <v>4.7</v>
      </c>
      <c r="R558">
        <f>IF(Table1[[#This Row],[rating]]="",2.6,Table1[[#This Row],[rating]])</f>
        <v>4.7</v>
      </c>
      <c r="S558" t="b">
        <v>0</v>
      </c>
      <c r="T558" t="str">
        <f>TRIM(CLEAN(Table1[[#This Row],[is_active]]))</f>
        <v>FALSE</v>
      </c>
      <c r="U55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58" s="11" t="str">
        <f>TRIM(IF(Table1[[#This Row],[is_active3]]="Unknown","TRUE",Table1[[#This Row],[is_active3]]))</f>
        <v>TRUE</v>
      </c>
      <c r="W558">
        <v>0.93</v>
      </c>
      <c r="X558">
        <f>IF(Table1[[#This Row],[client_satisfaction]]&gt;1,Table1[[#This Row],[client_satisfaction]]/100,Table1[[#This Row],[client_satisfaction]])</f>
        <v>0.93</v>
      </c>
      <c r="Y558">
        <f>IF(Table1[[#This Row],[client_satisfaction2]]=0,0.75,Table1[[#This Row],[client_satisfaction2]])</f>
        <v>0.93</v>
      </c>
    </row>
    <row r="559" spans="1:25" x14ac:dyDescent="0.25">
      <c r="A559" t="s">
        <v>1196</v>
      </c>
      <c r="B559" t="s">
        <v>1197</v>
      </c>
      <c r="C559" t="str">
        <f>PROPER(TRIM(SUBSTITUTE(SUBSTITUTE(SUBSTITUTE(Table1[[#This Row],[name]],"Ms. ",""),"Mr. ",""),"Mrs. ","")))</f>
        <v>Sean Martinez</v>
      </c>
      <c r="D559" t="s">
        <v>92</v>
      </c>
      <c r="E5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59">
        <v>41</v>
      </c>
      <c r="G559" t="str">
        <f>TRIM(IF(Table1[[#This Row],[age]]="","Unknown",Table1[[#This Row],[age]]))</f>
        <v>41</v>
      </c>
      <c r="H559" t="s">
        <v>62</v>
      </c>
      <c r="I559" t="s">
        <v>63</v>
      </c>
      <c r="J559" t="s">
        <v>30</v>
      </c>
      <c r="K559">
        <v>15</v>
      </c>
      <c r="L559" s="10" t="str">
        <f>TRIM(IF(Table1[[#This Row],[years_of_experience]]="","Unknown",Table1[[#This Row],[years_of_experience]]))</f>
        <v>15</v>
      </c>
      <c r="N559">
        <f>IF(Table1[[#This Row],[hourly_rate (USD)]]="",MEDIAN(Table1[hourly_rate (USD)]),Table1[[#This Row],[hourly_rate (USD)]])</f>
        <v>50</v>
      </c>
      <c r="O559" t="str">
        <f>TRIM(CLEAN(Table1[[#This Row],[Updated hourly_rate (USD)]]))</f>
        <v>50</v>
      </c>
      <c r="P559" t="str">
        <f>SUBSTITUTE(SUBSTITUTE(Table1[[#This Row],[Formatted hourly rate]],"USD ",""),"$","")</f>
        <v>50</v>
      </c>
      <c r="Q559">
        <v>3.8</v>
      </c>
      <c r="R559">
        <f>IF(Table1[[#This Row],[rating]]="",2.6,Table1[[#This Row],[rating]])</f>
        <v>3.8</v>
      </c>
      <c r="S559">
        <v>1</v>
      </c>
      <c r="T559" t="str">
        <f>TRIM(CLEAN(Table1[[#This Row],[is_active]]))</f>
        <v>1</v>
      </c>
      <c r="U5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59" s="11" t="str">
        <f>TRIM(IF(Table1[[#This Row],[is_active3]]="Unknown","TRUE",Table1[[#This Row],[is_active3]]))</f>
        <v>TRUE</v>
      </c>
      <c r="X559">
        <f>IF(Table1[[#This Row],[client_satisfaction]]&gt;1,Table1[[#This Row],[client_satisfaction]]/100,Table1[[#This Row],[client_satisfaction]])</f>
        <v>0</v>
      </c>
      <c r="Y559">
        <f>IF(Table1[[#This Row],[client_satisfaction2]]=0,0.75,Table1[[#This Row],[client_satisfaction2]])</f>
        <v>0.75</v>
      </c>
    </row>
    <row r="560" spans="1:25" x14ac:dyDescent="0.25">
      <c r="A560" t="s">
        <v>1198</v>
      </c>
      <c r="B560" t="s">
        <v>1199</v>
      </c>
      <c r="C560" t="str">
        <f>PROPER(TRIM(SUBSTITUTE(SUBSTITUTE(SUBSTITUTE(Table1[[#This Row],[name]],"Ms. ",""),"Mr. ",""),"Mrs. ","")))</f>
        <v>Janet Barron</v>
      </c>
      <c r="D560" t="s">
        <v>14</v>
      </c>
      <c r="E5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60">
        <v>57</v>
      </c>
      <c r="G560" t="str">
        <f>TRIM(IF(Table1[[#This Row],[age]]="","Unknown",Table1[[#This Row],[age]]))</f>
        <v>57</v>
      </c>
      <c r="H560" t="s">
        <v>153</v>
      </c>
      <c r="I560" t="s">
        <v>154</v>
      </c>
      <c r="J560" t="s">
        <v>78</v>
      </c>
      <c r="K560">
        <v>33</v>
      </c>
      <c r="L560" s="10" t="str">
        <f>TRIM(IF(Table1[[#This Row],[years_of_experience]]="","Unknown",Table1[[#This Row],[years_of_experience]]))</f>
        <v>33</v>
      </c>
      <c r="M560">
        <v>100</v>
      </c>
      <c r="N560">
        <f>IF(Table1[[#This Row],[hourly_rate (USD)]]="",MEDIAN(Table1[hourly_rate (USD)]),Table1[[#This Row],[hourly_rate (USD)]])</f>
        <v>100</v>
      </c>
      <c r="O560" t="str">
        <f>TRIM(CLEAN(Table1[[#This Row],[Updated hourly_rate (USD)]]))</f>
        <v>100</v>
      </c>
      <c r="P560" t="str">
        <f>SUBSTITUTE(SUBSTITUTE(Table1[[#This Row],[Formatted hourly rate]],"USD ",""),"$","")</f>
        <v>100</v>
      </c>
      <c r="Q560">
        <v>3.5</v>
      </c>
      <c r="R560">
        <f>IF(Table1[[#This Row],[rating]]="",2.6,Table1[[#This Row],[rating]])</f>
        <v>3.5</v>
      </c>
      <c r="S560" t="s">
        <v>159</v>
      </c>
      <c r="T560" t="str">
        <f>TRIM(CLEAN(Table1[[#This Row],[is_active]]))</f>
        <v>no</v>
      </c>
      <c r="U56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60" s="11" t="str">
        <f>TRIM(IF(Table1[[#This Row],[is_active3]]="Unknown","TRUE",Table1[[#This Row],[is_active3]]))</f>
        <v>FALSE</v>
      </c>
      <c r="W560">
        <v>0.74</v>
      </c>
      <c r="X560">
        <f>IF(Table1[[#This Row],[client_satisfaction]]&gt;1,Table1[[#This Row],[client_satisfaction]]/100,Table1[[#This Row],[client_satisfaction]])</f>
        <v>0.74</v>
      </c>
      <c r="Y560">
        <f>IF(Table1[[#This Row],[client_satisfaction2]]=0,0.75,Table1[[#This Row],[client_satisfaction2]])</f>
        <v>0.74</v>
      </c>
    </row>
    <row r="561" spans="1:25" x14ac:dyDescent="0.25">
      <c r="A561" t="s">
        <v>1200</v>
      </c>
      <c r="B561" t="s">
        <v>1201</v>
      </c>
      <c r="C561" t="str">
        <f>PROPER(TRIM(SUBSTITUTE(SUBSTITUTE(SUBSTITUTE(Table1[[#This Row],[name]],"Ms. ",""),"Mr. ",""),"Mrs. ","")))</f>
        <v>Rodney Wilson</v>
      </c>
      <c r="D561" t="s">
        <v>27</v>
      </c>
      <c r="E5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61">
        <v>60</v>
      </c>
      <c r="G561" t="str">
        <f>TRIM(IF(Table1[[#This Row],[age]]="","Unknown",Table1[[#This Row],[age]]))</f>
        <v>60</v>
      </c>
      <c r="H561" t="s">
        <v>71</v>
      </c>
      <c r="I561" t="s">
        <v>72</v>
      </c>
      <c r="J561" t="s">
        <v>30</v>
      </c>
      <c r="K561">
        <v>39</v>
      </c>
      <c r="L561" s="10" t="str">
        <f>TRIM(IF(Table1[[#This Row],[years_of_experience]]="","Unknown",Table1[[#This Row],[years_of_experience]]))</f>
        <v>39</v>
      </c>
      <c r="M561" t="s">
        <v>52</v>
      </c>
      <c r="N561" t="str">
        <f>IF(Table1[[#This Row],[hourly_rate (USD)]]="",MEDIAN(Table1[hourly_rate (USD)]),Table1[[#This Row],[hourly_rate (USD)]])</f>
        <v>USD 75</v>
      </c>
      <c r="O561" t="str">
        <f>TRIM(CLEAN(Table1[[#This Row],[Updated hourly_rate (USD)]]))</f>
        <v>USD 75</v>
      </c>
      <c r="P561" t="str">
        <f>SUBSTITUTE(SUBSTITUTE(Table1[[#This Row],[Formatted hourly rate]],"USD ",""),"$","")</f>
        <v>75</v>
      </c>
      <c r="Q561">
        <v>4</v>
      </c>
      <c r="R561">
        <f>IF(Table1[[#This Row],[rating]]="",2.6,Table1[[#This Row],[rating]])</f>
        <v>4</v>
      </c>
      <c r="T561" t="str">
        <f>TRIM(CLEAN(Table1[[#This Row],[is_active]]))</f>
        <v/>
      </c>
      <c r="U56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61" s="11" t="str">
        <f>TRIM(IF(Table1[[#This Row],[is_active3]]="Unknown","TRUE",Table1[[#This Row],[is_active3]]))</f>
        <v>TRUE</v>
      </c>
      <c r="W561">
        <v>0.7</v>
      </c>
      <c r="X561">
        <f>IF(Table1[[#This Row],[client_satisfaction]]&gt;1,Table1[[#This Row],[client_satisfaction]]/100,Table1[[#This Row],[client_satisfaction]])</f>
        <v>0.7</v>
      </c>
      <c r="Y561">
        <f>IF(Table1[[#This Row],[client_satisfaction2]]=0,0.75,Table1[[#This Row],[client_satisfaction2]])</f>
        <v>0.7</v>
      </c>
    </row>
    <row r="562" spans="1:25" x14ac:dyDescent="0.25">
      <c r="A562" t="s">
        <v>1202</v>
      </c>
      <c r="B562" t="s">
        <v>1203</v>
      </c>
      <c r="C562" t="str">
        <f>PROPER(TRIM(SUBSTITUTE(SUBSTITUTE(SUBSTITUTE(Table1[[#This Row],[name]],"Ms. ",""),"Mr. ",""),"Mrs. ","")))</f>
        <v>Kimberly Fitzgerald</v>
      </c>
      <c r="D562" t="s">
        <v>39</v>
      </c>
      <c r="E5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62">
        <v>48</v>
      </c>
      <c r="G562" t="str">
        <f>TRIM(IF(Table1[[#This Row],[age]]="","Unknown",Table1[[#This Row],[age]]))</f>
        <v>48</v>
      </c>
      <c r="H562" t="s">
        <v>139</v>
      </c>
      <c r="I562" t="s">
        <v>140</v>
      </c>
      <c r="J562" t="s">
        <v>30</v>
      </c>
      <c r="K562">
        <v>21</v>
      </c>
      <c r="L562" s="10" t="str">
        <f>TRIM(IF(Table1[[#This Row],[years_of_experience]]="","Unknown",Table1[[#This Row],[years_of_experience]]))</f>
        <v>21</v>
      </c>
      <c r="M562">
        <v>30</v>
      </c>
      <c r="N562">
        <f>IF(Table1[[#This Row],[hourly_rate (USD)]]="",MEDIAN(Table1[hourly_rate (USD)]),Table1[[#This Row],[hourly_rate (USD)]])</f>
        <v>30</v>
      </c>
      <c r="O562" t="str">
        <f>TRIM(CLEAN(Table1[[#This Row],[Updated hourly_rate (USD)]]))</f>
        <v>30</v>
      </c>
      <c r="P562" t="str">
        <f>SUBSTITUTE(SUBSTITUTE(Table1[[#This Row],[Formatted hourly rate]],"USD ",""),"$","")</f>
        <v>30</v>
      </c>
      <c r="Q562">
        <v>1.6</v>
      </c>
      <c r="R562">
        <f>IF(Table1[[#This Row],[rating]]="",2.6,Table1[[#This Row],[rating]])</f>
        <v>1.6</v>
      </c>
      <c r="S562" t="s">
        <v>74</v>
      </c>
      <c r="T562" t="str">
        <f>TRIM(CLEAN(Table1[[#This Row],[is_active]]))</f>
        <v>Y</v>
      </c>
      <c r="U56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62" s="11" t="str">
        <f>TRIM(IF(Table1[[#This Row],[is_active3]]="Unknown","TRUE",Table1[[#This Row],[is_active3]]))</f>
        <v>TRUE</v>
      </c>
      <c r="W562">
        <v>0.67</v>
      </c>
      <c r="X562">
        <f>IF(Table1[[#This Row],[client_satisfaction]]&gt;1,Table1[[#This Row],[client_satisfaction]]/100,Table1[[#This Row],[client_satisfaction]])</f>
        <v>0.67</v>
      </c>
      <c r="Y562">
        <f>IF(Table1[[#This Row],[client_satisfaction2]]=0,0.75,Table1[[#This Row],[client_satisfaction2]])</f>
        <v>0.67</v>
      </c>
    </row>
    <row r="563" spans="1:25" x14ac:dyDescent="0.25">
      <c r="A563" t="s">
        <v>1204</v>
      </c>
      <c r="B563" t="s">
        <v>1205</v>
      </c>
      <c r="C563" t="str">
        <f>PROPER(TRIM(SUBSTITUTE(SUBSTITUTE(SUBSTITUTE(Table1[[#This Row],[name]],"Ms. ",""),"Mr. ",""),"Mrs. ","")))</f>
        <v>Nicole Davis</v>
      </c>
      <c r="D563" t="s">
        <v>77</v>
      </c>
      <c r="E5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63">
        <v>24</v>
      </c>
      <c r="G563" t="str">
        <f>TRIM(IF(Table1[[#This Row],[age]]="","Unknown",Table1[[#This Row],[age]]))</f>
        <v>24</v>
      </c>
      <c r="H563" t="s">
        <v>135</v>
      </c>
      <c r="I563" t="s">
        <v>136</v>
      </c>
      <c r="J563" t="s">
        <v>78</v>
      </c>
      <c r="K563">
        <v>5</v>
      </c>
      <c r="L563" s="10" t="str">
        <f>TRIM(IF(Table1[[#This Row],[years_of_experience]]="","Unknown",Table1[[#This Row],[years_of_experience]]))</f>
        <v>5</v>
      </c>
      <c r="M563">
        <v>40</v>
      </c>
      <c r="N563">
        <f>IF(Table1[[#This Row],[hourly_rate (USD)]]="",MEDIAN(Table1[hourly_rate (USD)]),Table1[[#This Row],[hourly_rate (USD)]])</f>
        <v>40</v>
      </c>
      <c r="O563" t="str">
        <f>TRIM(CLEAN(Table1[[#This Row],[Updated hourly_rate (USD)]]))</f>
        <v>40</v>
      </c>
      <c r="P563" t="str">
        <f>SUBSTITUTE(SUBSTITUTE(Table1[[#This Row],[Formatted hourly rate]],"USD ",""),"$","")</f>
        <v>40</v>
      </c>
      <c r="Q563">
        <v>3</v>
      </c>
      <c r="R563">
        <f>IF(Table1[[#This Row],[rating]]="",2.6,Table1[[#This Row],[rating]])</f>
        <v>3</v>
      </c>
      <c r="S563" t="s">
        <v>159</v>
      </c>
      <c r="T563" t="str">
        <f>TRIM(CLEAN(Table1[[#This Row],[is_active]]))</f>
        <v>no</v>
      </c>
      <c r="U5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63" s="11" t="str">
        <f>TRIM(IF(Table1[[#This Row],[is_active3]]="Unknown","TRUE",Table1[[#This Row],[is_active3]]))</f>
        <v>FALSE</v>
      </c>
      <c r="W563">
        <v>0.86</v>
      </c>
      <c r="X563">
        <f>IF(Table1[[#This Row],[client_satisfaction]]&gt;1,Table1[[#This Row],[client_satisfaction]]/100,Table1[[#This Row],[client_satisfaction]])</f>
        <v>0.86</v>
      </c>
      <c r="Y563">
        <f>IF(Table1[[#This Row],[client_satisfaction2]]=0,0.75,Table1[[#This Row],[client_satisfaction2]])</f>
        <v>0.86</v>
      </c>
    </row>
    <row r="564" spans="1:25" x14ac:dyDescent="0.25">
      <c r="A564" t="s">
        <v>1206</v>
      </c>
      <c r="B564" t="s">
        <v>1207</v>
      </c>
      <c r="C564" t="str">
        <f>PROPER(TRIM(SUBSTITUTE(SUBSTITUTE(SUBSTITUTE(Table1[[#This Row],[name]],"Ms. ",""),"Mr. ",""),"Mrs. ","")))</f>
        <v>Elizabeth Hayes</v>
      </c>
      <c r="D564" t="s">
        <v>20</v>
      </c>
      <c r="E5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64">
        <v>33</v>
      </c>
      <c r="G564" t="str">
        <f>TRIM(IF(Table1[[#This Row],[age]]="","Unknown",Table1[[#This Row],[age]]))</f>
        <v>33</v>
      </c>
      <c r="H564" t="s">
        <v>179</v>
      </c>
      <c r="I564" t="s">
        <v>72</v>
      </c>
      <c r="J564" t="s">
        <v>89</v>
      </c>
      <c r="K564">
        <v>11</v>
      </c>
      <c r="L564" s="10" t="str">
        <f>TRIM(IF(Table1[[#This Row],[years_of_experience]]="","Unknown",Table1[[#This Row],[years_of_experience]]))</f>
        <v>11</v>
      </c>
      <c r="M564">
        <v>50</v>
      </c>
      <c r="N564">
        <f>IF(Table1[[#This Row],[hourly_rate (USD)]]="",MEDIAN(Table1[hourly_rate (USD)]),Table1[[#This Row],[hourly_rate (USD)]])</f>
        <v>50</v>
      </c>
      <c r="O564" t="str">
        <f>TRIM(CLEAN(Table1[[#This Row],[Updated hourly_rate (USD)]]))</f>
        <v>50</v>
      </c>
      <c r="P564" t="str">
        <f>SUBSTITUTE(SUBSTITUTE(Table1[[#This Row],[Formatted hourly rate]],"USD ",""),"$","")</f>
        <v>50</v>
      </c>
      <c r="Q564">
        <v>5</v>
      </c>
      <c r="R564">
        <f>IF(Table1[[#This Row],[rating]]="",2.6,Table1[[#This Row],[rating]])</f>
        <v>5</v>
      </c>
      <c r="S564" t="s">
        <v>68</v>
      </c>
      <c r="T564" t="str">
        <f>TRIM(CLEAN(Table1[[#This Row],[is_active]]))</f>
        <v>yes</v>
      </c>
      <c r="U5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64" s="11" t="str">
        <f>TRIM(IF(Table1[[#This Row],[is_active3]]="Unknown","TRUE",Table1[[#This Row],[is_active3]]))</f>
        <v>TRUE</v>
      </c>
      <c r="W564">
        <v>0.69</v>
      </c>
      <c r="X564">
        <f>IF(Table1[[#This Row],[client_satisfaction]]&gt;1,Table1[[#This Row],[client_satisfaction]]/100,Table1[[#This Row],[client_satisfaction]])</f>
        <v>0.69</v>
      </c>
      <c r="Y564">
        <f>IF(Table1[[#This Row],[client_satisfaction2]]=0,0.75,Table1[[#This Row],[client_satisfaction2]])</f>
        <v>0.69</v>
      </c>
    </row>
    <row r="565" spans="1:25" x14ac:dyDescent="0.25">
      <c r="A565" t="s">
        <v>1208</v>
      </c>
      <c r="B565" t="s">
        <v>1209</v>
      </c>
      <c r="C565" t="str">
        <f>PROPER(TRIM(SUBSTITUTE(SUBSTITUTE(SUBSTITUTE(Table1[[#This Row],[name]],"Ms. ",""),"Mr. ",""),"Mrs. ","")))</f>
        <v>Kathy Faulkner</v>
      </c>
      <c r="D565" t="s">
        <v>20</v>
      </c>
      <c r="E5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65">
        <v>20</v>
      </c>
      <c r="G565" t="str">
        <f>TRIM(IF(Table1[[#This Row],[age]]="","Unknown",Table1[[#This Row],[age]]))</f>
        <v>20</v>
      </c>
      <c r="H565" t="s">
        <v>62</v>
      </c>
      <c r="I565" t="s">
        <v>63</v>
      </c>
      <c r="J565" t="s">
        <v>30</v>
      </c>
      <c r="K565">
        <v>0</v>
      </c>
      <c r="L565" s="10" t="str">
        <f>TRIM(IF(Table1[[#This Row],[years_of_experience]]="","Unknown",Table1[[#This Row],[years_of_experience]]))</f>
        <v>0</v>
      </c>
      <c r="M565">
        <v>30</v>
      </c>
      <c r="N565">
        <f>IF(Table1[[#This Row],[hourly_rate (USD)]]="",MEDIAN(Table1[hourly_rate (USD)]),Table1[[#This Row],[hourly_rate (USD)]])</f>
        <v>30</v>
      </c>
      <c r="O565" t="str">
        <f>TRIM(CLEAN(Table1[[#This Row],[Updated hourly_rate (USD)]]))</f>
        <v>30</v>
      </c>
      <c r="P565" t="str">
        <f>SUBSTITUTE(SUBSTITUTE(Table1[[#This Row],[Formatted hourly rate]],"USD ",""),"$","")</f>
        <v>30</v>
      </c>
      <c r="Q565">
        <v>4.8</v>
      </c>
      <c r="R565">
        <f>IF(Table1[[#This Row],[rating]]="",2.6,Table1[[#This Row],[rating]])</f>
        <v>4.8</v>
      </c>
      <c r="S565" t="s">
        <v>68</v>
      </c>
      <c r="T565" t="str">
        <f>TRIM(CLEAN(Table1[[#This Row],[is_active]]))</f>
        <v>yes</v>
      </c>
      <c r="U5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65" s="11" t="str">
        <f>TRIM(IF(Table1[[#This Row],[is_active3]]="Unknown","TRUE",Table1[[#This Row],[is_active3]]))</f>
        <v>TRUE</v>
      </c>
      <c r="W565">
        <v>0.68</v>
      </c>
      <c r="X565">
        <f>IF(Table1[[#This Row],[client_satisfaction]]&gt;1,Table1[[#This Row],[client_satisfaction]]/100,Table1[[#This Row],[client_satisfaction]])</f>
        <v>0.68</v>
      </c>
      <c r="Y565">
        <f>IF(Table1[[#This Row],[client_satisfaction2]]=0,0.75,Table1[[#This Row],[client_satisfaction2]])</f>
        <v>0.68</v>
      </c>
    </row>
    <row r="566" spans="1:25" x14ac:dyDescent="0.25">
      <c r="A566" t="s">
        <v>1210</v>
      </c>
      <c r="B566" t="s">
        <v>1211</v>
      </c>
      <c r="C566" t="str">
        <f>PROPER(TRIM(SUBSTITUTE(SUBSTITUTE(SUBSTITUTE(Table1[[#This Row],[name]],"Ms. ",""),"Mr. ",""),"Mrs. ","")))</f>
        <v>John Gonzales</v>
      </c>
      <c r="D566" t="s">
        <v>61</v>
      </c>
      <c r="E5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66">
        <v>59</v>
      </c>
      <c r="G566" t="str">
        <f>TRIM(IF(Table1[[#This Row],[age]]="","Unknown",Table1[[#This Row],[age]]))</f>
        <v>59</v>
      </c>
      <c r="H566" t="s">
        <v>67</v>
      </c>
      <c r="I566" t="s">
        <v>22</v>
      </c>
      <c r="J566" t="s">
        <v>89</v>
      </c>
      <c r="K566">
        <v>15</v>
      </c>
      <c r="L566" s="10" t="str">
        <f>TRIM(IF(Table1[[#This Row],[years_of_experience]]="","Unknown",Table1[[#This Row],[years_of_experience]]))</f>
        <v>15</v>
      </c>
      <c r="M566" t="s">
        <v>64</v>
      </c>
      <c r="N566" t="str">
        <f>IF(Table1[[#This Row],[hourly_rate (USD)]]="",MEDIAN(Table1[hourly_rate (USD)]),Table1[[#This Row],[hourly_rate (USD)]])</f>
        <v>$50</v>
      </c>
      <c r="O566" t="str">
        <f>TRIM(CLEAN(Table1[[#This Row],[Updated hourly_rate (USD)]]))</f>
        <v>$50</v>
      </c>
      <c r="P566" t="str">
        <f>SUBSTITUTE(SUBSTITUTE(Table1[[#This Row],[Formatted hourly rate]],"USD ",""),"$","")</f>
        <v>50</v>
      </c>
      <c r="R566">
        <f>IF(Table1[[#This Row],[rating]]="",2.6,Table1[[#This Row],[rating]])</f>
        <v>2.6</v>
      </c>
      <c r="S566" t="s">
        <v>159</v>
      </c>
      <c r="T566" t="str">
        <f>TRIM(CLEAN(Table1[[#This Row],[is_active]]))</f>
        <v>no</v>
      </c>
      <c r="U56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66" s="11" t="str">
        <f>TRIM(IF(Table1[[#This Row],[is_active3]]="Unknown","TRUE",Table1[[#This Row],[is_active3]]))</f>
        <v>FALSE</v>
      </c>
      <c r="X566">
        <f>IF(Table1[[#This Row],[client_satisfaction]]&gt;1,Table1[[#This Row],[client_satisfaction]]/100,Table1[[#This Row],[client_satisfaction]])</f>
        <v>0</v>
      </c>
      <c r="Y566">
        <f>IF(Table1[[#This Row],[client_satisfaction2]]=0,0.75,Table1[[#This Row],[client_satisfaction2]])</f>
        <v>0.75</v>
      </c>
    </row>
    <row r="567" spans="1:25" x14ac:dyDescent="0.25">
      <c r="A567" t="s">
        <v>1212</v>
      </c>
      <c r="B567" t="s">
        <v>1213</v>
      </c>
      <c r="C567" t="str">
        <f>PROPER(TRIM(SUBSTITUTE(SUBSTITUTE(SUBSTITUTE(Table1[[#This Row],[name]],"Ms. ",""),"Mr. ",""),"Mrs. ","")))</f>
        <v>Shannon Luna</v>
      </c>
      <c r="D567" t="s">
        <v>39</v>
      </c>
      <c r="E5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67">
        <v>42</v>
      </c>
      <c r="G567" t="str">
        <f>TRIM(IF(Table1[[#This Row],[age]]="","Unknown",Table1[[#This Row],[age]]))</f>
        <v>42</v>
      </c>
      <c r="H567" t="s">
        <v>175</v>
      </c>
      <c r="I567" t="s">
        <v>176</v>
      </c>
      <c r="J567" t="s">
        <v>89</v>
      </c>
      <c r="K567">
        <v>22</v>
      </c>
      <c r="L567" s="10" t="str">
        <f>TRIM(IF(Table1[[#This Row],[years_of_experience]]="","Unknown",Table1[[#This Row],[years_of_experience]]))</f>
        <v>22</v>
      </c>
      <c r="N567">
        <f>IF(Table1[[#This Row],[hourly_rate (USD)]]="",MEDIAN(Table1[hourly_rate (USD)]),Table1[[#This Row],[hourly_rate (USD)]])</f>
        <v>50</v>
      </c>
      <c r="O567" t="str">
        <f>TRIM(CLEAN(Table1[[#This Row],[Updated hourly_rate (USD)]]))</f>
        <v>50</v>
      </c>
      <c r="P567" t="str">
        <f>SUBSTITUTE(SUBSTITUTE(Table1[[#This Row],[Formatted hourly rate]],"USD ",""),"$","")</f>
        <v>50</v>
      </c>
      <c r="Q567">
        <v>2.9</v>
      </c>
      <c r="R567">
        <f>IF(Table1[[#This Row],[rating]]="",2.6,Table1[[#This Row],[rating]])</f>
        <v>2.9</v>
      </c>
      <c r="S567">
        <v>0</v>
      </c>
      <c r="T567" t="str">
        <f>TRIM(CLEAN(Table1[[#This Row],[is_active]]))</f>
        <v>0</v>
      </c>
      <c r="U56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67" s="11" t="str">
        <f>TRIM(IF(Table1[[#This Row],[is_active3]]="Unknown","TRUE",Table1[[#This Row],[is_active3]]))</f>
        <v>FALSE</v>
      </c>
      <c r="W567">
        <v>0.61</v>
      </c>
      <c r="X567">
        <f>IF(Table1[[#This Row],[client_satisfaction]]&gt;1,Table1[[#This Row],[client_satisfaction]]/100,Table1[[#This Row],[client_satisfaction]])</f>
        <v>0.61</v>
      </c>
      <c r="Y567">
        <f>IF(Table1[[#This Row],[client_satisfaction2]]=0,0.75,Table1[[#This Row],[client_satisfaction2]])</f>
        <v>0.61</v>
      </c>
    </row>
    <row r="568" spans="1:25" x14ac:dyDescent="0.25">
      <c r="A568" t="s">
        <v>1214</v>
      </c>
      <c r="B568" t="s">
        <v>1215</v>
      </c>
      <c r="C568" t="str">
        <f>PROPER(TRIM(SUBSTITUTE(SUBSTITUTE(SUBSTITUTE(Table1[[#This Row],[name]],"Ms. ",""),"Mr. ",""),"Mrs. ","")))</f>
        <v>Stephanie Burton</v>
      </c>
      <c r="D568" t="s">
        <v>20</v>
      </c>
      <c r="E5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68">
        <v>22</v>
      </c>
      <c r="G568" t="str">
        <f>TRIM(IF(Table1[[#This Row],[age]]="","Unknown",Table1[[#This Row],[age]]))</f>
        <v>22</v>
      </c>
      <c r="H568" t="s">
        <v>62</v>
      </c>
      <c r="I568" t="s">
        <v>63</v>
      </c>
      <c r="J568" t="s">
        <v>73</v>
      </c>
      <c r="K568">
        <v>3</v>
      </c>
      <c r="L568" s="10" t="str">
        <f>TRIM(IF(Table1[[#This Row],[years_of_experience]]="","Unknown",Table1[[#This Row],[years_of_experience]]))</f>
        <v>3</v>
      </c>
      <c r="N568">
        <f>IF(Table1[[#This Row],[hourly_rate (USD)]]="",MEDIAN(Table1[hourly_rate (USD)]),Table1[[#This Row],[hourly_rate (USD)]])</f>
        <v>50</v>
      </c>
      <c r="O568" t="str">
        <f>TRIM(CLEAN(Table1[[#This Row],[Updated hourly_rate (USD)]]))</f>
        <v>50</v>
      </c>
      <c r="P568" t="str">
        <f>SUBSTITUTE(SUBSTITUTE(Table1[[#This Row],[Formatted hourly rate]],"USD ",""),"$","")</f>
        <v>50</v>
      </c>
      <c r="Q568">
        <v>3</v>
      </c>
      <c r="R568">
        <f>IF(Table1[[#This Row],[rating]]="",2.6,Table1[[#This Row],[rating]])</f>
        <v>3</v>
      </c>
      <c r="S568" t="b">
        <v>1</v>
      </c>
      <c r="T568" t="str">
        <f>TRIM(CLEAN(Table1[[#This Row],[is_active]]))</f>
        <v>TRUE</v>
      </c>
      <c r="U56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68" s="11" t="str">
        <f>TRIM(IF(Table1[[#This Row],[is_active3]]="Unknown","TRUE",Table1[[#This Row],[is_active3]]))</f>
        <v>TRUE</v>
      </c>
      <c r="W568">
        <v>0.96</v>
      </c>
      <c r="X568">
        <f>IF(Table1[[#This Row],[client_satisfaction]]&gt;1,Table1[[#This Row],[client_satisfaction]]/100,Table1[[#This Row],[client_satisfaction]])</f>
        <v>0.96</v>
      </c>
      <c r="Y568">
        <f>IF(Table1[[#This Row],[client_satisfaction2]]=0,0.75,Table1[[#This Row],[client_satisfaction2]])</f>
        <v>0.96</v>
      </c>
    </row>
    <row r="569" spans="1:25" x14ac:dyDescent="0.25">
      <c r="A569" t="s">
        <v>1216</v>
      </c>
      <c r="B569" t="s">
        <v>1217</v>
      </c>
      <c r="C569" t="str">
        <f>PROPER(TRIM(SUBSTITUTE(SUBSTITUTE(SUBSTITUTE(Table1[[#This Row],[name]],"Ms. ",""),"Mr. ",""),"Mrs. ","")))</f>
        <v>Kevin Gonzales</v>
      </c>
      <c r="D569" t="s">
        <v>92</v>
      </c>
      <c r="E5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69">
        <v>41</v>
      </c>
      <c r="G569" t="str">
        <f>TRIM(IF(Table1[[#This Row],[age]]="","Unknown",Table1[[#This Row],[age]]))</f>
        <v>41</v>
      </c>
      <c r="H569" t="s">
        <v>128</v>
      </c>
      <c r="I569" t="s">
        <v>22</v>
      </c>
      <c r="J569" t="s">
        <v>78</v>
      </c>
      <c r="K569">
        <v>11</v>
      </c>
      <c r="L569" s="10" t="str">
        <f>TRIM(IF(Table1[[#This Row],[years_of_experience]]="","Unknown",Table1[[#This Row],[years_of_experience]]))</f>
        <v>11</v>
      </c>
      <c r="M569">
        <v>50</v>
      </c>
      <c r="N569">
        <f>IF(Table1[[#This Row],[hourly_rate (USD)]]="",MEDIAN(Table1[hourly_rate (USD)]),Table1[[#This Row],[hourly_rate (USD)]])</f>
        <v>50</v>
      </c>
      <c r="O569" t="str">
        <f>TRIM(CLEAN(Table1[[#This Row],[Updated hourly_rate (USD)]]))</f>
        <v>50</v>
      </c>
      <c r="P569" t="str">
        <f>SUBSTITUTE(SUBSTITUTE(Table1[[#This Row],[Formatted hourly rate]],"USD ",""),"$","")</f>
        <v>50</v>
      </c>
      <c r="Q569">
        <v>3.5</v>
      </c>
      <c r="R569">
        <f>IF(Table1[[#This Row],[rating]]="",2.6,Table1[[#This Row],[rating]])</f>
        <v>3.5</v>
      </c>
      <c r="S569">
        <v>1</v>
      </c>
      <c r="T569" t="str">
        <f>TRIM(CLEAN(Table1[[#This Row],[is_active]]))</f>
        <v>1</v>
      </c>
      <c r="U56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69" s="11" t="str">
        <f>TRIM(IF(Table1[[#This Row],[is_active3]]="Unknown","TRUE",Table1[[#This Row],[is_active3]]))</f>
        <v>TRUE</v>
      </c>
      <c r="W569">
        <v>0.68</v>
      </c>
      <c r="X569">
        <f>IF(Table1[[#This Row],[client_satisfaction]]&gt;1,Table1[[#This Row],[client_satisfaction]]/100,Table1[[#This Row],[client_satisfaction]])</f>
        <v>0.68</v>
      </c>
      <c r="Y569">
        <f>IF(Table1[[#This Row],[client_satisfaction2]]=0,0.75,Table1[[#This Row],[client_satisfaction2]])</f>
        <v>0.68</v>
      </c>
    </row>
    <row r="570" spans="1:25" x14ac:dyDescent="0.25">
      <c r="A570" t="s">
        <v>1218</v>
      </c>
      <c r="B570" t="s">
        <v>1219</v>
      </c>
      <c r="C570" t="str">
        <f>PROPER(TRIM(SUBSTITUTE(SUBSTITUTE(SUBSTITUTE(Table1[[#This Row],[name]],"Ms. ",""),"Mr. ",""),"Mrs. ","")))</f>
        <v>Dawn Hardy</v>
      </c>
      <c r="D570" t="s">
        <v>77</v>
      </c>
      <c r="E5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70">
        <v>25</v>
      </c>
      <c r="G570" t="str">
        <f>TRIM(IF(Table1[[#This Row],[age]]="","Unknown",Table1[[#This Row],[age]]))</f>
        <v>25</v>
      </c>
      <c r="H570" t="s">
        <v>71</v>
      </c>
      <c r="I570" t="s">
        <v>72</v>
      </c>
      <c r="J570" t="s">
        <v>35</v>
      </c>
      <c r="K570">
        <v>5</v>
      </c>
      <c r="L570" s="10" t="str">
        <f>TRIM(IF(Table1[[#This Row],[years_of_experience]]="","Unknown",Table1[[#This Row],[years_of_experience]]))</f>
        <v>5</v>
      </c>
      <c r="M570">
        <v>40</v>
      </c>
      <c r="N570">
        <f>IF(Table1[[#This Row],[hourly_rate (USD)]]="",MEDIAN(Table1[hourly_rate (USD)]),Table1[[#This Row],[hourly_rate (USD)]])</f>
        <v>40</v>
      </c>
      <c r="O570" t="str">
        <f>TRIM(CLEAN(Table1[[#This Row],[Updated hourly_rate (USD)]]))</f>
        <v>40</v>
      </c>
      <c r="P570" t="str">
        <f>SUBSTITUTE(SUBSTITUTE(Table1[[#This Row],[Formatted hourly rate]],"USD ",""),"$","")</f>
        <v>40</v>
      </c>
      <c r="R570">
        <f>IF(Table1[[#This Row],[rating]]="",2.6,Table1[[#This Row],[rating]])</f>
        <v>2.6</v>
      </c>
      <c r="S570" t="b">
        <v>1</v>
      </c>
      <c r="T570" t="str">
        <f>TRIM(CLEAN(Table1[[#This Row],[is_active]]))</f>
        <v>TRUE</v>
      </c>
      <c r="U57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70" s="11" t="str">
        <f>TRIM(IF(Table1[[#This Row],[is_active3]]="Unknown","TRUE",Table1[[#This Row],[is_active3]]))</f>
        <v>TRUE</v>
      </c>
      <c r="W570">
        <v>0.75</v>
      </c>
      <c r="X570">
        <f>IF(Table1[[#This Row],[client_satisfaction]]&gt;1,Table1[[#This Row],[client_satisfaction]]/100,Table1[[#This Row],[client_satisfaction]])</f>
        <v>0.75</v>
      </c>
      <c r="Y570">
        <f>IF(Table1[[#This Row],[client_satisfaction2]]=0,0.75,Table1[[#This Row],[client_satisfaction2]])</f>
        <v>0.75</v>
      </c>
    </row>
    <row r="571" spans="1:25" x14ac:dyDescent="0.25">
      <c r="A571" t="s">
        <v>1220</v>
      </c>
      <c r="B571" t="s">
        <v>1221</v>
      </c>
      <c r="C571" t="str">
        <f>PROPER(TRIM(SUBSTITUTE(SUBSTITUTE(SUBSTITUTE(Table1[[#This Row],[name]],"Ms. ",""),"Mr. ",""),"Mrs. ","")))</f>
        <v>Margaret Perkins</v>
      </c>
      <c r="D571" t="s">
        <v>14</v>
      </c>
      <c r="E5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71">
        <v>38</v>
      </c>
      <c r="G571" t="str">
        <f>TRIM(IF(Table1[[#This Row],[age]]="","Unknown",Table1[[#This Row],[age]]))</f>
        <v>38</v>
      </c>
      <c r="H571" t="s">
        <v>128</v>
      </c>
      <c r="I571" t="s">
        <v>22</v>
      </c>
      <c r="J571" t="s">
        <v>73</v>
      </c>
      <c r="K571">
        <v>3</v>
      </c>
      <c r="L571" s="10" t="str">
        <f>TRIM(IF(Table1[[#This Row],[years_of_experience]]="","Unknown",Table1[[#This Row],[years_of_experience]]))</f>
        <v>3</v>
      </c>
      <c r="M571">
        <v>40</v>
      </c>
      <c r="N571">
        <f>IF(Table1[[#This Row],[hourly_rate (USD)]]="",MEDIAN(Table1[hourly_rate (USD)]),Table1[[#This Row],[hourly_rate (USD)]])</f>
        <v>40</v>
      </c>
      <c r="O571" t="str">
        <f>TRIM(CLEAN(Table1[[#This Row],[Updated hourly_rate (USD)]]))</f>
        <v>40</v>
      </c>
      <c r="P571" t="str">
        <f>SUBSTITUTE(SUBSTITUTE(Table1[[#This Row],[Formatted hourly rate]],"USD ",""),"$","")</f>
        <v>40</v>
      </c>
      <c r="Q571">
        <v>4.7</v>
      </c>
      <c r="R571">
        <f>IF(Table1[[#This Row],[rating]]="",2.6,Table1[[#This Row],[rating]])</f>
        <v>4.7</v>
      </c>
      <c r="S571">
        <v>0</v>
      </c>
      <c r="T571" t="str">
        <f>TRIM(CLEAN(Table1[[#This Row],[is_active]]))</f>
        <v>0</v>
      </c>
      <c r="U5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71" s="11" t="str">
        <f>TRIM(IF(Table1[[#This Row],[is_active3]]="Unknown","TRUE",Table1[[#This Row],[is_active3]]))</f>
        <v>FALSE</v>
      </c>
      <c r="W571">
        <v>0.69</v>
      </c>
      <c r="X571">
        <f>IF(Table1[[#This Row],[client_satisfaction]]&gt;1,Table1[[#This Row],[client_satisfaction]]/100,Table1[[#This Row],[client_satisfaction]])</f>
        <v>0.69</v>
      </c>
      <c r="Y571">
        <f>IF(Table1[[#This Row],[client_satisfaction2]]=0,0.75,Table1[[#This Row],[client_satisfaction2]])</f>
        <v>0.69</v>
      </c>
    </row>
    <row r="572" spans="1:25" x14ac:dyDescent="0.25">
      <c r="A572" t="s">
        <v>1222</v>
      </c>
      <c r="B572" t="s">
        <v>1223</v>
      </c>
      <c r="C572" t="str">
        <f>PROPER(TRIM(SUBSTITUTE(SUBSTITUTE(SUBSTITUTE(Table1[[#This Row],[name]],"Ms. ",""),"Mr. ",""),"Mrs. ","")))</f>
        <v>Amanda Vargas</v>
      </c>
      <c r="D572" t="s">
        <v>39</v>
      </c>
      <c r="E5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72">
        <v>43</v>
      </c>
      <c r="G572" t="str">
        <f>TRIM(IF(Table1[[#This Row],[age]]="","Unknown",Table1[[#This Row],[age]]))</f>
        <v>43</v>
      </c>
      <c r="H572" t="s">
        <v>58</v>
      </c>
      <c r="I572" t="s">
        <v>22</v>
      </c>
      <c r="J572" t="s">
        <v>89</v>
      </c>
      <c r="K572">
        <v>1</v>
      </c>
      <c r="L572" s="10" t="str">
        <f>TRIM(IF(Table1[[#This Row],[years_of_experience]]="","Unknown",Table1[[#This Row],[years_of_experience]]))</f>
        <v>1</v>
      </c>
      <c r="N572">
        <f>IF(Table1[[#This Row],[hourly_rate (USD)]]="",MEDIAN(Table1[hourly_rate (USD)]),Table1[[#This Row],[hourly_rate (USD)]])</f>
        <v>50</v>
      </c>
      <c r="O572" t="str">
        <f>TRIM(CLEAN(Table1[[#This Row],[Updated hourly_rate (USD)]]))</f>
        <v>50</v>
      </c>
      <c r="P572" t="str">
        <f>SUBSTITUTE(SUBSTITUTE(Table1[[#This Row],[Formatted hourly rate]],"USD ",""),"$","")</f>
        <v>50</v>
      </c>
      <c r="Q572">
        <v>2.9</v>
      </c>
      <c r="R572">
        <f>IF(Table1[[#This Row],[rating]]="",2.6,Table1[[#This Row],[rating]])</f>
        <v>2.9</v>
      </c>
      <c r="S572" t="s">
        <v>159</v>
      </c>
      <c r="T572" t="str">
        <f>TRIM(CLEAN(Table1[[#This Row],[is_active]]))</f>
        <v>no</v>
      </c>
      <c r="U57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72" s="11" t="str">
        <f>TRIM(IF(Table1[[#This Row],[is_active3]]="Unknown","TRUE",Table1[[#This Row],[is_active3]]))</f>
        <v>FALSE</v>
      </c>
      <c r="W572">
        <v>0.78</v>
      </c>
      <c r="X572">
        <f>IF(Table1[[#This Row],[client_satisfaction]]&gt;1,Table1[[#This Row],[client_satisfaction]]/100,Table1[[#This Row],[client_satisfaction]])</f>
        <v>0.78</v>
      </c>
      <c r="Y572">
        <f>IF(Table1[[#This Row],[client_satisfaction2]]=0,0.75,Table1[[#This Row],[client_satisfaction2]])</f>
        <v>0.78</v>
      </c>
    </row>
    <row r="573" spans="1:25" x14ac:dyDescent="0.25">
      <c r="A573" t="s">
        <v>1224</v>
      </c>
      <c r="B573" t="s">
        <v>1225</v>
      </c>
      <c r="C573" t="str">
        <f>PROPER(TRIM(SUBSTITUTE(SUBSTITUTE(SUBSTITUTE(Table1[[#This Row],[name]],"Ms. ",""),"Mr. ",""),"Mrs. ","")))</f>
        <v>Tonya Gonzalez</v>
      </c>
      <c r="D573" t="s">
        <v>34</v>
      </c>
      <c r="E5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73">
        <v>54</v>
      </c>
      <c r="G573" t="str">
        <f>TRIM(IF(Table1[[#This Row],[age]]="","Unknown",Table1[[#This Row],[age]]))</f>
        <v>54</v>
      </c>
      <c r="H573" t="s">
        <v>179</v>
      </c>
      <c r="I573" t="s">
        <v>72</v>
      </c>
      <c r="J573" t="s">
        <v>44</v>
      </c>
      <c r="K573">
        <v>1</v>
      </c>
      <c r="L573" s="10" t="str">
        <f>TRIM(IF(Table1[[#This Row],[years_of_experience]]="","Unknown",Table1[[#This Row],[years_of_experience]]))</f>
        <v>1</v>
      </c>
      <c r="M573">
        <v>75</v>
      </c>
      <c r="N573">
        <f>IF(Table1[[#This Row],[hourly_rate (USD)]]="",MEDIAN(Table1[hourly_rate (USD)]),Table1[[#This Row],[hourly_rate (USD)]])</f>
        <v>75</v>
      </c>
      <c r="O573" t="str">
        <f>TRIM(CLEAN(Table1[[#This Row],[Updated hourly_rate (USD)]]))</f>
        <v>75</v>
      </c>
      <c r="P573" t="str">
        <f>SUBSTITUTE(SUBSTITUTE(Table1[[#This Row],[Formatted hourly rate]],"USD ",""),"$","")</f>
        <v>75</v>
      </c>
      <c r="Q573">
        <v>4.4000000000000004</v>
      </c>
      <c r="R573">
        <f>IF(Table1[[#This Row],[rating]]="",2.6,Table1[[#This Row],[rating]])</f>
        <v>4.4000000000000004</v>
      </c>
      <c r="S573" t="s">
        <v>74</v>
      </c>
      <c r="T573" t="str">
        <f>TRIM(CLEAN(Table1[[#This Row],[is_active]]))</f>
        <v>Y</v>
      </c>
      <c r="U57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73" s="11" t="str">
        <f>TRIM(IF(Table1[[#This Row],[is_active3]]="Unknown","TRUE",Table1[[#This Row],[is_active3]]))</f>
        <v>TRUE</v>
      </c>
      <c r="X573">
        <f>IF(Table1[[#This Row],[client_satisfaction]]&gt;1,Table1[[#This Row],[client_satisfaction]]/100,Table1[[#This Row],[client_satisfaction]])</f>
        <v>0</v>
      </c>
      <c r="Y573">
        <f>IF(Table1[[#This Row],[client_satisfaction2]]=0,0.75,Table1[[#This Row],[client_satisfaction2]])</f>
        <v>0.75</v>
      </c>
    </row>
    <row r="574" spans="1:25" x14ac:dyDescent="0.25">
      <c r="A574" t="s">
        <v>1226</v>
      </c>
      <c r="B574" t="s">
        <v>1227</v>
      </c>
      <c r="C574" t="str">
        <f>PROPER(TRIM(SUBSTITUTE(SUBSTITUTE(SUBSTITUTE(Table1[[#This Row],[name]],"Ms. ",""),"Mr. ",""),"Mrs. ","")))</f>
        <v>Elizabeth Bowman</v>
      </c>
      <c r="D574" t="s">
        <v>34</v>
      </c>
      <c r="E5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74">
        <v>31</v>
      </c>
      <c r="G574" t="str">
        <f>TRIM(IF(Table1[[#This Row],[age]]="","Unknown",Table1[[#This Row],[age]]))</f>
        <v>31</v>
      </c>
      <c r="H574" t="s">
        <v>49</v>
      </c>
      <c r="I574" t="s">
        <v>50</v>
      </c>
      <c r="J574" t="s">
        <v>23</v>
      </c>
      <c r="K574">
        <v>2</v>
      </c>
      <c r="L574" s="10" t="str">
        <f>TRIM(IF(Table1[[#This Row],[years_of_experience]]="","Unknown",Table1[[#This Row],[years_of_experience]]))</f>
        <v>2</v>
      </c>
      <c r="M574">
        <v>40</v>
      </c>
      <c r="N574">
        <f>IF(Table1[[#This Row],[hourly_rate (USD)]]="",MEDIAN(Table1[hourly_rate (USD)]),Table1[[#This Row],[hourly_rate (USD)]])</f>
        <v>40</v>
      </c>
      <c r="O574" t="str">
        <f>TRIM(CLEAN(Table1[[#This Row],[Updated hourly_rate (USD)]]))</f>
        <v>40</v>
      </c>
      <c r="P574" t="str">
        <f>SUBSTITUTE(SUBSTITUTE(Table1[[#This Row],[Formatted hourly rate]],"USD ",""),"$","")</f>
        <v>40</v>
      </c>
      <c r="Q574">
        <v>2.2999999999999998</v>
      </c>
      <c r="R574">
        <f>IF(Table1[[#This Row],[rating]]="",2.6,Table1[[#This Row],[rating]])</f>
        <v>2.2999999999999998</v>
      </c>
      <c r="S574" t="s">
        <v>31</v>
      </c>
      <c r="T574" t="str">
        <f>TRIM(CLEAN(Table1[[#This Row],[is_active]]))</f>
        <v>N</v>
      </c>
      <c r="U57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74" s="11" t="str">
        <f>TRIM(IF(Table1[[#This Row],[is_active3]]="Unknown","TRUE",Table1[[#This Row],[is_active3]]))</f>
        <v>FALSE</v>
      </c>
      <c r="W574">
        <v>0.98</v>
      </c>
      <c r="X574">
        <f>IF(Table1[[#This Row],[client_satisfaction]]&gt;1,Table1[[#This Row],[client_satisfaction]]/100,Table1[[#This Row],[client_satisfaction]])</f>
        <v>0.98</v>
      </c>
      <c r="Y574">
        <f>IF(Table1[[#This Row],[client_satisfaction2]]=0,0.75,Table1[[#This Row],[client_satisfaction2]])</f>
        <v>0.98</v>
      </c>
    </row>
    <row r="575" spans="1:25" x14ac:dyDescent="0.25">
      <c r="A575" t="s">
        <v>1228</v>
      </c>
      <c r="B575" t="s">
        <v>1229</v>
      </c>
      <c r="C575" t="str">
        <f>PROPER(TRIM(SUBSTITUTE(SUBSTITUTE(SUBSTITUTE(Table1[[#This Row],[name]],"Ms. ",""),"Mr. ",""),"Mrs. ","")))</f>
        <v>Ariana Pittman</v>
      </c>
      <c r="D575" t="s">
        <v>14</v>
      </c>
      <c r="E5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75">
        <v>56</v>
      </c>
      <c r="G575" t="str">
        <f>TRIM(IF(Table1[[#This Row],[age]]="","Unknown",Table1[[#This Row],[age]]))</f>
        <v>56</v>
      </c>
      <c r="H575" t="s">
        <v>179</v>
      </c>
      <c r="I575" t="s">
        <v>72</v>
      </c>
      <c r="J575" t="s">
        <v>44</v>
      </c>
      <c r="K575">
        <v>3</v>
      </c>
      <c r="L575" s="10" t="str">
        <f>TRIM(IF(Table1[[#This Row],[years_of_experience]]="","Unknown",Table1[[#This Row],[years_of_experience]]))</f>
        <v>3</v>
      </c>
      <c r="M575" t="s">
        <v>45</v>
      </c>
      <c r="N575" t="str">
        <f>IF(Table1[[#This Row],[hourly_rate (USD)]]="",MEDIAN(Table1[hourly_rate (USD)]),Table1[[#This Row],[hourly_rate (USD)]])</f>
        <v>$30</v>
      </c>
      <c r="O575" t="str">
        <f>TRIM(CLEAN(Table1[[#This Row],[Updated hourly_rate (USD)]]))</f>
        <v>$30</v>
      </c>
      <c r="P575" t="str">
        <f>SUBSTITUTE(SUBSTITUTE(Table1[[#This Row],[Formatted hourly rate]],"USD ",""),"$","")</f>
        <v>30</v>
      </c>
      <c r="Q575">
        <v>3.7</v>
      </c>
      <c r="R575">
        <f>IF(Table1[[#This Row],[rating]]="",2.6,Table1[[#This Row],[rating]])</f>
        <v>3.7</v>
      </c>
      <c r="T575" t="str">
        <f>TRIM(CLEAN(Table1[[#This Row],[is_active]]))</f>
        <v/>
      </c>
      <c r="U57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75" s="11" t="str">
        <f>TRIM(IF(Table1[[#This Row],[is_active3]]="Unknown","TRUE",Table1[[#This Row],[is_active3]]))</f>
        <v>TRUE</v>
      </c>
      <c r="W575">
        <v>0.83</v>
      </c>
      <c r="X575">
        <f>IF(Table1[[#This Row],[client_satisfaction]]&gt;1,Table1[[#This Row],[client_satisfaction]]/100,Table1[[#This Row],[client_satisfaction]])</f>
        <v>0.83</v>
      </c>
      <c r="Y575">
        <f>IF(Table1[[#This Row],[client_satisfaction2]]=0,0.75,Table1[[#This Row],[client_satisfaction2]])</f>
        <v>0.83</v>
      </c>
    </row>
    <row r="576" spans="1:25" x14ac:dyDescent="0.25">
      <c r="A576" t="s">
        <v>1230</v>
      </c>
      <c r="B576" t="s">
        <v>1231</v>
      </c>
      <c r="C576" t="str">
        <f>PROPER(TRIM(SUBSTITUTE(SUBSTITUTE(SUBSTITUTE(Table1[[#This Row],[name]],"Ms. ",""),"Mr. ",""),"Mrs. ","")))</f>
        <v>Antonio Johnson</v>
      </c>
      <c r="D576" t="s">
        <v>61</v>
      </c>
      <c r="E5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76">
        <v>46</v>
      </c>
      <c r="G576" t="str">
        <f>TRIM(IF(Table1[[#This Row],[age]]="","Unknown",Table1[[#This Row],[age]]))</f>
        <v>46</v>
      </c>
      <c r="H576" t="s">
        <v>179</v>
      </c>
      <c r="I576" t="s">
        <v>72</v>
      </c>
      <c r="J576" t="s">
        <v>30</v>
      </c>
      <c r="K576">
        <v>11</v>
      </c>
      <c r="L576" s="10" t="str">
        <f>TRIM(IF(Table1[[#This Row],[years_of_experience]]="","Unknown",Table1[[#This Row],[years_of_experience]]))</f>
        <v>11</v>
      </c>
      <c r="N576">
        <f>IF(Table1[[#This Row],[hourly_rate (USD)]]="",MEDIAN(Table1[hourly_rate (USD)]),Table1[[#This Row],[hourly_rate (USD)]])</f>
        <v>50</v>
      </c>
      <c r="O576" t="str">
        <f>TRIM(CLEAN(Table1[[#This Row],[Updated hourly_rate (USD)]]))</f>
        <v>50</v>
      </c>
      <c r="P576" t="str">
        <f>SUBSTITUTE(SUBSTITUTE(Table1[[#This Row],[Formatted hourly rate]],"USD ",""),"$","")</f>
        <v>50</v>
      </c>
      <c r="Q576">
        <v>1.8</v>
      </c>
      <c r="R576">
        <f>IF(Table1[[#This Row],[rating]]="",2.6,Table1[[#This Row],[rating]])</f>
        <v>1.8</v>
      </c>
      <c r="S576">
        <v>1</v>
      </c>
      <c r="T576" t="str">
        <f>TRIM(CLEAN(Table1[[#This Row],[is_active]]))</f>
        <v>1</v>
      </c>
      <c r="U57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76" s="11" t="str">
        <f>TRIM(IF(Table1[[#This Row],[is_active3]]="Unknown","TRUE",Table1[[#This Row],[is_active3]]))</f>
        <v>TRUE</v>
      </c>
      <c r="W576">
        <v>0.91</v>
      </c>
      <c r="X576">
        <f>IF(Table1[[#This Row],[client_satisfaction]]&gt;1,Table1[[#This Row],[client_satisfaction]]/100,Table1[[#This Row],[client_satisfaction]])</f>
        <v>0.91</v>
      </c>
      <c r="Y576">
        <f>IF(Table1[[#This Row],[client_satisfaction2]]=0,0.75,Table1[[#This Row],[client_satisfaction2]])</f>
        <v>0.91</v>
      </c>
    </row>
    <row r="577" spans="1:25" x14ac:dyDescent="0.25">
      <c r="A577" t="s">
        <v>1232</v>
      </c>
      <c r="B577" t="s">
        <v>1233</v>
      </c>
      <c r="C577" t="str">
        <f>PROPER(TRIM(SUBSTITUTE(SUBSTITUTE(SUBSTITUTE(Table1[[#This Row],[name]],"Ms. ",""),"Mr. ",""),"Mrs. ","")))</f>
        <v>Justin Lang</v>
      </c>
      <c r="D577" t="s">
        <v>97</v>
      </c>
      <c r="E5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77">
        <v>60</v>
      </c>
      <c r="G577" t="str">
        <f>TRIM(IF(Table1[[#This Row],[age]]="","Unknown",Table1[[#This Row],[age]]))</f>
        <v>60</v>
      </c>
      <c r="H577" t="s">
        <v>139</v>
      </c>
      <c r="I577" t="s">
        <v>140</v>
      </c>
      <c r="J577" t="s">
        <v>44</v>
      </c>
      <c r="L577" s="10" t="str">
        <f>TRIM(IF(Table1[[#This Row],[years_of_experience]]="","Unknown",Table1[[#This Row],[years_of_experience]]))</f>
        <v>Unknown</v>
      </c>
      <c r="M577">
        <v>100</v>
      </c>
      <c r="N577">
        <f>IF(Table1[[#This Row],[hourly_rate (USD)]]="",MEDIAN(Table1[hourly_rate (USD)]),Table1[[#This Row],[hourly_rate (USD)]])</f>
        <v>100</v>
      </c>
      <c r="O577" t="str">
        <f>TRIM(CLEAN(Table1[[#This Row],[Updated hourly_rate (USD)]]))</f>
        <v>100</v>
      </c>
      <c r="P577" t="str">
        <f>SUBSTITUTE(SUBSTITUTE(Table1[[#This Row],[Formatted hourly rate]],"USD ",""),"$","")</f>
        <v>100</v>
      </c>
      <c r="Q577">
        <v>0</v>
      </c>
      <c r="R577">
        <f>IF(Table1[[#This Row],[rating]]="",2.6,Table1[[#This Row],[rating]])</f>
        <v>0</v>
      </c>
      <c r="S577">
        <v>1</v>
      </c>
      <c r="T577" t="str">
        <f>TRIM(CLEAN(Table1[[#This Row],[is_active]]))</f>
        <v>1</v>
      </c>
      <c r="U57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77" s="11" t="str">
        <f>TRIM(IF(Table1[[#This Row],[is_active3]]="Unknown","TRUE",Table1[[#This Row],[is_active3]]))</f>
        <v>TRUE</v>
      </c>
      <c r="W577">
        <v>0.96</v>
      </c>
      <c r="X577">
        <f>IF(Table1[[#This Row],[client_satisfaction]]&gt;1,Table1[[#This Row],[client_satisfaction]]/100,Table1[[#This Row],[client_satisfaction]])</f>
        <v>0.96</v>
      </c>
      <c r="Y577">
        <f>IF(Table1[[#This Row],[client_satisfaction2]]=0,0.75,Table1[[#This Row],[client_satisfaction2]])</f>
        <v>0.96</v>
      </c>
    </row>
    <row r="578" spans="1:25" x14ac:dyDescent="0.25">
      <c r="A578" t="s">
        <v>1234</v>
      </c>
      <c r="B578" t="s">
        <v>1235</v>
      </c>
      <c r="C578" t="str">
        <f>PROPER(TRIM(SUBSTITUTE(SUBSTITUTE(SUBSTITUTE(Table1[[#This Row],[name]],"Ms. ",""),"Mr. ",""),"Mrs. ","")))</f>
        <v>Kelli Ramirez</v>
      </c>
      <c r="D578" t="s">
        <v>34</v>
      </c>
      <c r="E5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78">
        <v>28</v>
      </c>
      <c r="G578" t="str">
        <f>TRIM(IF(Table1[[#This Row],[age]]="","Unknown",Table1[[#This Row],[age]]))</f>
        <v>28</v>
      </c>
      <c r="H578" t="s">
        <v>112</v>
      </c>
      <c r="I578" t="s">
        <v>113</v>
      </c>
      <c r="J578" t="s">
        <v>30</v>
      </c>
      <c r="K578">
        <v>2</v>
      </c>
      <c r="L578" s="10" t="str">
        <f>TRIM(IF(Table1[[#This Row],[years_of_experience]]="","Unknown",Table1[[#This Row],[years_of_experience]]))</f>
        <v>2</v>
      </c>
      <c r="M578" t="s">
        <v>98</v>
      </c>
      <c r="N578" t="str">
        <f>IF(Table1[[#This Row],[hourly_rate (USD)]]="",MEDIAN(Table1[hourly_rate (USD)]),Table1[[#This Row],[hourly_rate (USD)]])</f>
        <v>USD 50</v>
      </c>
      <c r="O578" t="str">
        <f>TRIM(CLEAN(Table1[[#This Row],[Updated hourly_rate (USD)]]))</f>
        <v>USD 50</v>
      </c>
      <c r="P578" t="str">
        <f>SUBSTITUTE(SUBSTITUTE(Table1[[#This Row],[Formatted hourly rate]],"USD ",""),"$","")</f>
        <v>50</v>
      </c>
      <c r="R578">
        <f>IF(Table1[[#This Row],[rating]]="",2.6,Table1[[#This Row],[rating]])</f>
        <v>2.6</v>
      </c>
      <c r="S578">
        <v>1</v>
      </c>
      <c r="T578" t="str">
        <f>TRIM(CLEAN(Table1[[#This Row],[is_active]]))</f>
        <v>1</v>
      </c>
      <c r="U57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78" s="11" t="str">
        <f>TRIM(IF(Table1[[#This Row],[is_active3]]="Unknown","TRUE",Table1[[#This Row],[is_active3]]))</f>
        <v>TRUE</v>
      </c>
      <c r="W578">
        <v>0.85</v>
      </c>
      <c r="X578">
        <f>IF(Table1[[#This Row],[client_satisfaction]]&gt;1,Table1[[#This Row],[client_satisfaction]]/100,Table1[[#This Row],[client_satisfaction]])</f>
        <v>0.85</v>
      </c>
      <c r="Y578">
        <f>IF(Table1[[#This Row],[client_satisfaction2]]=0,0.75,Table1[[#This Row],[client_satisfaction2]])</f>
        <v>0.85</v>
      </c>
    </row>
    <row r="579" spans="1:25" x14ac:dyDescent="0.25">
      <c r="A579" t="s">
        <v>1236</v>
      </c>
      <c r="B579" t="s">
        <v>1237</v>
      </c>
      <c r="C579" t="str">
        <f>PROPER(TRIM(SUBSTITUTE(SUBSTITUTE(SUBSTITUTE(Table1[[#This Row],[name]],"Ms. ",""),"Mr. ",""),"Mrs. ","")))</f>
        <v>Deborah Torres</v>
      </c>
      <c r="D579" t="s">
        <v>34</v>
      </c>
      <c r="E5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79">
        <v>43</v>
      </c>
      <c r="G579" t="str">
        <f>TRIM(IF(Table1[[#This Row],[age]]="","Unknown",Table1[[#This Row],[age]]))</f>
        <v>43</v>
      </c>
      <c r="H579" t="s">
        <v>49</v>
      </c>
      <c r="I579" t="s">
        <v>50</v>
      </c>
      <c r="J579" t="s">
        <v>35</v>
      </c>
      <c r="K579">
        <v>20</v>
      </c>
      <c r="L579" s="10" t="str">
        <f>TRIM(IF(Table1[[#This Row],[years_of_experience]]="","Unknown",Table1[[#This Row],[years_of_experience]]))</f>
        <v>20</v>
      </c>
      <c r="M579" t="s">
        <v>109</v>
      </c>
      <c r="N579" t="str">
        <f>IF(Table1[[#This Row],[hourly_rate (USD)]]="",MEDIAN(Table1[hourly_rate (USD)]),Table1[[#This Row],[hourly_rate (USD)]])</f>
        <v>USD 30</v>
      </c>
      <c r="O579" t="str">
        <f>TRIM(CLEAN(Table1[[#This Row],[Updated hourly_rate (USD)]]))</f>
        <v>USD 30</v>
      </c>
      <c r="P579" t="str">
        <f>SUBSTITUTE(SUBSTITUTE(Table1[[#This Row],[Formatted hourly rate]],"USD ",""),"$","")</f>
        <v>30</v>
      </c>
      <c r="Q579">
        <v>2.7</v>
      </c>
      <c r="R579">
        <f>IF(Table1[[#This Row],[rating]]="",2.6,Table1[[#This Row],[rating]])</f>
        <v>2.7</v>
      </c>
      <c r="S579" t="b">
        <v>0</v>
      </c>
      <c r="T579" t="str">
        <f>TRIM(CLEAN(Table1[[#This Row],[is_active]]))</f>
        <v>FALSE</v>
      </c>
      <c r="U57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79" s="11" t="str">
        <f>TRIM(IF(Table1[[#This Row],[is_active3]]="Unknown","TRUE",Table1[[#This Row],[is_active3]]))</f>
        <v>TRUE</v>
      </c>
      <c r="W579">
        <v>0.72</v>
      </c>
      <c r="X579">
        <f>IF(Table1[[#This Row],[client_satisfaction]]&gt;1,Table1[[#This Row],[client_satisfaction]]/100,Table1[[#This Row],[client_satisfaction]])</f>
        <v>0.72</v>
      </c>
      <c r="Y579">
        <f>IF(Table1[[#This Row],[client_satisfaction2]]=0,0.75,Table1[[#This Row],[client_satisfaction2]])</f>
        <v>0.72</v>
      </c>
    </row>
    <row r="580" spans="1:25" x14ac:dyDescent="0.25">
      <c r="A580" t="s">
        <v>1238</v>
      </c>
      <c r="B580" t="s">
        <v>1239</v>
      </c>
      <c r="C580" t="str">
        <f>PROPER(TRIM(SUBSTITUTE(SUBSTITUTE(SUBSTITUTE(Table1[[#This Row],[name]],"Ms. ",""),"Mr. ",""),"Mrs. ","")))</f>
        <v>Joseph Horn</v>
      </c>
      <c r="D580" t="s">
        <v>61</v>
      </c>
      <c r="E5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0">
        <v>41</v>
      </c>
      <c r="G580" t="str">
        <f>TRIM(IF(Table1[[#This Row],[age]]="","Unknown",Table1[[#This Row],[age]]))</f>
        <v>41</v>
      </c>
      <c r="H580" t="s">
        <v>135</v>
      </c>
      <c r="I580" t="s">
        <v>136</v>
      </c>
      <c r="J580" t="s">
        <v>35</v>
      </c>
      <c r="K580">
        <v>11</v>
      </c>
      <c r="L580" s="10" t="str">
        <f>TRIM(IF(Table1[[#This Row],[years_of_experience]]="","Unknown",Table1[[#This Row],[years_of_experience]]))</f>
        <v>11</v>
      </c>
      <c r="M580" t="s">
        <v>121</v>
      </c>
      <c r="N580" t="str">
        <f>IF(Table1[[#This Row],[hourly_rate (USD)]]="",MEDIAN(Table1[hourly_rate (USD)]),Table1[[#This Row],[hourly_rate (USD)]])</f>
        <v>$20</v>
      </c>
      <c r="O580" t="str">
        <f>TRIM(CLEAN(Table1[[#This Row],[Updated hourly_rate (USD)]]))</f>
        <v>$20</v>
      </c>
      <c r="P580" t="str">
        <f>SUBSTITUTE(SUBSTITUTE(Table1[[#This Row],[Formatted hourly rate]],"USD ",""),"$","")</f>
        <v>20</v>
      </c>
      <c r="Q580">
        <v>4.7</v>
      </c>
      <c r="R580">
        <f>IF(Table1[[#This Row],[rating]]="",2.6,Table1[[#This Row],[rating]])</f>
        <v>4.7</v>
      </c>
      <c r="T580" t="str">
        <f>TRIM(CLEAN(Table1[[#This Row],[is_active]]))</f>
        <v/>
      </c>
      <c r="U58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80" s="11" t="str">
        <f>TRIM(IF(Table1[[#This Row],[is_active3]]="Unknown","TRUE",Table1[[#This Row],[is_active3]]))</f>
        <v>TRUE</v>
      </c>
      <c r="W580">
        <v>0.69</v>
      </c>
      <c r="X580">
        <f>IF(Table1[[#This Row],[client_satisfaction]]&gt;1,Table1[[#This Row],[client_satisfaction]]/100,Table1[[#This Row],[client_satisfaction]])</f>
        <v>0.69</v>
      </c>
      <c r="Y580">
        <f>IF(Table1[[#This Row],[client_satisfaction2]]=0,0.75,Table1[[#This Row],[client_satisfaction2]])</f>
        <v>0.69</v>
      </c>
    </row>
    <row r="581" spans="1:25" x14ac:dyDescent="0.25">
      <c r="A581" t="s">
        <v>1240</v>
      </c>
      <c r="B581" t="s">
        <v>1241</v>
      </c>
      <c r="C581" t="str">
        <f>PROPER(TRIM(SUBSTITUTE(SUBSTITUTE(SUBSTITUTE(Table1[[#This Row],[name]],"Ms. ",""),"Mr. ",""),"Mrs. ","")))</f>
        <v>Christopher Robinson</v>
      </c>
      <c r="D581" t="s">
        <v>27</v>
      </c>
      <c r="E5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1">
        <v>41</v>
      </c>
      <c r="G581" t="str">
        <f>TRIM(IF(Table1[[#This Row],[age]]="","Unknown",Table1[[#This Row],[age]]))</f>
        <v>41</v>
      </c>
      <c r="H581" t="s">
        <v>67</v>
      </c>
      <c r="I581" t="s">
        <v>22</v>
      </c>
      <c r="J581" t="s">
        <v>89</v>
      </c>
      <c r="K581">
        <v>0</v>
      </c>
      <c r="L581" s="10" t="str">
        <f>TRIM(IF(Table1[[#This Row],[years_of_experience]]="","Unknown",Table1[[#This Row],[years_of_experience]]))</f>
        <v>0</v>
      </c>
      <c r="M581" t="s">
        <v>121</v>
      </c>
      <c r="N581" t="str">
        <f>IF(Table1[[#This Row],[hourly_rate (USD)]]="",MEDIAN(Table1[hourly_rate (USD)]),Table1[[#This Row],[hourly_rate (USD)]])</f>
        <v>$20</v>
      </c>
      <c r="O581" t="str">
        <f>TRIM(CLEAN(Table1[[#This Row],[Updated hourly_rate (USD)]]))</f>
        <v>$20</v>
      </c>
      <c r="P581" t="str">
        <f>SUBSTITUTE(SUBSTITUTE(Table1[[#This Row],[Formatted hourly rate]],"USD ",""),"$","")</f>
        <v>20</v>
      </c>
      <c r="Q581">
        <v>3.1</v>
      </c>
      <c r="R581">
        <f>IF(Table1[[#This Row],[rating]]="",2.6,Table1[[#This Row],[rating]])</f>
        <v>3.1</v>
      </c>
      <c r="S581">
        <v>0</v>
      </c>
      <c r="T581" t="str">
        <f>TRIM(CLEAN(Table1[[#This Row],[is_active]]))</f>
        <v>0</v>
      </c>
      <c r="U58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81" s="11" t="str">
        <f>TRIM(IF(Table1[[#This Row],[is_active3]]="Unknown","TRUE",Table1[[#This Row],[is_active3]]))</f>
        <v>FALSE</v>
      </c>
      <c r="W581">
        <v>90</v>
      </c>
      <c r="X581">
        <f>IF(Table1[[#This Row],[client_satisfaction]]&gt;1,Table1[[#This Row],[client_satisfaction]]/100,Table1[[#This Row],[client_satisfaction]])</f>
        <v>0.9</v>
      </c>
      <c r="Y581">
        <f>IF(Table1[[#This Row],[client_satisfaction2]]=0,0.75,Table1[[#This Row],[client_satisfaction2]])</f>
        <v>0.9</v>
      </c>
    </row>
    <row r="582" spans="1:25" x14ac:dyDescent="0.25">
      <c r="A582" t="s">
        <v>1242</v>
      </c>
      <c r="B582" t="s">
        <v>1243</v>
      </c>
      <c r="C582" t="str">
        <f>PROPER(TRIM(SUBSTITUTE(SUBSTITUTE(SUBSTITUTE(Table1[[#This Row],[name]],"Ms. ",""),"Mr. ",""),"Mrs. ","")))</f>
        <v>Sandra Mccormick</v>
      </c>
      <c r="D582" t="s">
        <v>34</v>
      </c>
      <c r="E5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82">
        <v>40</v>
      </c>
      <c r="G582" t="str">
        <f>TRIM(IF(Table1[[#This Row],[age]]="","Unknown",Table1[[#This Row],[age]]))</f>
        <v>40</v>
      </c>
      <c r="H582" t="s">
        <v>67</v>
      </c>
      <c r="I582" t="s">
        <v>22</v>
      </c>
      <c r="J582" t="s">
        <v>23</v>
      </c>
      <c r="K582">
        <v>20</v>
      </c>
      <c r="L582" s="10" t="str">
        <f>TRIM(IF(Table1[[#This Row],[years_of_experience]]="","Unknown",Table1[[#This Row],[years_of_experience]]))</f>
        <v>20</v>
      </c>
      <c r="M582">
        <v>20</v>
      </c>
      <c r="N582">
        <f>IF(Table1[[#This Row],[hourly_rate (USD)]]="",MEDIAN(Table1[hourly_rate (USD)]),Table1[[#This Row],[hourly_rate (USD)]])</f>
        <v>20</v>
      </c>
      <c r="O582" t="str">
        <f>TRIM(CLEAN(Table1[[#This Row],[Updated hourly_rate (USD)]]))</f>
        <v>20</v>
      </c>
      <c r="P582" t="str">
        <f>SUBSTITUTE(SUBSTITUTE(Table1[[#This Row],[Formatted hourly rate]],"USD ",""),"$","")</f>
        <v>20</v>
      </c>
      <c r="Q582">
        <v>2.2999999999999998</v>
      </c>
      <c r="R582">
        <f>IF(Table1[[#This Row],[rating]]="",2.6,Table1[[#This Row],[rating]])</f>
        <v>2.2999999999999998</v>
      </c>
      <c r="S582">
        <v>0</v>
      </c>
      <c r="T582" t="str">
        <f>TRIM(CLEAN(Table1[[#This Row],[is_active]]))</f>
        <v>0</v>
      </c>
      <c r="U58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82" s="11" t="str">
        <f>TRIM(IF(Table1[[#This Row],[is_active3]]="Unknown","TRUE",Table1[[#This Row],[is_active3]]))</f>
        <v>FALSE</v>
      </c>
      <c r="W582">
        <v>0.92</v>
      </c>
      <c r="X582">
        <f>IF(Table1[[#This Row],[client_satisfaction]]&gt;1,Table1[[#This Row],[client_satisfaction]]/100,Table1[[#This Row],[client_satisfaction]])</f>
        <v>0.92</v>
      </c>
      <c r="Y582">
        <f>IF(Table1[[#This Row],[client_satisfaction2]]=0,0.75,Table1[[#This Row],[client_satisfaction2]])</f>
        <v>0.92</v>
      </c>
    </row>
    <row r="583" spans="1:25" x14ac:dyDescent="0.25">
      <c r="A583" t="s">
        <v>1244</v>
      </c>
      <c r="B583" t="s">
        <v>1245</v>
      </c>
      <c r="C583" t="str">
        <f>PROPER(TRIM(SUBSTITUTE(SUBSTITUTE(SUBSTITUTE(Table1[[#This Row],[name]],"Ms. ",""),"Mr. ",""),"Mrs. ","")))</f>
        <v>Michael Holland</v>
      </c>
      <c r="D583" t="s">
        <v>97</v>
      </c>
      <c r="E5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3">
        <v>45</v>
      </c>
      <c r="G583" t="str">
        <f>TRIM(IF(Table1[[#This Row],[age]]="","Unknown",Table1[[#This Row],[age]]))</f>
        <v>45</v>
      </c>
      <c r="H583" t="s">
        <v>28</v>
      </c>
      <c r="I583" t="s">
        <v>29</v>
      </c>
      <c r="J583" t="s">
        <v>89</v>
      </c>
      <c r="K583">
        <v>3</v>
      </c>
      <c r="L583" s="10" t="str">
        <f>TRIM(IF(Table1[[#This Row],[years_of_experience]]="","Unknown",Table1[[#This Row],[years_of_experience]]))</f>
        <v>3</v>
      </c>
      <c r="M583" t="s">
        <v>314</v>
      </c>
      <c r="N583" t="str">
        <f>IF(Table1[[#This Row],[hourly_rate (USD)]]="",MEDIAN(Table1[hourly_rate (USD)]),Table1[[#This Row],[hourly_rate (USD)]])</f>
        <v>USD 20</v>
      </c>
      <c r="O583" t="str">
        <f>TRIM(CLEAN(Table1[[#This Row],[Updated hourly_rate (USD)]]))</f>
        <v>USD 20</v>
      </c>
      <c r="P583" t="str">
        <f>SUBSTITUTE(SUBSTITUTE(Table1[[#This Row],[Formatted hourly rate]],"USD ",""),"$","")</f>
        <v>20</v>
      </c>
      <c r="Q583">
        <v>1.3</v>
      </c>
      <c r="R583">
        <f>IF(Table1[[#This Row],[rating]]="",2.6,Table1[[#This Row],[rating]])</f>
        <v>1.3</v>
      </c>
      <c r="S583" t="s">
        <v>74</v>
      </c>
      <c r="T583" t="str">
        <f>TRIM(CLEAN(Table1[[#This Row],[is_active]]))</f>
        <v>Y</v>
      </c>
      <c r="U5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83" s="11" t="str">
        <f>TRIM(IF(Table1[[#This Row],[is_active3]]="Unknown","TRUE",Table1[[#This Row],[is_active3]]))</f>
        <v>TRUE</v>
      </c>
      <c r="W583">
        <v>0.91</v>
      </c>
      <c r="X583">
        <f>IF(Table1[[#This Row],[client_satisfaction]]&gt;1,Table1[[#This Row],[client_satisfaction]]/100,Table1[[#This Row],[client_satisfaction]])</f>
        <v>0.91</v>
      </c>
      <c r="Y583">
        <f>IF(Table1[[#This Row],[client_satisfaction2]]=0,0.75,Table1[[#This Row],[client_satisfaction2]])</f>
        <v>0.91</v>
      </c>
    </row>
    <row r="584" spans="1:25" x14ac:dyDescent="0.25">
      <c r="A584" t="s">
        <v>1246</v>
      </c>
      <c r="B584" t="s">
        <v>1247</v>
      </c>
      <c r="C584" t="str">
        <f>PROPER(TRIM(SUBSTITUTE(SUBSTITUTE(SUBSTITUTE(Table1[[#This Row],[name]],"Ms. ",""),"Mr. ",""),"Mrs. ","")))</f>
        <v>Kenneth Stevenson</v>
      </c>
      <c r="D584" t="s">
        <v>61</v>
      </c>
      <c r="E5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4">
        <v>47</v>
      </c>
      <c r="G584" t="str">
        <f>TRIM(IF(Table1[[#This Row],[age]]="","Unknown",Table1[[#This Row],[age]]))</f>
        <v>47</v>
      </c>
      <c r="H584" t="s">
        <v>139</v>
      </c>
      <c r="I584" t="s">
        <v>140</v>
      </c>
      <c r="J584" t="s">
        <v>89</v>
      </c>
      <c r="K584">
        <v>28</v>
      </c>
      <c r="L584" s="10" t="str">
        <f>TRIM(IF(Table1[[#This Row],[years_of_experience]]="","Unknown",Table1[[#This Row],[years_of_experience]]))</f>
        <v>28</v>
      </c>
      <c r="M584" t="s">
        <v>98</v>
      </c>
      <c r="N584" t="str">
        <f>IF(Table1[[#This Row],[hourly_rate (USD)]]="",MEDIAN(Table1[hourly_rate (USD)]),Table1[[#This Row],[hourly_rate (USD)]])</f>
        <v>USD 50</v>
      </c>
      <c r="O584" t="str">
        <f>TRIM(CLEAN(Table1[[#This Row],[Updated hourly_rate (USD)]]))</f>
        <v>USD 50</v>
      </c>
      <c r="P584" t="str">
        <f>SUBSTITUTE(SUBSTITUTE(Table1[[#This Row],[Formatted hourly rate]],"USD ",""),"$","")</f>
        <v>50</v>
      </c>
      <c r="Q584">
        <v>2.9</v>
      </c>
      <c r="R584">
        <f>IF(Table1[[#This Row],[rating]]="",2.6,Table1[[#This Row],[rating]])</f>
        <v>2.9</v>
      </c>
      <c r="S584" t="b">
        <v>1</v>
      </c>
      <c r="T584" t="str">
        <f>TRIM(CLEAN(Table1[[#This Row],[is_active]]))</f>
        <v>TRUE</v>
      </c>
      <c r="U58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84" s="11" t="str">
        <f>TRIM(IF(Table1[[#This Row],[is_active3]]="Unknown","TRUE",Table1[[#This Row],[is_active3]]))</f>
        <v>TRUE</v>
      </c>
      <c r="X584">
        <f>IF(Table1[[#This Row],[client_satisfaction]]&gt;1,Table1[[#This Row],[client_satisfaction]]/100,Table1[[#This Row],[client_satisfaction]])</f>
        <v>0</v>
      </c>
      <c r="Y584">
        <f>IF(Table1[[#This Row],[client_satisfaction2]]=0,0.75,Table1[[#This Row],[client_satisfaction2]])</f>
        <v>0.75</v>
      </c>
    </row>
    <row r="585" spans="1:25" x14ac:dyDescent="0.25">
      <c r="A585" t="s">
        <v>1248</v>
      </c>
      <c r="B585" t="s">
        <v>1249</v>
      </c>
      <c r="C585" t="str">
        <f>PROPER(TRIM(SUBSTITUTE(SUBSTITUTE(SUBSTITUTE(Table1[[#This Row],[name]],"Ms. ",""),"Mr. ",""),"Mrs. ","")))</f>
        <v>Timothy Bennett</v>
      </c>
      <c r="D585" t="s">
        <v>48</v>
      </c>
      <c r="E5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5">
        <v>34</v>
      </c>
      <c r="G585" t="str">
        <f>TRIM(IF(Table1[[#This Row],[age]]="","Unknown",Table1[[#This Row],[age]]))</f>
        <v>34</v>
      </c>
      <c r="H585" t="s">
        <v>93</v>
      </c>
      <c r="I585" t="s">
        <v>94</v>
      </c>
      <c r="J585" t="s">
        <v>51</v>
      </c>
      <c r="K585">
        <v>0</v>
      </c>
      <c r="L585" s="10" t="str">
        <f>TRIM(IF(Table1[[#This Row],[years_of_experience]]="","Unknown",Table1[[#This Row],[years_of_experience]]))</f>
        <v>0</v>
      </c>
      <c r="M585">
        <v>40</v>
      </c>
      <c r="N585">
        <f>IF(Table1[[#This Row],[hourly_rate (USD)]]="",MEDIAN(Table1[hourly_rate (USD)]),Table1[[#This Row],[hourly_rate (USD)]])</f>
        <v>40</v>
      </c>
      <c r="O585" t="str">
        <f>TRIM(CLEAN(Table1[[#This Row],[Updated hourly_rate (USD)]]))</f>
        <v>40</v>
      </c>
      <c r="P585" t="str">
        <f>SUBSTITUTE(SUBSTITUTE(Table1[[#This Row],[Formatted hourly rate]],"USD ",""),"$","")</f>
        <v>40</v>
      </c>
      <c r="Q585">
        <v>3.3</v>
      </c>
      <c r="R585">
        <f>IF(Table1[[#This Row],[rating]]="",2.6,Table1[[#This Row],[rating]])</f>
        <v>3.3</v>
      </c>
      <c r="S585">
        <v>0</v>
      </c>
      <c r="T585" t="str">
        <f>TRIM(CLEAN(Table1[[#This Row],[is_active]]))</f>
        <v>0</v>
      </c>
      <c r="U58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85" s="11" t="str">
        <f>TRIM(IF(Table1[[#This Row],[is_active3]]="Unknown","TRUE",Table1[[#This Row],[is_active3]]))</f>
        <v>FALSE</v>
      </c>
      <c r="W585">
        <v>0.98</v>
      </c>
      <c r="X585">
        <f>IF(Table1[[#This Row],[client_satisfaction]]&gt;1,Table1[[#This Row],[client_satisfaction]]/100,Table1[[#This Row],[client_satisfaction]])</f>
        <v>0.98</v>
      </c>
      <c r="Y585">
        <f>IF(Table1[[#This Row],[client_satisfaction2]]=0,0.75,Table1[[#This Row],[client_satisfaction2]])</f>
        <v>0.98</v>
      </c>
    </row>
    <row r="586" spans="1:25" x14ac:dyDescent="0.25">
      <c r="A586" t="s">
        <v>1250</v>
      </c>
      <c r="B586" t="s">
        <v>1251</v>
      </c>
      <c r="C586" t="str">
        <f>PROPER(TRIM(SUBSTITUTE(SUBSTITUTE(SUBSTITUTE(Table1[[#This Row],[name]],"Ms. ",""),"Mr. ",""),"Mrs. ","")))</f>
        <v>Gregory Randall</v>
      </c>
      <c r="D586" t="s">
        <v>92</v>
      </c>
      <c r="E5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6">
        <v>47</v>
      </c>
      <c r="G586" t="str">
        <f>TRIM(IF(Table1[[#This Row],[age]]="","Unknown",Table1[[#This Row],[age]]))</f>
        <v>47</v>
      </c>
      <c r="H586" t="s">
        <v>58</v>
      </c>
      <c r="I586" t="s">
        <v>22</v>
      </c>
      <c r="J586" t="s">
        <v>73</v>
      </c>
      <c r="K586">
        <v>4</v>
      </c>
      <c r="L586" s="10" t="str">
        <f>TRIM(IF(Table1[[#This Row],[years_of_experience]]="","Unknown",Table1[[#This Row],[years_of_experience]]))</f>
        <v>4</v>
      </c>
      <c r="M586" t="s">
        <v>314</v>
      </c>
      <c r="N586" t="str">
        <f>IF(Table1[[#This Row],[hourly_rate (USD)]]="",MEDIAN(Table1[hourly_rate (USD)]),Table1[[#This Row],[hourly_rate (USD)]])</f>
        <v>USD 20</v>
      </c>
      <c r="O586" t="str">
        <f>TRIM(CLEAN(Table1[[#This Row],[Updated hourly_rate (USD)]]))</f>
        <v>USD 20</v>
      </c>
      <c r="P586" t="str">
        <f>SUBSTITUTE(SUBSTITUTE(Table1[[#This Row],[Formatted hourly rate]],"USD ",""),"$","")</f>
        <v>20</v>
      </c>
      <c r="Q586">
        <v>4.2</v>
      </c>
      <c r="R586">
        <f>IF(Table1[[#This Row],[rating]]="",2.6,Table1[[#This Row],[rating]])</f>
        <v>4.2</v>
      </c>
      <c r="T586" t="str">
        <f>TRIM(CLEAN(Table1[[#This Row],[is_active]]))</f>
        <v/>
      </c>
      <c r="U58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86" s="11" t="str">
        <f>TRIM(IF(Table1[[#This Row],[is_active3]]="Unknown","TRUE",Table1[[#This Row],[is_active3]]))</f>
        <v>TRUE</v>
      </c>
      <c r="W586">
        <v>0.82</v>
      </c>
      <c r="X586">
        <f>IF(Table1[[#This Row],[client_satisfaction]]&gt;1,Table1[[#This Row],[client_satisfaction]]/100,Table1[[#This Row],[client_satisfaction]])</f>
        <v>0.82</v>
      </c>
      <c r="Y586">
        <f>IF(Table1[[#This Row],[client_satisfaction2]]=0,0.75,Table1[[#This Row],[client_satisfaction2]])</f>
        <v>0.82</v>
      </c>
    </row>
    <row r="587" spans="1:25" x14ac:dyDescent="0.25">
      <c r="A587" t="s">
        <v>1252</v>
      </c>
      <c r="B587" t="s">
        <v>1253</v>
      </c>
      <c r="C587" t="str">
        <f>PROPER(TRIM(SUBSTITUTE(SUBSTITUTE(SUBSTITUTE(Table1[[#This Row],[name]],"Ms. ",""),"Mr. ",""),"Mrs. ","")))</f>
        <v>Charles Martinez</v>
      </c>
      <c r="D587" t="s">
        <v>92</v>
      </c>
      <c r="E5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7">
        <v>32</v>
      </c>
      <c r="G587" t="str">
        <f>TRIM(IF(Table1[[#This Row],[age]]="","Unknown",Table1[[#This Row],[age]]))</f>
        <v>32</v>
      </c>
      <c r="H587" t="s">
        <v>179</v>
      </c>
      <c r="I587" t="s">
        <v>72</v>
      </c>
      <c r="J587" t="s">
        <v>73</v>
      </c>
      <c r="K587">
        <v>9</v>
      </c>
      <c r="L587" s="10" t="str">
        <f>TRIM(IF(Table1[[#This Row],[years_of_experience]]="","Unknown",Table1[[#This Row],[years_of_experience]]))</f>
        <v>9</v>
      </c>
      <c r="M587" t="s">
        <v>55</v>
      </c>
      <c r="N587" t="str">
        <f>IF(Table1[[#This Row],[hourly_rate (USD)]]="",MEDIAN(Table1[hourly_rate (USD)]),Table1[[#This Row],[hourly_rate (USD)]])</f>
        <v>USD 40</v>
      </c>
      <c r="O587" t="str">
        <f>TRIM(CLEAN(Table1[[#This Row],[Updated hourly_rate (USD)]]))</f>
        <v>USD 40</v>
      </c>
      <c r="P587" t="str">
        <f>SUBSTITUTE(SUBSTITUTE(Table1[[#This Row],[Formatted hourly rate]],"USD ",""),"$","")</f>
        <v>40</v>
      </c>
      <c r="Q587">
        <v>1.3</v>
      </c>
      <c r="R587">
        <f>IF(Table1[[#This Row],[rating]]="",2.6,Table1[[#This Row],[rating]])</f>
        <v>1.3</v>
      </c>
      <c r="S587" t="b">
        <v>1</v>
      </c>
      <c r="T587" t="str">
        <f>TRIM(CLEAN(Table1[[#This Row],[is_active]]))</f>
        <v>TRUE</v>
      </c>
      <c r="U58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87" s="11" t="str">
        <f>TRIM(IF(Table1[[#This Row],[is_active3]]="Unknown","TRUE",Table1[[#This Row],[is_active3]]))</f>
        <v>TRUE</v>
      </c>
      <c r="W587">
        <v>0.83</v>
      </c>
      <c r="X587">
        <f>IF(Table1[[#This Row],[client_satisfaction]]&gt;1,Table1[[#This Row],[client_satisfaction]]/100,Table1[[#This Row],[client_satisfaction]])</f>
        <v>0.83</v>
      </c>
      <c r="Y587">
        <f>IF(Table1[[#This Row],[client_satisfaction2]]=0,0.75,Table1[[#This Row],[client_satisfaction2]])</f>
        <v>0.83</v>
      </c>
    </row>
    <row r="588" spans="1:25" x14ac:dyDescent="0.25">
      <c r="A588" t="s">
        <v>1254</v>
      </c>
      <c r="B588" t="s">
        <v>1255</v>
      </c>
      <c r="C588" t="str">
        <f>PROPER(TRIM(SUBSTITUTE(SUBSTITUTE(SUBSTITUTE(Table1[[#This Row],[name]],"Ms. ",""),"Mr. ",""),"Mrs. ","")))</f>
        <v>James Hall</v>
      </c>
      <c r="D588" t="s">
        <v>92</v>
      </c>
      <c r="E5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8">
        <v>28</v>
      </c>
      <c r="G588" t="str">
        <f>TRIM(IF(Table1[[#This Row],[age]]="","Unknown",Table1[[#This Row],[age]]))</f>
        <v>28</v>
      </c>
      <c r="H588" t="s">
        <v>67</v>
      </c>
      <c r="I588" t="s">
        <v>22</v>
      </c>
      <c r="J588" t="s">
        <v>23</v>
      </c>
      <c r="K588">
        <v>2</v>
      </c>
      <c r="L588" s="10" t="str">
        <f>TRIM(IF(Table1[[#This Row],[years_of_experience]]="","Unknown",Table1[[#This Row],[years_of_experience]]))</f>
        <v>2</v>
      </c>
      <c r="M588" t="s">
        <v>229</v>
      </c>
      <c r="N588" t="str">
        <f>IF(Table1[[#This Row],[hourly_rate (USD)]]="",MEDIAN(Table1[hourly_rate (USD)]),Table1[[#This Row],[hourly_rate (USD)]])</f>
        <v>$100</v>
      </c>
      <c r="O588" t="str">
        <f>TRIM(CLEAN(Table1[[#This Row],[Updated hourly_rate (USD)]]))</f>
        <v>$100</v>
      </c>
      <c r="P588" t="str">
        <f>SUBSTITUTE(SUBSTITUTE(Table1[[#This Row],[Formatted hourly rate]],"USD ",""),"$","")</f>
        <v>100</v>
      </c>
      <c r="Q588">
        <v>4.4000000000000004</v>
      </c>
      <c r="R588">
        <f>IF(Table1[[#This Row],[rating]]="",2.6,Table1[[#This Row],[rating]])</f>
        <v>4.4000000000000004</v>
      </c>
      <c r="S588" t="b">
        <v>1</v>
      </c>
      <c r="T588" t="str">
        <f>TRIM(CLEAN(Table1[[#This Row],[is_active]]))</f>
        <v>TRUE</v>
      </c>
      <c r="U58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88" s="11" t="str">
        <f>TRIM(IF(Table1[[#This Row],[is_active3]]="Unknown","TRUE",Table1[[#This Row],[is_active3]]))</f>
        <v>TRUE</v>
      </c>
      <c r="X588">
        <f>IF(Table1[[#This Row],[client_satisfaction]]&gt;1,Table1[[#This Row],[client_satisfaction]]/100,Table1[[#This Row],[client_satisfaction]])</f>
        <v>0</v>
      </c>
      <c r="Y588">
        <f>IF(Table1[[#This Row],[client_satisfaction2]]=0,0.75,Table1[[#This Row],[client_satisfaction2]])</f>
        <v>0.75</v>
      </c>
    </row>
    <row r="589" spans="1:25" x14ac:dyDescent="0.25">
      <c r="A589" t="s">
        <v>1256</v>
      </c>
      <c r="B589" t="s">
        <v>1257</v>
      </c>
      <c r="C589" t="str">
        <f>PROPER(TRIM(SUBSTITUTE(SUBSTITUTE(SUBSTITUTE(Table1[[#This Row],[name]],"Ms. ",""),"Mr. ",""),"Mrs. ","")))</f>
        <v>Michael Garcia</v>
      </c>
      <c r="D589" t="s">
        <v>48</v>
      </c>
      <c r="E5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89">
        <v>32</v>
      </c>
      <c r="G589" t="str">
        <f>TRIM(IF(Table1[[#This Row],[age]]="","Unknown",Table1[[#This Row],[age]]))</f>
        <v>32</v>
      </c>
      <c r="H589" t="s">
        <v>21</v>
      </c>
      <c r="I589" t="s">
        <v>22</v>
      </c>
      <c r="J589" t="s">
        <v>89</v>
      </c>
      <c r="K589">
        <v>1</v>
      </c>
      <c r="L589" s="10" t="str">
        <f>TRIM(IF(Table1[[#This Row],[years_of_experience]]="","Unknown",Table1[[#This Row],[years_of_experience]]))</f>
        <v>1</v>
      </c>
      <c r="M589">
        <v>100</v>
      </c>
      <c r="N589">
        <f>IF(Table1[[#This Row],[hourly_rate (USD)]]="",MEDIAN(Table1[hourly_rate (USD)]),Table1[[#This Row],[hourly_rate (USD)]])</f>
        <v>100</v>
      </c>
      <c r="O589" t="str">
        <f>TRIM(CLEAN(Table1[[#This Row],[Updated hourly_rate (USD)]]))</f>
        <v>100</v>
      </c>
      <c r="P589" t="str">
        <f>SUBSTITUTE(SUBSTITUTE(Table1[[#This Row],[Formatted hourly rate]],"USD ",""),"$","")</f>
        <v>100</v>
      </c>
      <c r="Q589">
        <v>3.4</v>
      </c>
      <c r="R589">
        <f>IF(Table1[[#This Row],[rating]]="",2.6,Table1[[#This Row],[rating]])</f>
        <v>3.4</v>
      </c>
      <c r="S589" t="b">
        <v>1</v>
      </c>
      <c r="T589" t="str">
        <f>TRIM(CLEAN(Table1[[#This Row],[is_active]]))</f>
        <v>TRUE</v>
      </c>
      <c r="U58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89" s="11" t="str">
        <f>TRIM(IF(Table1[[#This Row],[is_active3]]="Unknown","TRUE",Table1[[#This Row],[is_active3]]))</f>
        <v>TRUE</v>
      </c>
      <c r="X589">
        <f>IF(Table1[[#This Row],[client_satisfaction]]&gt;1,Table1[[#This Row],[client_satisfaction]]/100,Table1[[#This Row],[client_satisfaction]])</f>
        <v>0</v>
      </c>
      <c r="Y589">
        <f>IF(Table1[[#This Row],[client_satisfaction2]]=0,0.75,Table1[[#This Row],[client_satisfaction2]])</f>
        <v>0.75</v>
      </c>
    </row>
    <row r="590" spans="1:25" x14ac:dyDescent="0.25">
      <c r="A590" t="s">
        <v>1258</v>
      </c>
      <c r="B590" t="s">
        <v>1259</v>
      </c>
      <c r="C590" t="str">
        <f>PROPER(TRIM(SUBSTITUTE(SUBSTITUTE(SUBSTITUTE(Table1[[#This Row],[name]],"Ms. ",""),"Mr. ",""),"Mrs. ","")))</f>
        <v>Michele Duran</v>
      </c>
      <c r="D590" t="s">
        <v>34</v>
      </c>
      <c r="E5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90">
        <v>49</v>
      </c>
      <c r="G590" t="str">
        <f>TRIM(IF(Table1[[#This Row],[age]]="","Unknown",Table1[[#This Row],[age]]))</f>
        <v>49</v>
      </c>
      <c r="H590" t="s">
        <v>42</v>
      </c>
      <c r="I590" t="s">
        <v>43</v>
      </c>
      <c r="J590" t="s">
        <v>44</v>
      </c>
      <c r="K590">
        <v>2</v>
      </c>
      <c r="L590" s="10" t="str">
        <f>TRIM(IF(Table1[[#This Row],[years_of_experience]]="","Unknown",Table1[[#This Row],[years_of_experience]]))</f>
        <v>2</v>
      </c>
      <c r="M590" t="s">
        <v>229</v>
      </c>
      <c r="N590" t="str">
        <f>IF(Table1[[#This Row],[hourly_rate (USD)]]="",MEDIAN(Table1[hourly_rate (USD)]),Table1[[#This Row],[hourly_rate (USD)]])</f>
        <v>$100</v>
      </c>
      <c r="O590" t="str">
        <f>TRIM(CLEAN(Table1[[#This Row],[Updated hourly_rate (USD)]]))</f>
        <v>$100</v>
      </c>
      <c r="P590" t="str">
        <f>SUBSTITUTE(SUBSTITUTE(Table1[[#This Row],[Formatted hourly rate]],"USD ",""),"$","")</f>
        <v>100</v>
      </c>
      <c r="Q590">
        <v>3.4</v>
      </c>
      <c r="R590">
        <f>IF(Table1[[#This Row],[rating]]="",2.6,Table1[[#This Row],[rating]])</f>
        <v>3.4</v>
      </c>
      <c r="S590">
        <v>1</v>
      </c>
      <c r="T590" t="str">
        <f>TRIM(CLEAN(Table1[[#This Row],[is_active]]))</f>
        <v>1</v>
      </c>
      <c r="U59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90" s="11" t="str">
        <f>TRIM(IF(Table1[[#This Row],[is_active3]]="Unknown","TRUE",Table1[[#This Row],[is_active3]]))</f>
        <v>TRUE</v>
      </c>
      <c r="W590">
        <v>0.85</v>
      </c>
      <c r="X590">
        <f>IF(Table1[[#This Row],[client_satisfaction]]&gt;1,Table1[[#This Row],[client_satisfaction]]/100,Table1[[#This Row],[client_satisfaction]])</f>
        <v>0.85</v>
      </c>
      <c r="Y590">
        <f>IF(Table1[[#This Row],[client_satisfaction2]]=0,0.75,Table1[[#This Row],[client_satisfaction2]])</f>
        <v>0.85</v>
      </c>
    </row>
    <row r="591" spans="1:25" x14ac:dyDescent="0.25">
      <c r="A591" t="s">
        <v>1260</v>
      </c>
      <c r="B591" t="s">
        <v>1261</v>
      </c>
      <c r="C591" t="str">
        <f>PROPER(TRIM(SUBSTITUTE(SUBSTITUTE(SUBSTITUTE(Table1[[#This Row],[name]],"Ms. ",""),"Mr. ",""),"Mrs. ","")))</f>
        <v>Jessica Gray</v>
      </c>
      <c r="D591" t="s">
        <v>14</v>
      </c>
      <c r="E5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91">
        <v>36</v>
      </c>
      <c r="G591" t="str">
        <f>TRIM(IF(Table1[[#This Row],[age]]="","Unknown",Table1[[#This Row],[age]]))</f>
        <v>36</v>
      </c>
      <c r="H591" t="s">
        <v>71</v>
      </c>
      <c r="I591" t="s">
        <v>72</v>
      </c>
      <c r="J591" t="s">
        <v>23</v>
      </c>
      <c r="K591">
        <v>16</v>
      </c>
      <c r="L591" s="10" t="str">
        <f>TRIM(IF(Table1[[#This Row],[years_of_experience]]="","Unknown",Table1[[#This Row],[years_of_experience]]))</f>
        <v>16</v>
      </c>
      <c r="M591" t="s">
        <v>314</v>
      </c>
      <c r="N591" t="str">
        <f>IF(Table1[[#This Row],[hourly_rate (USD)]]="",MEDIAN(Table1[hourly_rate (USD)]),Table1[[#This Row],[hourly_rate (USD)]])</f>
        <v>USD 20</v>
      </c>
      <c r="O591" t="str">
        <f>TRIM(CLEAN(Table1[[#This Row],[Updated hourly_rate (USD)]]))</f>
        <v>USD 20</v>
      </c>
      <c r="P591" t="str">
        <f>SUBSTITUTE(SUBSTITUTE(Table1[[#This Row],[Formatted hourly rate]],"USD ",""),"$","")</f>
        <v>20</v>
      </c>
      <c r="Q591">
        <v>3.2</v>
      </c>
      <c r="R591">
        <f>IF(Table1[[#This Row],[rating]]="",2.6,Table1[[#This Row],[rating]])</f>
        <v>3.2</v>
      </c>
      <c r="T591" t="str">
        <f>TRIM(CLEAN(Table1[[#This Row],[is_active]]))</f>
        <v/>
      </c>
      <c r="U59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591" s="11" t="str">
        <f>TRIM(IF(Table1[[#This Row],[is_active3]]="Unknown","TRUE",Table1[[#This Row],[is_active3]]))</f>
        <v>TRUE</v>
      </c>
      <c r="X591">
        <f>IF(Table1[[#This Row],[client_satisfaction]]&gt;1,Table1[[#This Row],[client_satisfaction]]/100,Table1[[#This Row],[client_satisfaction]])</f>
        <v>0</v>
      </c>
      <c r="Y591">
        <f>IF(Table1[[#This Row],[client_satisfaction2]]=0,0.75,Table1[[#This Row],[client_satisfaction2]])</f>
        <v>0.75</v>
      </c>
    </row>
    <row r="592" spans="1:25" x14ac:dyDescent="0.25">
      <c r="A592" t="s">
        <v>1262</v>
      </c>
      <c r="B592" t="s">
        <v>1263</v>
      </c>
      <c r="C592" t="str">
        <f>PROPER(TRIM(SUBSTITUTE(SUBSTITUTE(SUBSTITUTE(Table1[[#This Row],[name]],"Ms. ",""),"Mr. ",""),"Mrs. ","")))</f>
        <v>Keith Shaffer</v>
      </c>
      <c r="D592" t="s">
        <v>92</v>
      </c>
      <c r="E5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92">
        <v>59</v>
      </c>
      <c r="G592" t="str">
        <f>TRIM(IF(Table1[[#This Row],[age]]="","Unknown",Table1[[#This Row],[age]]))</f>
        <v>59</v>
      </c>
      <c r="H592" t="s">
        <v>179</v>
      </c>
      <c r="I592" t="s">
        <v>72</v>
      </c>
      <c r="J592" t="s">
        <v>17</v>
      </c>
      <c r="K592">
        <v>22</v>
      </c>
      <c r="L592" s="10" t="str">
        <f>TRIM(IF(Table1[[#This Row],[years_of_experience]]="","Unknown",Table1[[#This Row],[years_of_experience]]))</f>
        <v>22</v>
      </c>
      <c r="M592" t="s">
        <v>314</v>
      </c>
      <c r="N592" t="str">
        <f>IF(Table1[[#This Row],[hourly_rate (USD)]]="",MEDIAN(Table1[hourly_rate (USD)]),Table1[[#This Row],[hourly_rate (USD)]])</f>
        <v>USD 20</v>
      </c>
      <c r="O592" t="str">
        <f>TRIM(CLEAN(Table1[[#This Row],[Updated hourly_rate (USD)]]))</f>
        <v>USD 20</v>
      </c>
      <c r="P592" t="str">
        <f>SUBSTITUTE(SUBSTITUTE(Table1[[#This Row],[Formatted hourly rate]],"USD ",""),"$","")</f>
        <v>20</v>
      </c>
      <c r="Q592">
        <v>3.6</v>
      </c>
      <c r="R592">
        <f>IF(Table1[[#This Row],[rating]]="",2.6,Table1[[#This Row],[rating]])</f>
        <v>3.6</v>
      </c>
      <c r="S592" t="s">
        <v>31</v>
      </c>
      <c r="T592" t="str">
        <f>TRIM(CLEAN(Table1[[#This Row],[is_active]]))</f>
        <v>N</v>
      </c>
      <c r="U59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92" s="11" t="str">
        <f>TRIM(IF(Table1[[#This Row],[is_active3]]="Unknown","TRUE",Table1[[#This Row],[is_active3]]))</f>
        <v>FALSE</v>
      </c>
      <c r="W592">
        <v>0.63</v>
      </c>
      <c r="X592">
        <f>IF(Table1[[#This Row],[client_satisfaction]]&gt;1,Table1[[#This Row],[client_satisfaction]]/100,Table1[[#This Row],[client_satisfaction]])</f>
        <v>0.63</v>
      </c>
      <c r="Y592">
        <f>IF(Table1[[#This Row],[client_satisfaction2]]=0,0.75,Table1[[#This Row],[client_satisfaction2]])</f>
        <v>0.63</v>
      </c>
    </row>
    <row r="593" spans="1:25" x14ac:dyDescent="0.25">
      <c r="A593" t="s">
        <v>1264</v>
      </c>
      <c r="B593" t="s">
        <v>1265</v>
      </c>
      <c r="C593" t="str">
        <f>PROPER(TRIM(SUBSTITUTE(SUBSTITUTE(SUBSTITUTE(Table1[[#This Row],[name]],"Ms. ",""),"Mr. ",""),"Mrs. ","")))</f>
        <v>Jessica Decker</v>
      </c>
      <c r="D593" t="s">
        <v>39</v>
      </c>
      <c r="E5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93">
        <v>52</v>
      </c>
      <c r="G593" t="str">
        <f>TRIM(IF(Table1[[#This Row],[age]]="","Unknown",Table1[[#This Row],[age]]))</f>
        <v>52</v>
      </c>
      <c r="H593" t="s">
        <v>128</v>
      </c>
      <c r="I593" t="s">
        <v>22</v>
      </c>
      <c r="J593" t="s">
        <v>78</v>
      </c>
      <c r="K593">
        <v>22</v>
      </c>
      <c r="L593" s="10" t="str">
        <f>TRIM(IF(Table1[[#This Row],[years_of_experience]]="","Unknown",Table1[[#This Row],[years_of_experience]]))</f>
        <v>22</v>
      </c>
      <c r="M593" t="s">
        <v>121</v>
      </c>
      <c r="N593" t="str">
        <f>IF(Table1[[#This Row],[hourly_rate (USD)]]="",MEDIAN(Table1[hourly_rate (USD)]),Table1[[#This Row],[hourly_rate (USD)]])</f>
        <v>$20</v>
      </c>
      <c r="O593" t="str">
        <f>TRIM(CLEAN(Table1[[#This Row],[Updated hourly_rate (USD)]]))</f>
        <v>$20</v>
      </c>
      <c r="P593" t="str">
        <f>SUBSTITUTE(SUBSTITUTE(Table1[[#This Row],[Formatted hourly rate]],"USD ",""),"$","")</f>
        <v>20</v>
      </c>
      <c r="Q593">
        <v>0</v>
      </c>
      <c r="R593">
        <f>IF(Table1[[#This Row],[rating]]="",2.6,Table1[[#This Row],[rating]])</f>
        <v>0</v>
      </c>
      <c r="S593">
        <v>0</v>
      </c>
      <c r="T593" t="str">
        <f>TRIM(CLEAN(Table1[[#This Row],[is_active]]))</f>
        <v>0</v>
      </c>
      <c r="U5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93" s="11" t="str">
        <f>TRIM(IF(Table1[[#This Row],[is_active3]]="Unknown","TRUE",Table1[[#This Row],[is_active3]]))</f>
        <v>FALSE</v>
      </c>
      <c r="X593">
        <f>IF(Table1[[#This Row],[client_satisfaction]]&gt;1,Table1[[#This Row],[client_satisfaction]]/100,Table1[[#This Row],[client_satisfaction]])</f>
        <v>0</v>
      </c>
      <c r="Y593">
        <f>IF(Table1[[#This Row],[client_satisfaction2]]=0,0.75,Table1[[#This Row],[client_satisfaction2]])</f>
        <v>0.75</v>
      </c>
    </row>
    <row r="594" spans="1:25" x14ac:dyDescent="0.25">
      <c r="A594" t="s">
        <v>1266</v>
      </c>
      <c r="B594" t="s">
        <v>1267</v>
      </c>
      <c r="C594" t="str">
        <f>PROPER(TRIM(SUBSTITUTE(SUBSTITUTE(SUBSTITUTE(Table1[[#This Row],[name]],"Ms. ",""),"Mr. ",""),"Mrs. ","")))</f>
        <v>Brianna Pittman</v>
      </c>
      <c r="D594" t="s">
        <v>39</v>
      </c>
      <c r="E5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94">
        <v>24</v>
      </c>
      <c r="G594" t="str">
        <f>TRIM(IF(Table1[[#This Row],[age]]="","Unknown",Table1[[#This Row],[age]]))</f>
        <v>24</v>
      </c>
      <c r="H594" t="s">
        <v>175</v>
      </c>
      <c r="I594" t="s">
        <v>176</v>
      </c>
      <c r="J594" t="s">
        <v>17</v>
      </c>
      <c r="K594">
        <v>5</v>
      </c>
      <c r="L594" s="10" t="str">
        <f>TRIM(IF(Table1[[#This Row],[years_of_experience]]="","Unknown",Table1[[#This Row],[years_of_experience]]))</f>
        <v>5</v>
      </c>
      <c r="M594">
        <v>40</v>
      </c>
      <c r="N594">
        <f>IF(Table1[[#This Row],[hourly_rate (USD)]]="",MEDIAN(Table1[hourly_rate (USD)]),Table1[[#This Row],[hourly_rate (USD)]])</f>
        <v>40</v>
      </c>
      <c r="O594" t="str">
        <f>TRIM(CLEAN(Table1[[#This Row],[Updated hourly_rate (USD)]]))</f>
        <v>40</v>
      </c>
      <c r="P594" t="str">
        <f>SUBSTITUTE(SUBSTITUTE(Table1[[#This Row],[Formatted hourly rate]],"USD ",""),"$","")</f>
        <v>40</v>
      </c>
      <c r="Q594">
        <v>1.8</v>
      </c>
      <c r="R594">
        <f>IF(Table1[[#This Row],[rating]]="",2.6,Table1[[#This Row],[rating]])</f>
        <v>1.8</v>
      </c>
      <c r="S594">
        <v>1</v>
      </c>
      <c r="T594" t="str">
        <f>TRIM(CLEAN(Table1[[#This Row],[is_active]]))</f>
        <v>1</v>
      </c>
      <c r="U59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94" s="11" t="str">
        <f>TRIM(IF(Table1[[#This Row],[is_active3]]="Unknown","TRUE",Table1[[#This Row],[is_active3]]))</f>
        <v>TRUE</v>
      </c>
      <c r="W594">
        <v>0.86</v>
      </c>
      <c r="X594">
        <f>IF(Table1[[#This Row],[client_satisfaction]]&gt;1,Table1[[#This Row],[client_satisfaction]]/100,Table1[[#This Row],[client_satisfaction]])</f>
        <v>0.86</v>
      </c>
      <c r="Y594">
        <f>IF(Table1[[#This Row],[client_satisfaction2]]=0,0.75,Table1[[#This Row],[client_satisfaction2]])</f>
        <v>0.86</v>
      </c>
    </row>
    <row r="595" spans="1:25" x14ac:dyDescent="0.25">
      <c r="A595" t="s">
        <v>1268</v>
      </c>
      <c r="B595" t="s">
        <v>1269</v>
      </c>
      <c r="C595" t="str">
        <f>PROPER(TRIM(SUBSTITUTE(SUBSTITUTE(SUBSTITUTE(Table1[[#This Row],[name]],"Ms. ",""),"Mr. ",""),"Mrs. ","")))</f>
        <v>Kimberly Hunter</v>
      </c>
      <c r="D595" t="s">
        <v>20</v>
      </c>
      <c r="E5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95">
        <v>26</v>
      </c>
      <c r="G595" t="str">
        <f>TRIM(IF(Table1[[#This Row],[age]]="","Unknown",Table1[[#This Row],[age]]))</f>
        <v>26</v>
      </c>
      <c r="H595" t="s">
        <v>21</v>
      </c>
      <c r="I595" t="s">
        <v>22</v>
      </c>
      <c r="J595" t="s">
        <v>30</v>
      </c>
      <c r="K595">
        <v>2</v>
      </c>
      <c r="L595" s="10" t="str">
        <f>TRIM(IF(Table1[[#This Row],[years_of_experience]]="","Unknown",Table1[[#This Row],[years_of_experience]]))</f>
        <v>2</v>
      </c>
      <c r="M595" t="s">
        <v>52</v>
      </c>
      <c r="N595" t="str">
        <f>IF(Table1[[#This Row],[hourly_rate (USD)]]="",MEDIAN(Table1[hourly_rate (USD)]),Table1[[#This Row],[hourly_rate (USD)]])</f>
        <v>USD 75</v>
      </c>
      <c r="O595" t="str">
        <f>TRIM(CLEAN(Table1[[#This Row],[Updated hourly_rate (USD)]]))</f>
        <v>USD 75</v>
      </c>
      <c r="P595" t="str">
        <f>SUBSTITUTE(SUBSTITUTE(Table1[[#This Row],[Formatted hourly rate]],"USD ",""),"$","")</f>
        <v>75</v>
      </c>
      <c r="Q595">
        <v>2.5</v>
      </c>
      <c r="R595">
        <f>IF(Table1[[#This Row],[rating]]="",2.6,Table1[[#This Row],[rating]])</f>
        <v>2.5</v>
      </c>
      <c r="S595" t="s">
        <v>68</v>
      </c>
      <c r="T595" t="str">
        <f>TRIM(CLEAN(Table1[[#This Row],[is_active]]))</f>
        <v>yes</v>
      </c>
      <c r="U59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95" s="11" t="str">
        <f>TRIM(IF(Table1[[#This Row],[is_active3]]="Unknown","TRUE",Table1[[#This Row],[is_active3]]))</f>
        <v>TRUE</v>
      </c>
      <c r="W595">
        <v>60</v>
      </c>
      <c r="X595">
        <f>IF(Table1[[#This Row],[client_satisfaction]]&gt;1,Table1[[#This Row],[client_satisfaction]]/100,Table1[[#This Row],[client_satisfaction]])</f>
        <v>0.6</v>
      </c>
      <c r="Y595">
        <f>IF(Table1[[#This Row],[client_satisfaction2]]=0,0.75,Table1[[#This Row],[client_satisfaction2]])</f>
        <v>0.6</v>
      </c>
    </row>
    <row r="596" spans="1:25" x14ac:dyDescent="0.25">
      <c r="A596" t="s">
        <v>1270</v>
      </c>
      <c r="B596" t="s">
        <v>1271</v>
      </c>
      <c r="C596" t="str">
        <f>PROPER(TRIM(SUBSTITUTE(SUBSTITUTE(SUBSTITUTE(Table1[[#This Row],[name]],"Ms. ",""),"Mr. ",""),"Mrs. ","")))</f>
        <v>Daniel Martin</v>
      </c>
      <c r="D596" t="s">
        <v>92</v>
      </c>
      <c r="E5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96">
        <v>55</v>
      </c>
      <c r="G596" t="str">
        <f>TRIM(IF(Table1[[#This Row],[age]]="","Unknown",Table1[[#This Row],[age]]))</f>
        <v>55</v>
      </c>
      <c r="H596" t="s">
        <v>128</v>
      </c>
      <c r="I596" t="s">
        <v>22</v>
      </c>
      <c r="J596" t="s">
        <v>78</v>
      </c>
      <c r="K596">
        <v>24</v>
      </c>
      <c r="L596" s="10" t="str">
        <f>TRIM(IF(Table1[[#This Row],[years_of_experience]]="","Unknown",Table1[[#This Row],[years_of_experience]]))</f>
        <v>24</v>
      </c>
      <c r="M596">
        <v>40</v>
      </c>
      <c r="N596">
        <f>IF(Table1[[#This Row],[hourly_rate (USD)]]="",MEDIAN(Table1[hourly_rate (USD)]),Table1[[#This Row],[hourly_rate (USD)]])</f>
        <v>40</v>
      </c>
      <c r="O596" t="str">
        <f>TRIM(CLEAN(Table1[[#This Row],[Updated hourly_rate (USD)]]))</f>
        <v>40</v>
      </c>
      <c r="P596" t="str">
        <f>SUBSTITUTE(SUBSTITUTE(Table1[[#This Row],[Formatted hourly rate]],"USD ",""),"$","")</f>
        <v>40</v>
      </c>
      <c r="Q596">
        <v>2</v>
      </c>
      <c r="R596">
        <f>IF(Table1[[#This Row],[rating]]="",2.6,Table1[[#This Row],[rating]])</f>
        <v>2</v>
      </c>
      <c r="S596">
        <v>1</v>
      </c>
      <c r="T596" t="str">
        <f>TRIM(CLEAN(Table1[[#This Row],[is_active]]))</f>
        <v>1</v>
      </c>
      <c r="U5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96" s="11" t="str">
        <f>TRIM(IF(Table1[[#This Row],[is_active3]]="Unknown","TRUE",Table1[[#This Row],[is_active3]]))</f>
        <v>TRUE</v>
      </c>
      <c r="W596">
        <v>88</v>
      </c>
      <c r="X596">
        <f>IF(Table1[[#This Row],[client_satisfaction]]&gt;1,Table1[[#This Row],[client_satisfaction]]/100,Table1[[#This Row],[client_satisfaction]])</f>
        <v>0.88</v>
      </c>
      <c r="Y596">
        <f>IF(Table1[[#This Row],[client_satisfaction2]]=0,0.75,Table1[[#This Row],[client_satisfaction2]])</f>
        <v>0.88</v>
      </c>
    </row>
    <row r="597" spans="1:25" x14ac:dyDescent="0.25">
      <c r="A597" t="s">
        <v>1272</v>
      </c>
      <c r="B597" t="s">
        <v>1273</v>
      </c>
      <c r="C597" t="str">
        <f>PROPER(TRIM(SUBSTITUTE(SUBSTITUTE(SUBSTITUTE(Table1[[#This Row],[name]],"Ms. ",""),"Mr. ",""),"Mrs. ","")))</f>
        <v>Rachel Smith</v>
      </c>
      <c r="D597" t="s">
        <v>20</v>
      </c>
      <c r="E5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597">
        <v>56</v>
      </c>
      <c r="G597" t="str">
        <f>TRIM(IF(Table1[[#This Row],[age]]="","Unknown",Table1[[#This Row],[age]]))</f>
        <v>56</v>
      </c>
      <c r="H597" t="s">
        <v>15</v>
      </c>
      <c r="I597" t="s">
        <v>16</v>
      </c>
      <c r="J597" t="s">
        <v>23</v>
      </c>
      <c r="K597">
        <v>37</v>
      </c>
      <c r="L597" s="10" t="str">
        <f>TRIM(IF(Table1[[#This Row],[years_of_experience]]="","Unknown",Table1[[#This Row],[years_of_experience]]))</f>
        <v>37</v>
      </c>
      <c r="M597">
        <v>40</v>
      </c>
      <c r="N597">
        <f>IF(Table1[[#This Row],[hourly_rate (USD)]]="",MEDIAN(Table1[hourly_rate (USD)]),Table1[[#This Row],[hourly_rate (USD)]])</f>
        <v>40</v>
      </c>
      <c r="O597" t="str">
        <f>TRIM(CLEAN(Table1[[#This Row],[Updated hourly_rate (USD)]]))</f>
        <v>40</v>
      </c>
      <c r="P597" t="str">
        <f>SUBSTITUTE(SUBSTITUTE(Table1[[#This Row],[Formatted hourly rate]],"USD ",""),"$","")</f>
        <v>40</v>
      </c>
      <c r="Q597">
        <v>0</v>
      </c>
      <c r="R597">
        <f>IF(Table1[[#This Row],[rating]]="",2.6,Table1[[#This Row],[rating]])</f>
        <v>0</v>
      </c>
      <c r="S597" t="s">
        <v>31</v>
      </c>
      <c r="T597" t="str">
        <f>TRIM(CLEAN(Table1[[#This Row],[is_active]]))</f>
        <v>N</v>
      </c>
      <c r="U59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97" s="11" t="str">
        <f>TRIM(IF(Table1[[#This Row],[is_active3]]="Unknown","TRUE",Table1[[#This Row],[is_active3]]))</f>
        <v>FALSE</v>
      </c>
      <c r="W597">
        <v>0.7</v>
      </c>
      <c r="X597">
        <f>IF(Table1[[#This Row],[client_satisfaction]]&gt;1,Table1[[#This Row],[client_satisfaction]]/100,Table1[[#This Row],[client_satisfaction]])</f>
        <v>0.7</v>
      </c>
      <c r="Y597">
        <f>IF(Table1[[#This Row],[client_satisfaction2]]=0,0.75,Table1[[#This Row],[client_satisfaction2]])</f>
        <v>0.7</v>
      </c>
    </row>
    <row r="598" spans="1:25" x14ac:dyDescent="0.25">
      <c r="A598" t="s">
        <v>1274</v>
      </c>
      <c r="B598" t="s">
        <v>1275</v>
      </c>
      <c r="C598" t="str">
        <f>PROPER(TRIM(SUBSTITUTE(SUBSTITUTE(SUBSTITUTE(Table1[[#This Row],[name]],"Ms. ",""),"Mr. ",""),"Mrs. ","")))</f>
        <v>Michael Miller</v>
      </c>
      <c r="D598" t="s">
        <v>48</v>
      </c>
      <c r="E5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98">
        <v>36</v>
      </c>
      <c r="G598" t="str">
        <f>TRIM(IF(Table1[[#This Row],[age]]="","Unknown",Table1[[#This Row],[age]]))</f>
        <v>36</v>
      </c>
      <c r="H598" t="s">
        <v>135</v>
      </c>
      <c r="I598" t="s">
        <v>136</v>
      </c>
      <c r="J598" t="s">
        <v>30</v>
      </c>
      <c r="K598">
        <v>3</v>
      </c>
      <c r="L598" s="10" t="str">
        <f>TRIM(IF(Table1[[#This Row],[years_of_experience]]="","Unknown",Table1[[#This Row],[years_of_experience]]))</f>
        <v>3</v>
      </c>
      <c r="M598" t="s">
        <v>98</v>
      </c>
      <c r="N598" t="str">
        <f>IF(Table1[[#This Row],[hourly_rate (USD)]]="",MEDIAN(Table1[hourly_rate (USD)]),Table1[[#This Row],[hourly_rate (USD)]])</f>
        <v>USD 50</v>
      </c>
      <c r="O598" t="str">
        <f>TRIM(CLEAN(Table1[[#This Row],[Updated hourly_rate (USD)]]))</f>
        <v>USD 50</v>
      </c>
      <c r="P598" t="str">
        <f>SUBSTITUTE(SUBSTITUTE(Table1[[#This Row],[Formatted hourly rate]],"USD ",""),"$","")</f>
        <v>50</v>
      </c>
      <c r="Q598">
        <v>1.3</v>
      </c>
      <c r="R598">
        <f>IF(Table1[[#This Row],[rating]]="",2.6,Table1[[#This Row],[rating]])</f>
        <v>1.3</v>
      </c>
      <c r="S598">
        <v>1</v>
      </c>
      <c r="T598" t="str">
        <f>TRIM(CLEAN(Table1[[#This Row],[is_active]]))</f>
        <v>1</v>
      </c>
      <c r="U59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598" s="11" t="str">
        <f>TRIM(IF(Table1[[#This Row],[is_active3]]="Unknown","TRUE",Table1[[#This Row],[is_active3]]))</f>
        <v>TRUE</v>
      </c>
      <c r="W598">
        <v>0.77</v>
      </c>
      <c r="X598">
        <f>IF(Table1[[#This Row],[client_satisfaction]]&gt;1,Table1[[#This Row],[client_satisfaction]]/100,Table1[[#This Row],[client_satisfaction]])</f>
        <v>0.77</v>
      </c>
      <c r="Y598">
        <f>IF(Table1[[#This Row],[client_satisfaction2]]=0,0.75,Table1[[#This Row],[client_satisfaction2]])</f>
        <v>0.77</v>
      </c>
    </row>
    <row r="599" spans="1:25" x14ac:dyDescent="0.25">
      <c r="A599" t="s">
        <v>1276</v>
      </c>
      <c r="B599" t="s">
        <v>1277</v>
      </c>
      <c r="C599" t="str">
        <f>PROPER(TRIM(SUBSTITUTE(SUBSTITUTE(SUBSTITUTE(Table1[[#This Row],[name]],"Ms. ",""),"Mr. ",""),"Mrs. ","")))</f>
        <v>Willie Clark</v>
      </c>
      <c r="D599" t="s">
        <v>92</v>
      </c>
      <c r="E5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599">
        <v>48</v>
      </c>
      <c r="G599" t="str">
        <f>TRIM(IF(Table1[[#This Row],[age]]="","Unknown",Table1[[#This Row],[age]]))</f>
        <v>48</v>
      </c>
      <c r="H599" t="s">
        <v>71</v>
      </c>
      <c r="I599" t="s">
        <v>72</v>
      </c>
      <c r="J599" t="s">
        <v>35</v>
      </c>
      <c r="K599">
        <v>18</v>
      </c>
      <c r="L599" s="10" t="str">
        <f>TRIM(IF(Table1[[#This Row],[years_of_experience]]="","Unknown",Table1[[#This Row],[years_of_experience]]))</f>
        <v>18</v>
      </c>
      <c r="M599">
        <v>75</v>
      </c>
      <c r="N599">
        <f>IF(Table1[[#This Row],[hourly_rate (USD)]]="",MEDIAN(Table1[hourly_rate (USD)]),Table1[[#This Row],[hourly_rate (USD)]])</f>
        <v>75</v>
      </c>
      <c r="O599" t="str">
        <f>TRIM(CLEAN(Table1[[#This Row],[Updated hourly_rate (USD)]]))</f>
        <v>75</v>
      </c>
      <c r="P599" t="str">
        <f>SUBSTITUTE(SUBSTITUTE(Table1[[#This Row],[Formatted hourly rate]],"USD ",""),"$","")</f>
        <v>75</v>
      </c>
      <c r="Q599">
        <v>0</v>
      </c>
      <c r="R599">
        <f>IF(Table1[[#This Row],[rating]]="",2.6,Table1[[#This Row],[rating]])</f>
        <v>0</v>
      </c>
      <c r="S599">
        <v>0</v>
      </c>
      <c r="T599" t="str">
        <f>TRIM(CLEAN(Table1[[#This Row],[is_active]]))</f>
        <v>0</v>
      </c>
      <c r="U59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599" s="11" t="str">
        <f>TRIM(IF(Table1[[#This Row],[is_active3]]="Unknown","TRUE",Table1[[#This Row],[is_active3]]))</f>
        <v>FALSE</v>
      </c>
      <c r="W599">
        <v>0.8</v>
      </c>
      <c r="X599">
        <f>IF(Table1[[#This Row],[client_satisfaction]]&gt;1,Table1[[#This Row],[client_satisfaction]]/100,Table1[[#This Row],[client_satisfaction]])</f>
        <v>0.8</v>
      </c>
      <c r="Y599">
        <f>IF(Table1[[#This Row],[client_satisfaction2]]=0,0.75,Table1[[#This Row],[client_satisfaction2]])</f>
        <v>0.8</v>
      </c>
    </row>
    <row r="600" spans="1:25" x14ac:dyDescent="0.25">
      <c r="A600" t="s">
        <v>1278</v>
      </c>
      <c r="B600" t="s">
        <v>1279</v>
      </c>
      <c r="C600" t="str">
        <f>PROPER(TRIM(SUBSTITUTE(SUBSTITUTE(SUBSTITUTE(Table1[[#This Row],[name]],"Ms. ",""),"Mr. ",""),"Mrs. ","")))</f>
        <v>Jeremy Hernandez</v>
      </c>
      <c r="D600" t="s">
        <v>97</v>
      </c>
      <c r="E6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00">
        <v>55</v>
      </c>
      <c r="G600" t="str">
        <f>TRIM(IF(Table1[[#This Row],[age]]="","Unknown",Table1[[#This Row],[age]]))</f>
        <v>55</v>
      </c>
      <c r="H600" t="s">
        <v>139</v>
      </c>
      <c r="I600" t="s">
        <v>140</v>
      </c>
      <c r="J600" t="s">
        <v>114</v>
      </c>
      <c r="K600">
        <v>6</v>
      </c>
      <c r="L600" s="10" t="str">
        <f>TRIM(IF(Table1[[#This Row],[years_of_experience]]="","Unknown",Table1[[#This Row],[years_of_experience]]))</f>
        <v>6</v>
      </c>
      <c r="M600" t="s">
        <v>36</v>
      </c>
      <c r="N600" t="str">
        <f>IF(Table1[[#This Row],[hourly_rate (USD)]]="",MEDIAN(Table1[hourly_rate (USD)]),Table1[[#This Row],[hourly_rate (USD)]])</f>
        <v>$40</v>
      </c>
      <c r="O600" t="str">
        <f>TRIM(CLEAN(Table1[[#This Row],[Updated hourly_rate (USD)]]))</f>
        <v>$40</v>
      </c>
      <c r="P600" t="str">
        <f>SUBSTITUTE(SUBSTITUTE(Table1[[#This Row],[Formatted hourly rate]],"USD ",""),"$","")</f>
        <v>40</v>
      </c>
      <c r="Q600">
        <v>3.6</v>
      </c>
      <c r="R600">
        <f>IF(Table1[[#This Row],[rating]]="",2.6,Table1[[#This Row],[rating]])</f>
        <v>3.6</v>
      </c>
      <c r="S600" t="s">
        <v>74</v>
      </c>
      <c r="T600" t="str">
        <f>TRIM(CLEAN(Table1[[#This Row],[is_active]]))</f>
        <v>Y</v>
      </c>
      <c r="U6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00" s="11" t="str">
        <f>TRIM(IF(Table1[[#This Row],[is_active3]]="Unknown","TRUE",Table1[[#This Row],[is_active3]]))</f>
        <v>TRUE</v>
      </c>
      <c r="X600">
        <f>IF(Table1[[#This Row],[client_satisfaction]]&gt;1,Table1[[#This Row],[client_satisfaction]]/100,Table1[[#This Row],[client_satisfaction]])</f>
        <v>0</v>
      </c>
      <c r="Y600">
        <f>IF(Table1[[#This Row],[client_satisfaction2]]=0,0.75,Table1[[#This Row],[client_satisfaction2]])</f>
        <v>0.75</v>
      </c>
    </row>
    <row r="601" spans="1:25" x14ac:dyDescent="0.25">
      <c r="A601" t="s">
        <v>1280</v>
      </c>
      <c r="B601" t="s">
        <v>1281</v>
      </c>
      <c r="C601" t="str">
        <f>PROPER(TRIM(SUBSTITUTE(SUBSTITUTE(SUBSTITUTE(Table1[[#This Row],[name]],"Ms. ",""),"Mr. ",""),"Mrs. ","")))</f>
        <v>Tina Shelton</v>
      </c>
      <c r="D601" t="s">
        <v>39</v>
      </c>
      <c r="E6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01">
        <v>56</v>
      </c>
      <c r="G601" t="str">
        <f>TRIM(IF(Table1[[#This Row],[age]]="","Unknown",Table1[[#This Row],[age]]))</f>
        <v>56</v>
      </c>
      <c r="H601" t="s">
        <v>190</v>
      </c>
      <c r="I601" t="s">
        <v>72</v>
      </c>
      <c r="J601" t="s">
        <v>89</v>
      </c>
      <c r="K601">
        <v>17</v>
      </c>
      <c r="L601" s="10" t="str">
        <f>TRIM(IF(Table1[[#This Row],[years_of_experience]]="","Unknown",Table1[[#This Row],[years_of_experience]]))</f>
        <v>17</v>
      </c>
      <c r="N601">
        <f>IF(Table1[[#This Row],[hourly_rate (USD)]]="",MEDIAN(Table1[hourly_rate (USD)]),Table1[[#This Row],[hourly_rate (USD)]])</f>
        <v>50</v>
      </c>
      <c r="O601" t="str">
        <f>TRIM(CLEAN(Table1[[#This Row],[Updated hourly_rate (USD)]]))</f>
        <v>50</v>
      </c>
      <c r="P601" t="str">
        <f>SUBSTITUTE(SUBSTITUTE(Table1[[#This Row],[Formatted hourly rate]],"USD ",""),"$","")</f>
        <v>50</v>
      </c>
      <c r="Q601">
        <v>1.3</v>
      </c>
      <c r="R601">
        <f>IF(Table1[[#This Row],[rating]]="",2.6,Table1[[#This Row],[rating]])</f>
        <v>1.3</v>
      </c>
      <c r="T601" t="str">
        <f>TRIM(CLEAN(Table1[[#This Row],[is_active]]))</f>
        <v/>
      </c>
      <c r="U60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01" s="11" t="str">
        <f>TRIM(IF(Table1[[#This Row],[is_active3]]="Unknown","TRUE",Table1[[#This Row],[is_active3]]))</f>
        <v>TRUE</v>
      </c>
      <c r="W601">
        <v>0.87</v>
      </c>
      <c r="X601">
        <f>IF(Table1[[#This Row],[client_satisfaction]]&gt;1,Table1[[#This Row],[client_satisfaction]]/100,Table1[[#This Row],[client_satisfaction]])</f>
        <v>0.87</v>
      </c>
      <c r="Y601">
        <f>IF(Table1[[#This Row],[client_satisfaction2]]=0,0.75,Table1[[#This Row],[client_satisfaction2]])</f>
        <v>0.87</v>
      </c>
    </row>
    <row r="602" spans="1:25" x14ac:dyDescent="0.25">
      <c r="A602" t="s">
        <v>1282</v>
      </c>
      <c r="B602" t="s">
        <v>1283</v>
      </c>
      <c r="C602" t="str">
        <f>PROPER(TRIM(SUBSTITUTE(SUBSTITUTE(SUBSTITUTE(Table1[[#This Row],[name]],"Ms. ",""),"Mr. ",""),"Mrs. ","")))</f>
        <v>Dr. Pamela Larson</v>
      </c>
      <c r="D602" t="s">
        <v>77</v>
      </c>
      <c r="E6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02">
        <v>28</v>
      </c>
      <c r="G602" t="str">
        <f>TRIM(IF(Table1[[#This Row],[age]]="","Unknown",Table1[[#This Row],[age]]))</f>
        <v>28</v>
      </c>
      <c r="H602" t="s">
        <v>128</v>
      </c>
      <c r="I602" t="s">
        <v>22</v>
      </c>
      <c r="J602" t="s">
        <v>17</v>
      </c>
      <c r="K602">
        <v>1</v>
      </c>
      <c r="L602" s="10" t="str">
        <f>TRIM(IF(Table1[[#This Row],[years_of_experience]]="","Unknown",Table1[[#This Row],[years_of_experience]]))</f>
        <v>1</v>
      </c>
      <c r="M602">
        <v>75</v>
      </c>
      <c r="N602">
        <f>IF(Table1[[#This Row],[hourly_rate (USD)]]="",MEDIAN(Table1[hourly_rate (USD)]),Table1[[#This Row],[hourly_rate (USD)]])</f>
        <v>75</v>
      </c>
      <c r="O602" t="str">
        <f>TRIM(CLEAN(Table1[[#This Row],[Updated hourly_rate (USD)]]))</f>
        <v>75</v>
      </c>
      <c r="P602" t="str">
        <f>SUBSTITUTE(SUBSTITUTE(Table1[[#This Row],[Formatted hourly rate]],"USD ",""),"$","")</f>
        <v>75</v>
      </c>
      <c r="Q602">
        <v>2.7</v>
      </c>
      <c r="R602">
        <f>IF(Table1[[#This Row],[rating]]="",2.6,Table1[[#This Row],[rating]])</f>
        <v>2.7</v>
      </c>
      <c r="S602" t="b">
        <v>1</v>
      </c>
      <c r="T602" t="str">
        <f>TRIM(CLEAN(Table1[[#This Row],[is_active]]))</f>
        <v>TRUE</v>
      </c>
      <c r="U60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02" s="11" t="str">
        <f>TRIM(IF(Table1[[#This Row],[is_active3]]="Unknown","TRUE",Table1[[#This Row],[is_active3]]))</f>
        <v>TRUE</v>
      </c>
      <c r="W602">
        <v>0.93</v>
      </c>
      <c r="X602">
        <f>IF(Table1[[#This Row],[client_satisfaction]]&gt;1,Table1[[#This Row],[client_satisfaction]]/100,Table1[[#This Row],[client_satisfaction]])</f>
        <v>0.93</v>
      </c>
      <c r="Y602">
        <f>IF(Table1[[#This Row],[client_satisfaction2]]=0,0.75,Table1[[#This Row],[client_satisfaction2]])</f>
        <v>0.93</v>
      </c>
    </row>
    <row r="603" spans="1:25" x14ac:dyDescent="0.25">
      <c r="A603" t="s">
        <v>1284</v>
      </c>
      <c r="B603" t="s">
        <v>1285</v>
      </c>
      <c r="C603" t="str">
        <f>PROPER(TRIM(SUBSTITUTE(SUBSTITUTE(SUBSTITUTE(Table1[[#This Row],[name]],"Ms. ",""),"Mr. ",""),"Mrs. ","")))</f>
        <v>Ryan Ewing</v>
      </c>
      <c r="D603" t="s">
        <v>27</v>
      </c>
      <c r="E6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03">
        <v>60</v>
      </c>
      <c r="G603" t="str">
        <f>TRIM(IF(Table1[[#This Row],[age]]="","Unknown",Table1[[#This Row],[age]]))</f>
        <v>60</v>
      </c>
      <c r="H603" t="s">
        <v>58</v>
      </c>
      <c r="I603" t="s">
        <v>22</v>
      </c>
      <c r="J603" t="s">
        <v>44</v>
      </c>
      <c r="K603">
        <v>39</v>
      </c>
      <c r="L603" s="10" t="str">
        <f>TRIM(IF(Table1[[#This Row],[years_of_experience]]="","Unknown",Table1[[#This Row],[years_of_experience]]))</f>
        <v>39</v>
      </c>
      <c r="M603" t="s">
        <v>24</v>
      </c>
      <c r="N603" t="str">
        <f>IF(Table1[[#This Row],[hourly_rate (USD)]]="",MEDIAN(Table1[hourly_rate (USD)]),Table1[[#This Row],[hourly_rate (USD)]])</f>
        <v>USD 100</v>
      </c>
      <c r="O603" t="str">
        <f>TRIM(CLEAN(Table1[[#This Row],[Updated hourly_rate (USD)]]))</f>
        <v>USD 100</v>
      </c>
      <c r="P603" t="str">
        <f>SUBSTITUTE(SUBSTITUTE(Table1[[#This Row],[Formatted hourly rate]],"USD ",""),"$","")</f>
        <v>100</v>
      </c>
      <c r="Q603">
        <v>1.5</v>
      </c>
      <c r="R603">
        <f>IF(Table1[[#This Row],[rating]]="",2.6,Table1[[#This Row],[rating]])</f>
        <v>1.5</v>
      </c>
      <c r="T603" t="str">
        <f>TRIM(CLEAN(Table1[[#This Row],[is_active]]))</f>
        <v/>
      </c>
      <c r="U60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03" s="11" t="str">
        <f>TRIM(IF(Table1[[#This Row],[is_active3]]="Unknown","TRUE",Table1[[#This Row],[is_active3]]))</f>
        <v>TRUE</v>
      </c>
      <c r="W603">
        <v>88</v>
      </c>
      <c r="X603">
        <f>IF(Table1[[#This Row],[client_satisfaction]]&gt;1,Table1[[#This Row],[client_satisfaction]]/100,Table1[[#This Row],[client_satisfaction]])</f>
        <v>0.88</v>
      </c>
      <c r="Y603">
        <f>IF(Table1[[#This Row],[client_satisfaction2]]=0,0.75,Table1[[#This Row],[client_satisfaction2]])</f>
        <v>0.88</v>
      </c>
    </row>
    <row r="604" spans="1:25" x14ac:dyDescent="0.25">
      <c r="A604" t="s">
        <v>1286</v>
      </c>
      <c r="B604" t="s">
        <v>1287</v>
      </c>
      <c r="C604" t="str">
        <f>PROPER(TRIM(SUBSTITUTE(SUBSTITUTE(SUBSTITUTE(Table1[[#This Row],[name]],"Ms. ",""),"Mr. ",""),"Mrs. ","")))</f>
        <v>Mark Cochran</v>
      </c>
      <c r="D604" t="s">
        <v>27</v>
      </c>
      <c r="E6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04">
        <v>34</v>
      </c>
      <c r="G604" t="str">
        <f>TRIM(IF(Table1[[#This Row],[age]]="","Unknown",Table1[[#This Row],[age]]))</f>
        <v>34</v>
      </c>
      <c r="H604" t="s">
        <v>112</v>
      </c>
      <c r="I604" t="s">
        <v>113</v>
      </c>
      <c r="J604" t="s">
        <v>17</v>
      </c>
      <c r="K604">
        <v>15</v>
      </c>
      <c r="L604" s="10" t="str">
        <f>TRIM(IF(Table1[[#This Row],[years_of_experience]]="","Unknown",Table1[[#This Row],[years_of_experience]]))</f>
        <v>15</v>
      </c>
      <c r="M604">
        <v>20</v>
      </c>
      <c r="N604">
        <f>IF(Table1[[#This Row],[hourly_rate (USD)]]="",MEDIAN(Table1[hourly_rate (USD)]),Table1[[#This Row],[hourly_rate (USD)]])</f>
        <v>20</v>
      </c>
      <c r="O604" t="str">
        <f>TRIM(CLEAN(Table1[[#This Row],[Updated hourly_rate (USD)]]))</f>
        <v>20</v>
      </c>
      <c r="P604" t="str">
        <f>SUBSTITUTE(SUBSTITUTE(Table1[[#This Row],[Formatted hourly rate]],"USD ",""),"$","")</f>
        <v>20</v>
      </c>
      <c r="Q604">
        <v>0</v>
      </c>
      <c r="R604">
        <f>IF(Table1[[#This Row],[rating]]="",2.6,Table1[[#This Row],[rating]])</f>
        <v>0</v>
      </c>
      <c r="S604">
        <v>0</v>
      </c>
      <c r="T604" t="str">
        <f>TRIM(CLEAN(Table1[[#This Row],[is_active]]))</f>
        <v>0</v>
      </c>
      <c r="U60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04" s="11" t="str">
        <f>TRIM(IF(Table1[[#This Row],[is_active3]]="Unknown","TRUE",Table1[[#This Row],[is_active3]]))</f>
        <v>FALSE</v>
      </c>
      <c r="W604">
        <v>1</v>
      </c>
      <c r="X604">
        <f>IF(Table1[[#This Row],[client_satisfaction]]&gt;1,Table1[[#This Row],[client_satisfaction]]/100,Table1[[#This Row],[client_satisfaction]])</f>
        <v>1</v>
      </c>
      <c r="Y604">
        <f>IF(Table1[[#This Row],[client_satisfaction2]]=0,0.75,Table1[[#This Row],[client_satisfaction2]])</f>
        <v>1</v>
      </c>
    </row>
    <row r="605" spans="1:25" x14ac:dyDescent="0.25">
      <c r="A605" t="s">
        <v>1288</v>
      </c>
      <c r="B605" t="s">
        <v>1289</v>
      </c>
      <c r="C605" t="str">
        <f>PROPER(TRIM(SUBSTITUTE(SUBSTITUTE(SUBSTITUTE(Table1[[#This Row],[name]],"Ms. ",""),"Mr. ",""),"Mrs. ","")))</f>
        <v>Martha Carson</v>
      </c>
      <c r="D605" t="s">
        <v>39</v>
      </c>
      <c r="E6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05">
        <v>38</v>
      </c>
      <c r="G605" t="str">
        <f>TRIM(IF(Table1[[#This Row],[age]]="","Unknown",Table1[[#This Row],[age]]))</f>
        <v>38</v>
      </c>
      <c r="H605" t="s">
        <v>49</v>
      </c>
      <c r="I605" t="s">
        <v>50</v>
      </c>
      <c r="J605" t="s">
        <v>44</v>
      </c>
      <c r="K605">
        <v>13</v>
      </c>
      <c r="L605" s="10" t="str">
        <f>TRIM(IF(Table1[[#This Row],[years_of_experience]]="","Unknown",Table1[[#This Row],[years_of_experience]]))</f>
        <v>13</v>
      </c>
      <c r="M605" t="s">
        <v>36</v>
      </c>
      <c r="N605" t="str">
        <f>IF(Table1[[#This Row],[hourly_rate (USD)]]="",MEDIAN(Table1[hourly_rate (USD)]),Table1[[#This Row],[hourly_rate (USD)]])</f>
        <v>$40</v>
      </c>
      <c r="O605" t="str">
        <f>TRIM(CLEAN(Table1[[#This Row],[Updated hourly_rate (USD)]]))</f>
        <v>$40</v>
      </c>
      <c r="P605" t="str">
        <f>SUBSTITUTE(SUBSTITUTE(Table1[[#This Row],[Formatted hourly rate]],"USD ",""),"$","")</f>
        <v>40</v>
      </c>
      <c r="Q605">
        <v>0</v>
      </c>
      <c r="R605">
        <f>IF(Table1[[#This Row],[rating]]="",2.6,Table1[[#This Row],[rating]])</f>
        <v>0</v>
      </c>
      <c r="S605">
        <v>1</v>
      </c>
      <c r="T605" t="str">
        <f>TRIM(CLEAN(Table1[[#This Row],[is_active]]))</f>
        <v>1</v>
      </c>
      <c r="U60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05" s="11" t="str">
        <f>TRIM(IF(Table1[[#This Row],[is_active3]]="Unknown","TRUE",Table1[[#This Row],[is_active3]]))</f>
        <v>TRUE</v>
      </c>
      <c r="W605">
        <v>61</v>
      </c>
      <c r="X605">
        <f>IF(Table1[[#This Row],[client_satisfaction]]&gt;1,Table1[[#This Row],[client_satisfaction]]/100,Table1[[#This Row],[client_satisfaction]])</f>
        <v>0.61</v>
      </c>
      <c r="Y605">
        <f>IF(Table1[[#This Row],[client_satisfaction2]]=0,0.75,Table1[[#This Row],[client_satisfaction2]])</f>
        <v>0.61</v>
      </c>
    </row>
    <row r="606" spans="1:25" x14ac:dyDescent="0.25">
      <c r="A606" t="s">
        <v>1290</v>
      </c>
      <c r="B606" t="s">
        <v>1291</v>
      </c>
      <c r="C606" t="str">
        <f>PROPER(TRIM(SUBSTITUTE(SUBSTITUTE(SUBSTITUTE(Table1[[#This Row],[name]],"Ms. ",""),"Mr. ",""),"Mrs. ","")))</f>
        <v>Heather Jackson</v>
      </c>
      <c r="D606" t="s">
        <v>20</v>
      </c>
      <c r="E6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06">
        <v>51</v>
      </c>
      <c r="G606" t="str">
        <f>TRIM(IF(Table1[[#This Row],[age]]="","Unknown",Table1[[#This Row],[age]]))</f>
        <v>51</v>
      </c>
      <c r="H606" t="s">
        <v>112</v>
      </c>
      <c r="I606" t="s">
        <v>113</v>
      </c>
      <c r="J606" t="s">
        <v>35</v>
      </c>
      <c r="K606">
        <v>17</v>
      </c>
      <c r="L606" s="10" t="str">
        <f>TRIM(IF(Table1[[#This Row],[years_of_experience]]="","Unknown",Table1[[#This Row],[years_of_experience]]))</f>
        <v>17</v>
      </c>
      <c r="M606">
        <v>100</v>
      </c>
      <c r="N606">
        <f>IF(Table1[[#This Row],[hourly_rate (USD)]]="",MEDIAN(Table1[hourly_rate (USD)]),Table1[[#This Row],[hourly_rate (USD)]])</f>
        <v>100</v>
      </c>
      <c r="O606" t="str">
        <f>TRIM(CLEAN(Table1[[#This Row],[Updated hourly_rate (USD)]]))</f>
        <v>100</v>
      </c>
      <c r="P606" t="str">
        <f>SUBSTITUTE(SUBSTITUTE(Table1[[#This Row],[Formatted hourly rate]],"USD ",""),"$","")</f>
        <v>100</v>
      </c>
      <c r="Q606">
        <v>3</v>
      </c>
      <c r="R606">
        <f>IF(Table1[[#This Row],[rating]]="",2.6,Table1[[#This Row],[rating]])</f>
        <v>3</v>
      </c>
      <c r="S606" t="b">
        <v>0</v>
      </c>
      <c r="T606" t="str">
        <f>TRIM(CLEAN(Table1[[#This Row],[is_active]]))</f>
        <v>FALSE</v>
      </c>
      <c r="U60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06" s="11" t="str">
        <f>TRIM(IF(Table1[[#This Row],[is_active3]]="Unknown","TRUE",Table1[[#This Row],[is_active3]]))</f>
        <v>TRUE</v>
      </c>
      <c r="W606">
        <v>0.79</v>
      </c>
      <c r="X606">
        <f>IF(Table1[[#This Row],[client_satisfaction]]&gt;1,Table1[[#This Row],[client_satisfaction]]/100,Table1[[#This Row],[client_satisfaction]])</f>
        <v>0.79</v>
      </c>
      <c r="Y606">
        <f>IF(Table1[[#This Row],[client_satisfaction2]]=0,0.75,Table1[[#This Row],[client_satisfaction2]])</f>
        <v>0.79</v>
      </c>
    </row>
    <row r="607" spans="1:25" x14ac:dyDescent="0.25">
      <c r="A607" t="s">
        <v>1292</v>
      </c>
      <c r="B607" t="s">
        <v>1293</v>
      </c>
      <c r="C607" t="str">
        <f>PROPER(TRIM(SUBSTITUTE(SUBSTITUTE(SUBSTITUTE(Table1[[#This Row],[name]],"Ms. ",""),"Mr. ",""),"Mrs. ","")))</f>
        <v>Megan Young</v>
      </c>
      <c r="D607" t="s">
        <v>14</v>
      </c>
      <c r="E6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07">
        <v>21</v>
      </c>
      <c r="G607" t="str">
        <f>TRIM(IF(Table1[[#This Row],[age]]="","Unknown",Table1[[#This Row],[age]]))</f>
        <v>21</v>
      </c>
      <c r="H607" t="s">
        <v>85</v>
      </c>
      <c r="I607" t="s">
        <v>86</v>
      </c>
      <c r="J607" t="s">
        <v>23</v>
      </c>
      <c r="K607">
        <v>1</v>
      </c>
      <c r="L607" s="10" t="str">
        <f>TRIM(IF(Table1[[#This Row],[years_of_experience]]="","Unknown",Table1[[#This Row],[years_of_experience]]))</f>
        <v>1</v>
      </c>
      <c r="M607">
        <v>30</v>
      </c>
      <c r="N607">
        <f>IF(Table1[[#This Row],[hourly_rate (USD)]]="",MEDIAN(Table1[hourly_rate (USD)]),Table1[[#This Row],[hourly_rate (USD)]])</f>
        <v>30</v>
      </c>
      <c r="O607" t="str">
        <f>TRIM(CLEAN(Table1[[#This Row],[Updated hourly_rate (USD)]]))</f>
        <v>30</v>
      </c>
      <c r="P607" t="str">
        <f>SUBSTITUTE(SUBSTITUTE(Table1[[#This Row],[Formatted hourly rate]],"USD ",""),"$","")</f>
        <v>30</v>
      </c>
      <c r="Q607">
        <v>1.2</v>
      </c>
      <c r="R607">
        <f>IF(Table1[[#This Row],[rating]]="",2.6,Table1[[#This Row],[rating]])</f>
        <v>1.2</v>
      </c>
      <c r="T607" t="str">
        <f>TRIM(CLEAN(Table1[[#This Row],[is_active]]))</f>
        <v/>
      </c>
      <c r="U60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07" s="11" t="str">
        <f>TRIM(IF(Table1[[#This Row],[is_active3]]="Unknown","TRUE",Table1[[#This Row],[is_active3]]))</f>
        <v>TRUE</v>
      </c>
      <c r="W607">
        <v>0.73</v>
      </c>
      <c r="X607">
        <f>IF(Table1[[#This Row],[client_satisfaction]]&gt;1,Table1[[#This Row],[client_satisfaction]]/100,Table1[[#This Row],[client_satisfaction]])</f>
        <v>0.73</v>
      </c>
      <c r="Y607">
        <f>IF(Table1[[#This Row],[client_satisfaction2]]=0,0.75,Table1[[#This Row],[client_satisfaction2]])</f>
        <v>0.73</v>
      </c>
    </row>
    <row r="608" spans="1:25" x14ac:dyDescent="0.25">
      <c r="A608" t="s">
        <v>1294</v>
      </c>
      <c r="B608" t="s">
        <v>1295</v>
      </c>
      <c r="C608" t="str">
        <f>PROPER(TRIM(SUBSTITUTE(SUBSTITUTE(SUBSTITUTE(Table1[[#This Row],[name]],"Ms. ",""),"Mr. ",""),"Mrs. ","")))</f>
        <v>Thomas Davis</v>
      </c>
      <c r="D608" t="s">
        <v>92</v>
      </c>
      <c r="E6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08">
        <v>35</v>
      </c>
      <c r="G608" t="str">
        <f>TRIM(IF(Table1[[#This Row],[age]]="","Unknown",Table1[[#This Row],[age]]))</f>
        <v>35</v>
      </c>
      <c r="H608" t="s">
        <v>15</v>
      </c>
      <c r="I608" t="s">
        <v>16</v>
      </c>
      <c r="J608" t="s">
        <v>73</v>
      </c>
      <c r="K608">
        <v>16</v>
      </c>
      <c r="L608" s="10" t="str">
        <f>TRIM(IF(Table1[[#This Row],[years_of_experience]]="","Unknown",Table1[[#This Row],[years_of_experience]]))</f>
        <v>16</v>
      </c>
      <c r="N608">
        <f>IF(Table1[[#This Row],[hourly_rate (USD)]]="",MEDIAN(Table1[hourly_rate (USD)]),Table1[[#This Row],[hourly_rate (USD)]])</f>
        <v>50</v>
      </c>
      <c r="O608" t="str">
        <f>TRIM(CLEAN(Table1[[#This Row],[Updated hourly_rate (USD)]]))</f>
        <v>50</v>
      </c>
      <c r="P608" t="str">
        <f>SUBSTITUTE(SUBSTITUTE(Table1[[#This Row],[Formatted hourly rate]],"USD ",""),"$","")</f>
        <v>50</v>
      </c>
      <c r="Q608">
        <v>1.3</v>
      </c>
      <c r="R608">
        <f>IF(Table1[[#This Row],[rating]]="",2.6,Table1[[#This Row],[rating]])</f>
        <v>1.3</v>
      </c>
      <c r="S608">
        <v>1</v>
      </c>
      <c r="T608" t="str">
        <f>TRIM(CLEAN(Table1[[#This Row],[is_active]]))</f>
        <v>1</v>
      </c>
      <c r="U60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08" s="11" t="str">
        <f>TRIM(IF(Table1[[#This Row],[is_active3]]="Unknown","TRUE",Table1[[#This Row],[is_active3]]))</f>
        <v>TRUE</v>
      </c>
      <c r="W608">
        <v>0.64</v>
      </c>
      <c r="X608">
        <f>IF(Table1[[#This Row],[client_satisfaction]]&gt;1,Table1[[#This Row],[client_satisfaction]]/100,Table1[[#This Row],[client_satisfaction]])</f>
        <v>0.64</v>
      </c>
      <c r="Y608">
        <f>IF(Table1[[#This Row],[client_satisfaction2]]=0,0.75,Table1[[#This Row],[client_satisfaction2]])</f>
        <v>0.64</v>
      </c>
    </row>
    <row r="609" spans="1:25" x14ac:dyDescent="0.25">
      <c r="A609" t="s">
        <v>1296</v>
      </c>
      <c r="B609" t="s">
        <v>1297</v>
      </c>
      <c r="C609" t="str">
        <f>PROPER(TRIM(SUBSTITUTE(SUBSTITUTE(SUBSTITUTE(Table1[[#This Row],[name]],"Ms. ",""),"Mr. ",""),"Mrs. ","")))</f>
        <v>Thomas Mooney</v>
      </c>
      <c r="D609" t="s">
        <v>92</v>
      </c>
      <c r="E6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09">
        <v>27</v>
      </c>
      <c r="G609" t="str">
        <f>TRIM(IF(Table1[[#This Row],[age]]="","Unknown",Table1[[#This Row],[age]]))</f>
        <v>27</v>
      </c>
      <c r="H609" t="s">
        <v>107</v>
      </c>
      <c r="I609" t="s">
        <v>108</v>
      </c>
      <c r="J609" t="s">
        <v>35</v>
      </c>
      <c r="K609">
        <v>9</v>
      </c>
      <c r="L609" s="10" t="str">
        <f>TRIM(IF(Table1[[#This Row],[years_of_experience]]="","Unknown",Table1[[#This Row],[years_of_experience]]))</f>
        <v>9</v>
      </c>
      <c r="M609" t="s">
        <v>229</v>
      </c>
      <c r="N609" t="str">
        <f>IF(Table1[[#This Row],[hourly_rate (USD)]]="",MEDIAN(Table1[hourly_rate (USD)]),Table1[[#This Row],[hourly_rate (USD)]])</f>
        <v>$100</v>
      </c>
      <c r="O609" t="str">
        <f>TRIM(CLEAN(Table1[[#This Row],[Updated hourly_rate (USD)]]))</f>
        <v>$100</v>
      </c>
      <c r="P609" t="str">
        <f>SUBSTITUTE(SUBSTITUTE(Table1[[#This Row],[Formatted hourly rate]],"USD ",""),"$","")</f>
        <v>100</v>
      </c>
      <c r="R609">
        <f>IF(Table1[[#This Row],[rating]]="",2.6,Table1[[#This Row],[rating]])</f>
        <v>2.6</v>
      </c>
      <c r="S609" t="b">
        <v>1</v>
      </c>
      <c r="T609" t="str">
        <f>TRIM(CLEAN(Table1[[#This Row],[is_active]]))</f>
        <v>TRUE</v>
      </c>
      <c r="U60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09" s="11" t="str">
        <f>TRIM(IF(Table1[[#This Row],[is_active3]]="Unknown","TRUE",Table1[[#This Row],[is_active3]]))</f>
        <v>TRUE</v>
      </c>
      <c r="X609">
        <f>IF(Table1[[#This Row],[client_satisfaction]]&gt;1,Table1[[#This Row],[client_satisfaction]]/100,Table1[[#This Row],[client_satisfaction]])</f>
        <v>0</v>
      </c>
      <c r="Y609">
        <f>IF(Table1[[#This Row],[client_satisfaction2]]=0,0.75,Table1[[#This Row],[client_satisfaction2]])</f>
        <v>0.75</v>
      </c>
    </row>
    <row r="610" spans="1:25" x14ac:dyDescent="0.25">
      <c r="A610" t="s">
        <v>1298</v>
      </c>
      <c r="B610" t="s">
        <v>1299</v>
      </c>
      <c r="C610" t="str">
        <f>PROPER(TRIM(SUBSTITUTE(SUBSTITUTE(SUBSTITUTE(Table1[[#This Row],[name]],"Ms. ",""),"Mr. ",""),"Mrs. ","")))</f>
        <v>Susan Smith</v>
      </c>
      <c r="D610" t="s">
        <v>20</v>
      </c>
      <c r="E6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10">
        <v>42</v>
      </c>
      <c r="G610" t="str">
        <f>TRIM(IF(Table1[[#This Row],[age]]="","Unknown",Table1[[#This Row],[age]]))</f>
        <v>42</v>
      </c>
      <c r="H610" t="s">
        <v>62</v>
      </c>
      <c r="I610" t="s">
        <v>63</v>
      </c>
      <c r="J610" t="s">
        <v>23</v>
      </c>
      <c r="K610">
        <v>20</v>
      </c>
      <c r="L610" s="10" t="str">
        <f>TRIM(IF(Table1[[#This Row],[years_of_experience]]="","Unknown",Table1[[#This Row],[years_of_experience]]))</f>
        <v>20</v>
      </c>
      <c r="M610" t="s">
        <v>98</v>
      </c>
      <c r="N610" t="str">
        <f>IF(Table1[[#This Row],[hourly_rate (USD)]]="",MEDIAN(Table1[hourly_rate (USD)]),Table1[[#This Row],[hourly_rate (USD)]])</f>
        <v>USD 50</v>
      </c>
      <c r="O610" t="str">
        <f>TRIM(CLEAN(Table1[[#This Row],[Updated hourly_rate (USD)]]))</f>
        <v>USD 50</v>
      </c>
      <c r="P610" t="str">
        <f>SUBSTITUTE(SUBSTITUTE(Table1[[#This Row],[Formatted hourly rate]],"USD ",""),"$","")</f>
        <v>50</v>
      </c>
      <c r="Q610">
        <v>3.8</v>
      </c>
      <c r="R610">
        <f>IF(Table1[[#This Row],[rating]]="",2.6,Table1[[#This Row],[rating]])</f>
        <v>3.8</v>
      </c>
      <c r="S610" t="s">
        <v>31</v>
      </c>
      <c r="T610" t="str">
        <f>TRIM(CLEAN(Table1[[#This Row],[is_active]]))</f>
        <v>N</v>
      </c>
      <c r="U61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10" s="11" t="str">
        <f>TRIM(IF(Table1[[#This Row],[is_active3]]="Unknown","TRUE",Table1[[#This Row],[is_active3]]))</f>
        <v>FALSE</v>
      </c>
      <c r="W610">
        <v>0.93</v>
      </c>
      <c r="X610">
        <f>IF(Table1[[#This Row],[client_satisfaction]]&gt;1,Table1[[#This Row],[client_satisfaction]]/100,Table1[[#This Row],[client_satisfaction]])</f>
        <v>0.93</v>
      </c>
      <c r="Y610">
        <f>IF(Table1[[#This Row],[client_satisfaction2]]=0,0.75,Table1[[#This Row],[client_satisfaction2]])</f>
        <v>0.93</v>
      </c>
    </row>
    <row r="611" spans="1:25" x14ac:dyDescent="0.25">
      <c r="A611" t="s">
        <v>1300</v>
      </c>
      <c r="B611" t="s">
        <v>1301</v>
      </c>
      <c r="C611" t="str">
        <f>PROPER(TRIM(SUBSTITUTE(SUBSTITUTE(SUBSTITUTE(Table1[[#This Row],[name]],"Ms. ",""),"Mr. ",""),"Mrs. ","")))</f>
        <v>Brianna Orr</v>
      </c>
      <c r="D611" t="s">
        <v>34</v>
      </c>
      <c r="E6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11">
        <v>52</v>
      </c>
      <c r="G611" t="str">
        <f>TRIM(IF(Table1[[#This Row],[age]]="","Unknown",Table1[[#This Row],[age]]))</f>
        <v>52</v>
      </c>
      <c r="H611" t="s">
        <v>128</v>
      </c>
      <c r="I611" t="s">
        <v>22</v>
      </c>
      <c r="J611" t="s">
        <v>17</v>
      </c>
      <c r="K611">
        <v>29</v>
      </c>
      <c r="L611" s="10" t="str">
        <f>TRIM(IF(Table1[[#This Row],[years_of_experience]]="","Unknown",Table1[[#This Row],[years_of_experience]]))</f>
        <v>29</v>
      </c>
      <c r="M611">
        <v>30</v>
      </c>
      <c r="N611">
        <f>IF(Table1[[#This Row],[hourly_rate (USD)]]="",MEDIAN(Table1[hourly_rate (USD)]),Table1[[#This Row],[hourly_rate (USD)]])</f>
        <v>30</v>
      </c>
      <c r="O611" t="str">
        <f>TRIM(CLEAN(Table1[[#This Row],[Updated hourly_rate (USD)]]))</f>
        <v>30</v>
      </c>
      <c r="P611" t="str">
        <f>SUBSTITUTE(SUBSTITUTE(Table1[[#This Row],[Formatted hourly rate]],"USD ",""),"$","")</f>
        <v>30</v>
      </c>
      <c r="Q611">
        <v>3.8</v>
      </c>
      <c r="R611">
        <f>IF(Table1[[#This Row],[rating]]="",2.6,Table1[[#This Row],[rating]])</f>
        <v>3.8</v>
      </c>
      <c r="S611">
        <v>0</v>
      </c>
      <c r="T611" t="str">
        <f>TRIM(CLEAN(Table1[[#This Row],[is_active]]))</f>
        <v>0</v>
      </c>
      <c r="U61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11" s="11" t="str">
        <f>TRIM(IF(Table1[[#This Row],[is_active3]]="Unknown","TRUE",Table1[[#This Row],[is_active3]]))</f>
        <v>FALSE</v>
      </c>
      <c r="W611">
        <v>0.68</v>
      </c>
      <c r="X611">
        <f>IF(Table1[[#This Row],[client_satisfaction]]&gt;1,Table1[[#This Row],[client_satisfaction]]/100,Table1[[#This Row],[client_satisfaction]])</f>
        <v>0.68</v>
      </c>
      <c r="Y611">
        <f>IF(Table1[[#This Row],[client_satisfaction2]]=0,0.75,Table1[[#This Row],[client_satisfaction2]])</f>
        <v>0.68</v>
      </c>
    </row>
    <row r="612" spans="1:25" x14ac:dyDescent="0.25">
      <c r="A612" t="s">
        <v>1302</v>
      </c>
      <c r="B612" t="s">
        <v>1303</v>
      </c>
      <c r="C612" t="str">
        <f>PROPER(TRIM(SUBSTITUTE(SUBSTITUTE(SUBSTITUTE(Table1[[#This Row],[name]],"Ms. ",""),"Mr. ",""),"Mrs. ","")))</f>
        <v>Dustin Smith</v>
      </c>
      <c r="D612" t="s">
        <v>27</v>
      </c>
      <c r="E6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12">
        <v>53</v>
      </c>
      <c r="G612" t="str">
        <f>TRIM(IF(Table1[[#This Row],[age]]="","Unknown",Table1[[#This Row],[age]]))</f>
        <v>53</v>
      </c>
      <c r="H612" t="s">
        <v>112</v>
      </c>
      <c r="I612" t="s">
        <v>113</v>
      </c>
      <c r="J612" t="s">
        <v>35</v>
      </c>
      <c r="K612">
        <v>21</v>
      </c>
      <c r="L612" s="10" t="str">
        <f>TRIM(IF(Table1[[#This Row],[years_of_experience]]="","Unknown",Table1[[#This Row],[years_of_experience]]))</f>
        <v>21</v>
      </c>
      <c r="M612">
        <v>40</v>
      </c>
      <c r="N612">
        <f>IF(Table1[[#This Row],[hourly_rate (USD)]]="",MEDIAN(Table1[hourly_rate (USD)]),Table1[[#This Row],[hourly_rate (USD)]])</f>
        <v>40</v>
      </c>
      <c r="O612" t="str">
        <f>TRIM(CLEAN(Table1[[#This Row],[Updated hourly_rate (USD)]]))</f>
        <v>40</v>
      </c>
      <c r="P612" t="str">
        <f>SUBSTITUTE(SUBSTITUTE(Table1[[#This Row],[Formatted hourly rate]],"USD ",""),"$","")</f>
        <v>40</v>
      </c>
      <c r="Q612">
        <v>4.7</v>
      </c>
      <c r="R612">
        <f>IF(Table1[[#This Row],[rating]]="",2.6,Table1[[#This Row],[rating]])</f>
        <v>4.7</v>
      </c>
      <c r="S612">
        <v>1</v>
      </c>
      <c r="T612" t="str">
        <f>TRIM(CLEAN(Table1[[#This Row],[is_active]]))</f>
        <v>1</v>
      </c>
      <c r="U61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12" s="11" t="str">
        <f>TRIM(IF(Table1[[#This Row],[is_active3]]="Unknown","TRUE",Table1[[#This Row],[is_active3]]))</f>
        <v>TRUE</v>
      </c>
      <c r="W612">
        <v>0.62</v>
      </c>
      <c r="X612">
        <f>IF(Table1[[#This Row],[client_satisfaction]]&gt;1,Table1[[#This Row],[client_satisfaction]]/100,Table1[[#This Row],[client_satisfaction]])</f>
        <v>0.62</v>
      </c>
      <c r="Y612">
        <f>IF(Table1[[#This Row],[client_satisfaction2]]=0,0.75,Table1[[#This Row],[client_satisfaction2]])</f>
        <v>0.62</v>
      </c>
    </row>
    <row r="613" spans="1:25" x14ac:dyDescent="0.25">
      <c r="A613" t="s">
        <v>1304</v>
      </c>
      <c r="B613" t="s">
        <v>1305</v>
      </c>
      <c r="C613" t="str">
        <f>PROPER(TRIM(SUBSTITUTE(SUBSTITUTE(SUBSTITUTE(Table1[[#This Row],[name]],"Ms. ",""),"Mr. ",""),"Mrs. ","")))</f>
        <v>Sarah White</v>
      </c>
      <c r="D613" t="s">
        <v>20</v>
      </c>
      <c r="E6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13">
        <v>54</v>
      </c>
      <c r="G613" t="str">
        <f>TRIM(IF(Table1[[#This Row],[age]]="","Unknown",Table1[[#This Row],[age]]))</f>
        <v>54</v>
      </c>
      <c r="H613" t="s">
        <v>15</v>
      </c>
      <c r="I613" t="s">
        <v>16</v>
      </c>
      <c r="J613" t="s">
        <v>23</v>
      </c>
      <c r="K613">
        <v>28</v>
      </c>
      <c r="L613" s="10" t="str">
        <f>TRIM(IF(Table1[[#This Row],[years_of_experience]]="","Unknown",Table1[[#This Row],[years_of_experience]]))</f>
        <v>28</v>
      </c>
      <c r="M613" t="s">
        <v>55</v>
      </c>
      <c r="N613" t="str">
        <f>IF(Table1[[#This Row],[hourly_rate (USD)]]="",MEDIAN(Table1[hourly_rate (USD)]),Table1[[#This Row],[hourly_rate (USD)]])</f>
        <v>USD 40</v>
      </c>
      <c r="O613" t="str">
        <f>TRIM(CLEAN(Table1[[#This Row],[Updated hourly_rate (USD)]]))</f>
        <v>USD 40</v>
      </c>
      <c r="P613" t="str">
        <f>SUBSTITUTE(SUBSTITUTE(Table1[[#This Row],[Formatted hourly rate]],"USD ",""),"$","")</f>
        <v>40</v>
      </c>
      <c r="Q613">
        <v>1.1000000000000001</v>
      </c>
      <c r="R613">
        <f>IF(Table1[[#This Row],[rating]]="",2.6,Table1[[#This Row],[rating]])</f>
        <v>1.1000000000000001</v>
      </c>
      <c r="S613" t="s">
        <v>159</v>
      </c>
      <c r="T613" t="str">
        <f>TRIM(CLEAN(Table1[[#This Row],[is_active]]))</f>
        <v>no</v>
      </c>
      <c r="U6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13" s="11" t="str">
        <f>TRIM(IF(Table1[[#This Row],[is_active3]]="Unknown","TRUE",Table1[[#This Row],[is_active3]]))</f>
        <v>FALSE</v>
      </c>
      <c r="X613">
        <f>IF(Table1[[#This Row],[client_satisfaction]]&gt;1,Table1[[#This Row],[client_satisfaction]]/100,Table1[[#This Row],[client_satisfaction]])</f>
        <v>0</v>
      </c>
      <c r="Y613">
        <f>IF(Table1[[#This Row],[client_satisfaction2]]=0,0.75,Table1[[#This Row],[client_satisfaction2]])</f>
        <v>0.75</v>
      </c>
    </row>
    <row r="614" spans="1:25" x14ac:dyDescent="0.25">
      <c r="A614" t="s">
        <v>1306</v>
      </c>
      <c r="B614" t="s">
        <v>1307</v>
      </c>
      <c r="C614" t="str">
        <f>PROPER(TRIM(SUBSTITUTE(SUBSTITUTE(SUBSTITUTE(Table1[[#This Row],[name]],"Ms. ",""),"Mr. ",""),"Mrs. ","")))</f>
        <v>Michael Davis</v>
      </c>
      <c r="D614" t="s">
        <v>61</v>
      </c>
      <c r="E6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14">
        <v>51</v>
      </c>
      <c r="G614" t="str">
        <f>TRIM(IF(Table1[[#This Row],[age]]="","Unknown",Table1[[#This Row],[age]]))</f>
        <v>51</v>
      </c>
      <c r="H614" t="s">
        <v>85</v>
      </c>
      <c r="I614" t="s">
        <v>86</v>
      </c>
      <c r="J614" t="s">
        <v>30</v>
      </c>
      <c r="K614">
        <v>5</v>
      </c>
      <c r="L614" s="10" t="str">
        <f>TRIM(IF(Table1[[#This Row],[years_of_experience]]="","Unknown",Table1[[#This Row],[years_of_experience]]))</f>
        <v>5</v>
      </c>
      <c r="M614">
        <v>50</v>
      </c>
      <c r="N614">
        <f>IF(Table1[[#This Row],[hourly_rate (USD)]]="",MEDIAN(Table1[hourly_rate (USD)]),Table1[[#This Row],[hourly_rate (USD)]])</f>
        <v>50</v>
      </c>
      <c r="O614" t="str">
        <f>TRIM(CLEAN(Table1[[#This Row],[Updated hourly_rate (USD)]]))</f>
        <v>50</v>
      </c>
      <c r="P614" t="str">
        <f>SUBSTITUTE(SUBSTITUTE(Table1[[#This Row],[Formatted hourly rate]],"USD ",""),"$","")</f>
        <v>50</v>
      </c>
      <c r="Q614">
        <v>4.2</v>
      </c>
      <c r="R614">
        <f>IF(Table1[[#This Row],[rating]]="",2.6,Table1[[#This Row],[rating]])</f>
        <v>4.2</v>
      </c>
      <c r="S614">
        <v>1</v>
      </c>
      <c r="T614" t="str">
        <f>TRIM(CLEAN(Table1[[#This Row],[is_active]]))</f>
        <v>1</v>
      </c>
      <c r="U61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14" s="11" t="str">
        <f>TRIM(IF(Table1[[#This Row],[is_active3]]="Unknown","TRUE",Table1[[#This Row],[is_active3]]))</f>
        <v>TRUE</v>
      </c>
      <c r="W614">
        <v>0.82</v>
      </c>
      <c r="X614">
        <f>IF(Table1[[#This Row],[client_satisfaction]]&gt;1,Table1[[#This Row],[client_satisfaction]]/100,Table1[[#This Row],[client_satisfaction]])</f>
        <v>0.82</v>
      </c>
      <c r="Y614">
        <f>IF(Table1[[#This Row],[client_satisfaction2]]=0,0.75,Table1[[#This Row],[client_satisfaction2]])</f>
        <v>0.82</v>
      </c>
    </row>
    <row r="615" spans="1:25" x14ac:dyDescent="0.25">
      <c r="A615" t="s">
        <v>1308</v>
      </c>
      <c r="B615" t="s">
        <v>1309</v>
      </c>
      <c r="C615" t="str">
        <f>PROPER(TRIM(SUBSTITUTE(SUBSTITUTE(SUBSTITUTE(Table1[[#This Row],[name]],"Ms. ",""),"Mr. ",""),"Mrs. ","")))</f>
        <v>Jennifer Phillips</v>
      </c>
      <c r="D615" t="s">
        <v>14</v>
      </c>
      <c r="E6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15">
        <v>30</v>
      </c>
      <c r="G615" t="str">
        <f>TRIM(IF(Table1[[#This Row],[age]]="","Unknown",Table1[[#This Row],[age]]))</f>
        <v>30</v>
      </c>
      <c r="H615" t="s">
        <v>112</v>
      </c>
      <c r="I615" t="s">
        <v>113</v>
      </c>
      <c r="J615" t="s">
        <v>35</v>
      </c>
      <c r="K615">
        <v>0</v>
      </c>
      <c r="L615" s="10" t="str">
        <f>TRIM(IF(Table1[[#This Row],[years_of_experience]]="","Unknown",Table1[[#This Row],[years_of_experience]]))</f>
        <v>0</v>
      </c>
      <c r="N615">
        <f>IF(Table1[[#This Row],[hourly_rate (USD)]]="",MEDIAN(Table1[hourly_rate (USD)]),Table1[[#This Row],[hourly_rate (USD)]])</f>
        <v>50</v>
      </c>
      <c r="O615" t="str">
        <f>TRIM(CLEAN(Table1[[#This Row],[Updated hourly_rate (USD)]]))</f>
        <v>50</v>
      </c>
      <c r="P615" t="str">
        <f>SUBSTITUTE(SUBSTITUTE(Table1[[#This Row],[Formatted hourly rate]],"USD ",""),"$","")</f>
        <v>50</v>
      </c>
      <c r="Q615">
        <v>0</v>
      </c>
      <c r="R615">
        <f>IF(Table1[[#This Row],[rating]]="",2.6,Table1[[#This Row],[rating]])</f>
        <v>0</v>
      </c>
      <c r="S615">
        <v>0</v>
      </c>
      <c r="T615" t="str">
        <f>TRIM(CLEAN(Table1[[#This Row],[is_active]]))</f>
        <v>0</v>
      </c>
      <c r="U61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15" s="11" t="str">
        <f>TRIM(IF(Table1[[#This Row],[is_active3]]="Unknown","TRUE",Table1[[#This Row],[is_active3]]))</f>
        <v>FALSE</v>
      </c>
      <c r="X615">
        <f>IF(Table1[[#This Row],[client_satisfaction]]&gt;1,Table1[[#This Row],[client_satisfaction]]/100,Table1[[#This Row],[client_satisfaction]])</f>
        <v>0</v>
      </c>
      <c r="Y615">
        <f>IF(Table1[[#This Row],[client_satisfaction2]]=0,0.75,Table1[[#This Row],[client_satisfaction2]])</f>
        <v>0.75</v>
      </c>
    </row>
    <row r="616" spans="1:25" x14ac:dyDescent="0.25">
      <c r="A616" t="s">
        <v>1310</v>
      </c>
      <c r="B616" t="s">
        <v>1311</v>
      </c>
      <c r="C616" t="str">
        <f>PROPER(TRIM(SUBSTITUTE(SUBSTITUTE(SUBSTITUTE(Table1[[#This Row],[name]],"Ms. ",""),"Mr. ",""),"Mrs. ","")))</f>
        <v>Dana Sanders</v>
      </c>
      <c r="D616" t="s">
        <v>77</v>
      </c>
      <c r="E6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16">
        <v>45</v>
      </c>
      <c r="G616" t="str">
        <f>TRIM(IF(Table1[[#This Row],[age]]="","Unknown",Table1[[#This Row],[age]]))</f>
        <v>45</v>
      </c>
      <c r="H616" t="s">
        <v>42</v>
      </c>
      <c r="I616" t="s">
        <v>43</v>
      </c>
      <c r="J616" t="s">
        <v>114</v>
      </c>
      <c r="K616">
        <v>27</v>
      </c>
      <c r="L616" s="10" t="str">
        <f>TRIM(IF(Table1[[#This Row],[years_of_experience]]="","Unknown",Table1[[#This Row],[years_of_experience]]))</f>
        <v>27</v>
      </c>
      <c r="M616" t="s">
        <v>52</v>
      </c>
      <c r="N616" t="str">
        <f>IF(Table1[[#This Row],[hourly_rate (USD)]]="",MEDIAN(Table1[hourly_rate (USD)]),Table1[[#This Row],[hourly_rate (USD)]])</f>
        <v>USD 75</v>
      </c>
      <c r="O616" t="str">
        <f>TRIM(CLEAN(Table1[[#This Row],[Updated hourly_rate (USD)]]))</f>
        <v>USD 75</v>
      </c>
      <c r="P616" t="str">
        <f>SUBSTITUTE(SUBSTITUTE(Table1[[#This Row],[Formatted hourly rate]],"USD ",""),"$","")</f>
        <v>75</v>
      </c>
      <c r="Q616">
        <v>0</v>
      </c>
      <c r="R616">
        <f>IF(Table1[[#This Row],[rating]]="",2.6,Table1[[#This Row],[rating]])</f>
        <v>0</v>
      </c>
      <c r="T616" t="str">
        <f>TRIM(CLEAN(Table1[[#This Row],[is_active]]))</f>
        <v/>
      </c>
      <c r="U61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16" s="11" t="str">
        <f>TRIM(IF(Table1[[#This Row],[is_active3]]="Unknown","TRUE",Table1[[#This Row],[is_active3]]))</f>
        <v>TRUE</v>
      </c>
      <c r="W616">
        <v>0.85</v>
      </c>
      <c r="X616">
        <f>IF(Table1[[#This Row],[client_satisfaction]]&gt;1,Table1[[#This Row],[client_satisfaction]]/100,Table1[[#This Row],[client_satisfaction]])</f>
        <v>0.85</v>
      </c>
      <c r="Y616">
        <f>IF(Table1[[#This Row],[client_satisfaction2]]=0,0.75,Table1[[#This Row],[client_satisfaction2]])</f>
        <v>0.85</v>
      </c>
    </row>
    <row r="617" spans="1:25" x14ac:dyDescent="0.25">
      <c r="A617" t="s">
        <v>1312</v>
      </c>
      <c r="B617" t="s">
        <v>1313</v>
      </c>
      <c r="C617" t="str">
        <f>PROPER(TRIM(SUBSTITUTE(SUBSTITUTE(SUBSTITUTE(Table1[[#This Row],[name]],"Ms. ",""),"Mr. ",""),"Mrs. ","")))</f>
        <v>Daniel Quinn</v>
      </c>
      <c r="D617" t="s">
        <v>27</v>
      </c>
      <c r="E6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17">
        <v>57</v>
      </c>
      <c r="G617" t="str">
        <f>TRIM(IF(Table1[[#This Row],[age]]="","Unknown",Table1[[#This Row],[age]]))</f>
        <v>57</v>
      </c>
      <c r="H617" t="s">
        <v>49</v>
      </c>
      <c r="I617" t="s">
        <v>50</v>
      </c>
      <c r="J617" t="s">
        <v>30</v>
      </c>
      <c r="K617">
        <v>26</v>
      </c>
      <c r="L617" s="10" t="str">
        <f>TRIM(IF(Table1[[#This Row],[years_of_experience]]="","Unknown",Table1[[#This Row],[years_of_experience]]))</f>
        <v>26</v>
      </c>
      <c r="M617" t="s">
        <v>24</v>
      </c>
      <c r="N617" t="str">
        <f>IF(Table1[[#This Row],[hourly_rate (USD)]]="",MEDIAN(Table1[hourly_rate (USD)]),Table1[[#This Row],[hourly_rate (USD)]])</f>
        <v>USD 100</v>
      </c>
      <c r="O617" t="str">
        <f>TRIM(CLEAN(Table1[[#This Row],[Updated hourly_rate (USD)]]))</f>
        <v>USD 100</v>
      </c>
      <c r="P617" t="str">
        <f>SUBSTITUTE(SUBSTITUTE(Table1[[#This Row],[Formatted hourly rate]],"USD ",""),"$","")</f>
        <v>100</v>
      </c>
      <c r="Q617">
        <v>2.4</v>
      </c>
      <c r="R617">
        <f>IF(Table1[[#This Row],[rating]]="",2.6,Table1[[#This Row],[rating]])</f>
        <v>2.4</v>
      </c>
      <c r="S617">
        <v>1</v>
      </c>
      <c r="T617" t="str">
        <f>TRIM(CLEAN(Table1[[#This Row],[is_active]]))</f>
        <v>1</v>
      </c>
      <c r="U61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17" s="11" t="str">
        <f>TRIM(IF(Table1[[#This Row],[is_active3]]="Unknown","TRUE",Table1[[#This Row],[is_active3]]))</f>
        <v>TRUE</v>
      </c>
      <c r="W617">
        <v>0.78</v>
      </c>
      <c r="X617">
        <f>IF(Table1[[#This Row],[client_satisfaction]]&gt;1,Table1[[#This Row],[client_satisfaction]]/100,Table1[[#This Row],[client_satisfaction]])</f>
        <v>0.78</v>
      </c>
      <c r="Y617">
        <f>IF(Table1[[#This Row],[client_satisfaction2]]=0,0.75,Table1[[#This Row],[client_satisfaction2]])</f>
        <v>0.78</v>
      </c>
    </row>
    <row r="618" spans="1:25" x14ac:dyDescent="0.25">
      <c r="A618" t="s">
        <v>1314</v>
      </c>
      <c r="B618" t="s">
        <v>1315</v>
      </c>
      <c r="C618" t="str">
        <f>PROPER(TRIM(SUBSTITUTE(SUBSTITUTE(SUBSTITUTE(Table1[[#This Row],[name]],"Ms. ",""),"Mr. ",""),"Mrs. ","")))</f>
        <v>Matthew Steele</v>
      </c>
      <c r="D618" t="s">
        <v>97</v>
      </c>
      <c r="E6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18">
        <v>38</v>
      </c>
      <c r="G618" t="str">
        <f>TRIM(IF(Table1[[#This Row],[age]]="","Unknown",Table1[[#This Row],[age]]))</f>
        <v>38</v>
      </c>
      <c r="H618" t="s">
        <v>62</v>
      </c>
      <c r="I618" t="s">
        <v>63</v>
      </c>
      <c r="J618" t="s">
        <v>17</v>
      </c>
      <c r="K618">
        <v>19</v>
      </c>
      <c r="L618" s="10" t="str">
        <f>TRIM(IF(Table1[[#This Row],[years_of_experience]]="","Unknown",Table1[[#This Row],[years_of_experience]]))</f>
        <v>19</v>
      </c>
      <c r="M618">
        <v>40</v>
      </c>
      <c r="N618">
        <f>IF(Table1[[#This Row],[hourly_rate (USD)]]="",MEDIAN(Table1[hourly_rate (USD)]),Table1[[#This Row],[hourly_rate (USD)]])</f>
        <v>40</v>
      </c>
      <c r="O618" t="str">
        <f>TRIM(CLEAN(Table1[[#This Row],[Updated hourly_rate (USD)]]))</f>
        <v>40</v>
      </c>
      <c r="P618" t="str">
        <f>SUBSTITUTE(SUBSTITUTE(Table1[[#This Row],[Formatted hourly rate]],"USD ",""),"$","")</f>
        <v>40</v>
      </c>
      <c r="Q618">
        <v>0</v>
      </c>
      <c r="R618">
        <f>IF(Table1[[#This Row],[rating]]="",2.6,Table1[[#This Row],[rating]])</f>
        <v>0</v>
      </c>
      <c r="S618">
        <v>1</v>
      </c>
      <c r="T618" t="str">
        <f>TRIM(CLEAN(Table1[[#This Row],[is_active]]))</f>
        <v>1</v>
      </c>
      <c r="U6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18" s="11" t="str">
        <f>TRIM(IF(Table1[[#This Row],[is_active3]]="Unknown","TRUE",Table1[[#This Row],[is_active3]]))</f>
        <v>TRUE</v>
      </c>
      <c r="W618">
        <v>0.86</v>
      </c>
      <c r="X618">
        <f>IF(Table1[[#This Row],[client_satisfaction]]&gt;1,Table1[[#This Row],[client_satisfaction]]/100,Table1[[#This Row],[client_satisfaction]])</f>
        <v>0.86</v>
      </c>
      <c r="Y618">
        <f>IF(Table1[[#This Row],[client_satisfaction2]]=0,0.75,Table1[[#This Row],[client_satisfaction2]])</f>
        <v>0.86</v>
      </c>
    </row>
    <row r="619" spans="1:25" x14ac:dyDescent="0.25">
      <c r="A619" t="s">
        <v>1316</v>
      </c>
      <c r="B619" t="s">
        <v>1317</v>
      </c>
      <c r="C619" t="str">
        <f>PROPER(TRIM(SUBSTITUTE(SUBSTITUTE(SUBSTITUTE(Table1[[#This Row],[name]],"Ms. ",""),"Mr. ",""),"Mrs. ","")))</f>
        <v>Michele Taylor</v>
      </c>
      <c r="D619" t="s">
        <v>20</v>
      </c>
      <c r="E6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19">
        <v>42</v>
      </c>
      <c r="G619" t="str">
        <f>TRIM(IF(Table1[[#This Row],[age]]="","Unknown",Table1[[#This Row],[age]]))</f>
        <v>42</v>
      </c>
      <c r="H619" t="s">
        <v>124</v>
      </c>
      <c r="I619" t="s">
        <v>125</v>
      </c>
      <c r="J619" t="s">
        <v>89</v>
      </c>
      <c r="K619">
        <v>24</v>
      </c>
      <c r="L619" s="10" t="str">
        <f>TRIM(IF(Table1[[#This Row],[years_of_experience]]="","Unknown",Table1[[#This Row],[years_of_experience]]))</f>
        <v>24</v>
      </c>
      <c r="M619" t="s">
        <v>55</v>
      </c>
      <c r="N619" t="str">
        <f>IF(Table1[[#This Row],[hourly_rate (USD)]]="",MEDIAN(Table1[hourly_rate (USD)]),Table1[[#This Row],[hourly_rate (USD)]])</f>
        <v>USD 40</v>
      </c>
      <c r="O619" t="str">
        <f>TRIM(CLEAN(Table1[[#This Row],[Updated hourly_rate (USD)]]))</f>
        <v>USD 40</v>
      </c>
      <c r="P619" t="str">
        <f>SUBSTITUTE(SUBSTITUTE(Table1[[#This Row],[Formatted hourly rate]],"USD ",""),"$","")</f>
        <v>40</v>
      </c>
      <c r="R619">
        <f>IF(Table1[[#This Row],[rating]]="",2.6,Table1[[#This Row],[rating]])</f>
        <v>2.6</v>
      </c>
      <c r="S619" t="b">
        <v>0</v>
      </c>
      <c r="T619" t="str">
        <f>TRIM(CLEAN(Table1[[#This Row],[is_active]]))</f>
        <v>FALSE</v>
      </c>
      <c r="U61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19" s="11" t="str">
        <f>TRIM(IF(Table1[[#This Row],[is_active3]]="Unknown","TRUE",Table1[[#This Row],[is_active3]]))</f>
        <v>TRUE</v>
      </c>
      <c r="W619">
        <v>0.88</v>
      </c>
      <c r="X619">
        <f>IF(Table1[[#This Row],[client_satisfaction]]&gt;1,Table1[[#This Row],[client_satisfaction]]/100,Table1[[#This Row],[client_satisfaction]])</f>
        <v>0.88</v>
      </c>
      <c r="Y619">
        <f>IF(Table1[[#This Row],[client_satisfaction2]]=0,0.75,Table1[[#This Row],[client_satisfaction2]])</f>
        <v>0.88</v>
      </c>
    </row>
    <row r="620" spans="1:25" x14ac:dyDescent="0.25">
      <c r="A620" t="s">
        <v>1318</v>
      </c>
      <c r="B620" t="s">
        <v>1319</v>
      </c>
      <c r="C620" t="str">
        <f>PROPER(TRIM(SUBSTITUTE(SUBSTITUTE(SUBSTITUTE(Table1[[#This Row],[name]],"Ms. ",""),"Mr. ",""),"Mrs. ","")))</f>
        <v>Ashley Hammond</v>
      </c>
      <c r="D620" t="s">
        <v>77</v>
      </c>
      <c r="E6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20">
        <v>30</v>
      </c>
      <c r="G620" t="str">
        <f>TRIM(IF(Table1[[#This Row],[age]]="","Unknown",Table1[[#This Row],[age]]))</f>
        <v>30</v>
      </c>
      <c r="H620" t="s">
        <v>153</v>
      </c>
      <c r="I620" t="s">
        <v>154</v>
      </c>
      <c r="J620" t="s">
        <v>89</v>
      </c>
      <c r="K620">
        <v>7</v>
      </c>
      <c r="L620" s="10" t="str">
        <f>TRIM(IF(Table1[[#This Row],[years_of_experience]]="","Unknown",Table1[[#This Row],[years_of_experience]]))</f>
        <v>7</v>
      </c>
      <c r="M620">
        <v>30</v>
      </c>
      <c r="N620">
        <f>IF(Table1[[#This Row],[hourly_rate (USD)]]="",MEDIAN(Table1[hourly_rate (USD)]),Table1[[#This Row],[hourly_rate (USD)]])</f>
        <v>30</v>
      </c>
      <c r="O620" t="str">
        <f>TRIM(CLEAN(Table1[[#This Row],[Updated hourly_rate (USD)]]))</f>
        <v>30</v>
      </c>
      <c r="P620" t="str">
        <f>SUBSTITUTE(SUBSTITUTE(Table1[[#This Row],[Formatted hourly rate]],"USD ",""),"$","")</f>
        <v>30</v>
      </c>
      <c r="Q620">
        <v>3.3</v>
      </c>
      <c r="R620">
        <f>IF(Table1[[#This Row],[rating]]="",2.6,Table1[[#This Row],[rating]])</f>
        <v>3.3</v>
      </c>
      <c r="T620" t="str">
        <f>TRIM(CLEAN(Table1[[#This Row],[is_active]]))</f>
        <v/>
      </c>
      <c r="U62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20" s="11" t="str">
        <f>TRIM(IF(Table1[[#This Row],[is_active3]]="Unknown","TRUE",Table1[[#This Row],[is_active3]]))</f>
        <v>TRUE</v>
      </c>
      <c r="W620">
        <v>0.68</v>
      </c>
      <c r="X620">
        <f>IF(Table1[[#This Row],[client_satisfaction]]&gt;1,Table1[[#This Row],[client_satisfaction]]/100,Table1[[#This Row],[client_satisfaction]])</f>
        <v>0.68</v>
      </c>
      <c r="Y620">
        <f>IF(Table1[[#This Row],[client_satisfaction2]]=0,0.75,Table1[[#This Row],[client_satisfaction2]])</f>
        <v>0.68</v>
      </c>
    </row>
    <row r="621" spans="1:25" x14ac:dyDescent="0.25">
      <c r="A621" t="s">
        <v>1320</v>
      </c>
      <c r="B621" t="s">
        <v>1321</v>
      </c>
      <c r="C621" t="str">
        <f>PROPER(TRIM(SUBSTITUTE(SUBSTITUTE(SUBSTITUTE(Table1[[#This Row],[name]],"Ms. ",""),"Mr. ",""),"Mrs. ","")))</f>
        <v>Nicole Taylor</v>
      </c>
      <c r="D621" t="s">
        <v>39</v>
      </c>
      <c r="E6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21">
        <v>43</v>
      </c>
      <c r="G621" t="str">
        <f>TRIM(IF(Table1[[#This Row],[age]]="","Unknown",Table1[[#This Row],[age]]))</f>
        <v>43</v>
      </c>
      <c r="H621" t="s">
        <v>21</v>
      </c>
      <c r="I621" t="s">
        <v>22</v>
      </c>
      <c r="J621" t="s">
        <v>35</v>
      </c>
      <c r="K621">
        <v>13</v>
      </c>
      <c r="L621" s="10" t="str">
        <f>TRIM(IF(Table1[[#This Row],[years_of_experience]]="","Unknown",Table1[[#This Row],[years_of_experience]]))</f>
        <v>13</v>
      </c>
      <c r="M621" t="s">
        <v>229</v>
      </c>
      <c r="N621" t="str">
        <f>IF(Table1[[#This Row],[hourly_rate (USD)]]="",MEDIAN(Table1[hourly_rate (USD)]),Table1[[#This Row],[hourly_rate (USD)]])</f>
        <v>$100</v>
      </c>
      <c r="O621" t="str">
        <f>TRIM(CLEAN(Table1[[#This Row],[Updated hourly_rate (USD)]]))</f>
        <v>$100</v>
      </c>
      <c r="P621" t="str">
        <f>SUBSTITUTE(SUBSTITUTE(Table1[[#This Row],[Formatted hourly rate]],"USD ",""),"$","")</f>
        <v>100</v>
      </c>
      <c r="Q621">
        <v>1.4</v>
      </c>
      <c r="R621">
        <f>IF(Table1[[#This Row],[rating]]="",2.6,Table1[[#This Row],[rating]])</f>
        <v>1.4</v>
      </c>
      <c r="S621">
        <v>1</v>
      </c>
      <c r="T621" t="str">
        <f>TRIM(CLEAN(Table1[[#This Row],[is_active]]))</f>
        <v>1</v>
      </c>
      <c r="U6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21" s="11" t="str">
        <f>TRIM(IF(Table1[[#This Row],[is_active3]]="Unknown","TRUE",Table1[[#This Row],[is_active3]]))</f>
        <v>TRUE</v>
      </c>
      <c r="W621">
        <v>0.97</v>
      </c>
      <c r="X621">
        <f>IF(Table1[[#This Row],[client_satisfaction]]&gt;1,Table1[[#This Row],[client_satisfaction]]/100,Table1[[#This Row],[client_satisfaction]])</f>
        <v>0.97</v>
      </c>
      <c r="Y621">
        <f>IF(Table1[[#This Row],[client_satisfaction2]]=0,0.75,Table1[[#This Row],[client_satisfaction2]])</f>
        <v>0.97</v>
      </c>
    </row>
    <row r="622" spans="1:25" x14ac:dyDescent="0.25">
      <c r="A622" t="s">
        <v>1322</v>
      </c>
      <c r="B622" t="s">
        <v>1323</v>
      </c>
      <c r="C622" t="str">
        <f>PROPER(TRIM(SUBSTITUTE(SUBSTITUTE(SUBSTITUTE(Table1[[#This Row],[name]],"Ms. ",""),"Mr. ",""),"Mrs. ","")))</f>
        <v>Casey Bush</v>
      </c>
      <c r="D622" t="s">
        <v>97</v>
      </c>
      <c r="E6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22">
        <v>22</v>
      </c>
      <c r="G622" t="str">
        <f>TRIM(IF(Table1[[#This Row],[age]]="","Unknown",Table1[[#This Row],[age]]))</f>
        <v>22</v>
      </c>
      <c r="H622" t="s">
        <v>139</v>
      </c>
      <c r="I622" t="s">
        <v>140</v>
      </c>
      <c r="J622" t="s">
        <v>73</v>
      </c>
      <c r="K622">
        <v>2</v>
      </c>
      <c r="L622" s="10" t="str">
        <f>TRIM(IF(Table1[[#This Row],[years_of_experience]]="","Unknown",Table1[[#This Row],[years_of_experience]]))</f>
        <v>2</v>
      </c>
      <c r="M622" t="s">
        <v>170</v>
      </c>
      <c r="N622" t="str">
        <f>IF(Table1[[#This Row],[hourly_rate (USD)]]="",MEDIAN(Table1[hourly_rate (USD)]),Table1[[#This Row],[hourly_rate (USD)]])</f>
        <v>$75</v>
      </c>
      <c r="O622" t="str">
        <f>TRIM(CLEAN(Table1[[#This Row],[Updated hourly_rate (USD)]]))</f>
        <v>$75</v>
      </c>
      <c r="P622" t="str">
        <f>SUBSTITUTE(SUBSTITUTE(Table1[[#This Row],[Formatted hourly rate]],"USD ",""),"$","")</f>
        <v>75</v>
      </c>
      <c r="Q622">
        <v>1.7</v>
      </c>
      <c r="R622">
        <f>IF(Table1[[#This Row],[rating]]="",2.6,Table1[[#This Row],[rating]])</f>
        <v>1.7</v>
      </c>
      <c r="S622" t="s">
        <v>159</v>
      </c>
      <c r="T622" t="str">
        <f>TRIM(CLEAN(Table1[[#This Row],[is_active]]))</f>
        <v>no</v>
      </c>
      <c r="U62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22" s="11" t="str">
        <f>TRIM(IF(Table1[[#This Row],[is_active3]]="Unknown","TRUE",Table1[[#This Row],[is_active3]]))</f>
        <v>FALSE</v>
      </c>
      <c r="W622">
        <v>0.91</v>
      </c>
      <c r="X622">
        <f>IF(Table1[[#This Row],[client_satisfaction]]&gt;1,Table1[[#This Row],[client_satisfaction]]/100,Table1[[#This Row],[client_satisfaction]])</f>
        <v>0.91</v>
      </c>
      <c r="Y622">
        <f>IF(Table1[[#This Row],[client_satisfaction2]]=0,0.75,Table1[[#This Row],[client_satisfaction2]])</f>
        <v>0.91</v>
      </c>
    </row>
    <row r="623" spans="1:25" x14ac:dyDescent="0.25">
      <c r="A623" t="s">
        <v>1324</v>
      </c>
      <c r="B623" t="s">
        <v>1325</v>
      </c>
      <c r="C623" t="str">
        <f>PROPER(TRIM(SUBSTITUTE(SUBSTITUTE(SUBSTITUTE(Table1[[#This Row],[name]],"Ms. ",""),"Mr. ",""),"Mrs. ","")))</f>
        <v>Samuel Patterson</v>
      </c>
      <c r="D623" t="s">
        <v>92</v>
      </c>
      <c r="E6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23">
        <v>57</v>
      </c>
      <c r="G623" t="str">
        <f>TRIM(IF(Table1[[#This Row],[age]]="","Unknown",Table1[[#This Row],[age]]))</f>
        <v>57</v>
      </c>
      <c r="H623" t="s">
        <v>179</v>
      </c>
      <c r="I623" t="s">
        <v>72</v>
      </c>
      <c r="J623" t="s">
        <v>114</v>
      </c>
      <c r="K623">
        <v>37</v>
      </c>
      <c r="L623" s="10" t="str">
        <f>TRIM(IF(Table1[[#This Row],[years_of_experience]]="","Unknown",Table1[[#This Row],[years_of_experience]]))</f>
        <v>37</v>
      </c>
      <c r="M623">
        <v>30</v>
      </c>
      <c r="N623">
        <f>IF(Table1[[#This Row],[hourly_rate (USD)]]="",MEDIAN(Table1[hourly_rate (USD)]),Table1[[#This Row],[hourly_rate (USD)]])</f>
        <v>30</v>
      </c>
      <c r="O623" t="str">
        <f>TRIM(CLEAN(Table1[[#This Row],[Updated hourly_rate (USD)]]))</f>
        <v>30</v>
      </c>
      <c r="P623" t="str">
        <f>SUBSTITUTE(SUBSTITUTE(Table1[[#This Row],[Formatted hourly rate]],"USD ",""),"$","")</f>
        <v>30</v>
      </c>
      <c r="Q623">
        <v>4.8</v>
      </c>
      <c r="R623">
        <f>IF(Table1[[#This Row],[rating]]="",2.6,Table1[[#This Row],[rating]])</f>
        <v>4.8</v>
      </c>
      <c r="S623" t="b">
        <v>0</v>
      </c>
      <c r="T623" t="str">
        <f>TRIM(CLEAN(Table1[[#This Row],[is_active]]))</f>
        <v>FALSE</v>
      </c>
      <c r="U62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23" s="11" t="str">
        <f>TRIM(IF(Table1[[#This Row],[is_active3]]="Unknown","TRUE",Table1[[#This Row],[is_active3]]))</f>
        <v>TRUE</v>
      </c>
      <c r="X623">
        <f>IF(Table1[[#This Row],[client_satisfaction]]&gt;1,Table1[[#This Row],[client_satisfaction]]/100,Table1[[#This Row],[client_satisfaction]])</f>
        <v>0</v>
      </c>
      <c r="Y623">
        <f>IF(Table1[[#This Row],[client_satisfaction2]]=0,0.75,Table1[[#This Row],[client_satisfaction2]])</f>
        <v>0.75</v>
      </c>
    </row>
    <row r="624" spans="1:25" x14ac:dyDescent="0.25">
      <c r="A624" t="s">
        <v>1326</v>
      </c>
      <c r="B624" t="s">
        <v>1327</v>
      </c>
      <c r="C624" t="str">
        <f>PROPER(TRIM(SUBSTITUTE(SUBSTITUTE(SUBSTITUTE(Table1[[#This Row],[name]],"Ms. ",""),"Mr. ",""),"Mrs. ","")))</f>
        <v>Craig Dennis</v>
      </c>
      <c r="D624" t="s">
        <v>61</v>
      </c>
      <c r="E6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24">
        <v>44</v>
      </c>
      <c r="G624" t="str">
        <f>TRIM(IF(Table1[[#This Row],[age]]="","Unknown",Table1[[#This Row],[age]]))</f>
        <v>44</v>
      </c>
      <c r="H624" t="s">
        <v>67</v>
      </c>
      <c r="I624" t="s">
        <v>22</v>
      </c>
      <c r="J624" t="s">
        <v>30</v>
      </c>
      <c r="K624">
        <v>1</v>
      </c>
      <c r="L624" s="10" t="str">
        <f>TRIM(IF(Table1[[#This Row],[years_of_experience]]="","Unknown",Table1[[#This Row],[years_of_experience]]))</f>
        <v>1</v>
      </c>
      <c r="N624">
        <f>IF(Table1[[#This Row],[hourly_rate (USD)]]="",MEDIAN(Table1[hourly_rate (USD)]),Table1[[#This Row],[hourly_rate (USD)]])</f>
        <v>50</v>
      </c>
      <c r="O624" t="str">
        <f>TRIM(CLEAN(Table1[[#This Row],[Updated hourly_rate (USD)]]))</f>
        <v>50</v>
      </c>
      <c r="P624" t="str">
        <f>SUBSTITUTE(SUBSTITUTE(Table1[[#This Row],[Formatted hourly rate]],"USD ",""),"$","")</f>
        <v>50</v>
      </c>
      <c r="Q624">
        <v>4.8</v>
      </c>
      <c r="R624">
        <f>IF(Table1[[#This Row],[rating]]="",2.6,Table1[[#This Row],[rating]])</f>
        <v>4.8</v>
      </c>
      <c r="S624" t="s">
        <v>31</v>
      </c>
      <c r="T624" t="str">
        <f>TRIM(CLEAN(Table1[[#This Row],[is_active]]))</f>
        <v>N</v>
      </c>
      <c r="U62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24" s="11" t="str">
        <f>TRIM(IF(Table1[[#This Row],[is_active3]]="Unknown","TRUE",Table1[[#This Row],[is_active3]]))</f>
        <v>FALSE</v>
      </c>
      <c r="W624">
        <v>0.97</v>
      </c>
      <c r="X624">
        <f>IF(Table1[[#This Row],[client_satisfaction]]&gt;1,Table1[[#This Row],[client_satisfaction]]/100,Table1[[#This Row],[client_satisfaction]])</f>
        <v>0.97</v>
      </c>
      <c r="Y624">
        <f>IF(Table1[[#This Row],[client_satisfaction2]]=0,0.75,Table1[[#This Row],[client_satisfaction2]])</f>
        <v>0.97</v>
      </c>
    </row>
    <row r="625" spans="1:25" x14ac:dyDescent="0.25">
      <c r="A625" t="s">
        <v>1328</v>
      </c>
      <c r="B625" t="s">
        <v>1329</v>
      </c>
      <c r="C625" t="str">
        <f>PROPER(TRIM(SUBSTITUTE(SUBSTITUTE(SUBSTITUTE(Table1[[#This Row],[name]],"Ms. ",""),"Mr. ",""),"Mrs. ","")))</f>
        <v>Heidi Dixon</v>
      </c>
      <c r="D625" t="s">
        <v>39</v>
      </c>
      <c r="E6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25">
        <v>46</v>
      </c>
      <c r="G625" t="str">
        <f>TRIM(IF(Table1[[#This Row],[age]]="","Unknown",Table1[[#This Row],[age]]))</f>
        <v>46</v>
      </c>
      <c r="H625" t="s">
        <v>175</v>
      </c>
      <c r="I625" t="s">
        <v>176</v>
      </c>
      <c r="J625" t="s">
        <v>89</v>
      </c>
      <c r="K625">
        <v>5</v>
      </c>
      <c r="L625" s="10" t="str">
        <f>TRIM(IF(Table1[[#This Row],[years_of_experience]]="","Unknown",Table1[[#This Row],[years_of_experience]]))</f>
        <v>5</v>
      </c>
      <c r="M625" t="s">
        <v>109</v>
      </c>
      <c r="N625" t="str">
        <f>IF(Table1[[#This Row],[hourly_rate (USD)]]="",MEDIAN(Table1[hourly_rate (USD)]),Table1[[#This Row],[hourly_rate (USD)]])</f>
        <v>USD 30</v>
      </c>
      <c r="O625" t="str">
        <f>TRIM(CLEAN(Table1[[#This Row],[Updated hourly_rate (USD)]]))</f>
        <v>USD 30</v>
      </c>
      <c r="P625" t="str">
        <f>SUBSTITUTE(SUBSTITUTE(Table1[[#This Row],[Formatted hourly rate]],"USD ",""),"$","")</f>
        <v>30</v>
      </c>
      <c r="Q625">
        <v>2</v>
      </c>
      <c r="R625">
        <f>IF(Table1[[#This Row],[rating]]="",2.6,Table1[[#This Row],[rating]])</f>
        <v>2</v>
      </c>
      <c r="S625" t="s">
        <v>68</v>
      </c>
      <c r="T625" t="str">
        <f>TRIM(CLEAN(Table1[[#This Row],[is_active]]))</f>
        <v>yes</v>
      </c>
      <c r="U62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25" s="11" t="str">
        <f>TRIM(IF(Table1[[#This Row],[is_active3]]="Unknown","TRUE",Table1[[#This Row],[is_active3]]))</f>
        <v>TRUE</v>
      </c>
      <c r="W625">
        <v>0.64</v>
      </c>
      <c r="X625">
        <f>IF(Table1[[#This Row],[client_satisfaction]]&gt;1,Table1[[#This Row],[client_satisfaction]]/100,Table1[[#This Row],[client_satisfaction]])</f>
        <v>0.64</v>
      </c>
      <c r="Y625">
        <f>IF(Table1[[#This Row],[client_satisfaction2]]=0,0.75,Table1[[#This Row],[client_satisfaction2]])</f>
        <v>0.64</v>
      </c>
    </row>
    <row r="626" spans="1:25" x14ac:dyDescent="0.25">
      <c r="A626" t="s">
        <v>1330</v>
      </c>
      <c r="B626" t="s">
        <v>1331</v>
      </c>
      <c r="C626" t="str">
        <f>PROPER(TRIM(SUBSTITUTE(SUBSTITUTE(SUBSTITUTE(Table1[[#This Row],[name]],"Ms. ",""),"Mr. ",""),"Mrs. ","")))</f>
        <v>David Bishop</v>
      </c>
      <c r="D626" t="s">
        <v>97</v>
      </c>
      <c r="E6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626" t="str">
        <f>TRIM(IF(Table1[[#This Row],[age]]="","Unknown",Table1[[#This Row],[age]]))</f>
        <v>Unknown</v>
      </c>
      <c r="H626" t="s">
        <v>190</v>
      </c>
      <c r="I626" t="s">
        <v>72</v>
      </c>
      <c r="J626" t="s">
        <v>17</v>
      </c>
      <c r="K626">
        <v>1</v>
      </c>
      <c r="L626" s="10" t="str">
        <f>TRIM(IF(Table1[[#This Row],[years_of_experience]]="","Unknown",Table1[[#This Row],[years_of_experience]]))</f>
        <v>1</v>
      </c>
      <c r="M626" t="s">
        <v>98</v>
      </c>
      <c r="N626" t="str">
        <f>IF(Table1[[#This Row],[hourly_rate (USD)]]="",MEDIAN(Table1[hourly_rate (USD)]),Table1[[#This Row],[hourly_rate (USD)]])</f>
        <v>USD 50</v>
      </c>
      <c r="O626" t="str">
        <f>TRIM(CLEAN(Table1[[#This Row],[Updated hourly_rate (USD)]]))</f>
        <v>USD 50</v>
      </c>
      <c r="P626" t="str">
        <f>SUBSTITUTE(SUBSTITUTE(Table1[[#This Row],[Formatted hourly rate]],"USD ",""),"$","")</f>
        <v>50</v>
      </c>
      <c r="Q626">
        <v>2.8</v>
      </c>
      <c r="R626">
        <f>IF(Table1[[#This Row],[rating]]="",2.6,Table1[[#This Row],[rating]])</f>
        <v>2.8</v>
      </c>
      <c r="S626" t="s">
        <v>159</v>
      </c>
      <c r="T626" t="str">
        <f>TRIM(CLEAN(Table1[[#This Row],[is_active]]))</f>
        <v>no</v>
      </c>
      <c r="U62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26" s="11" t="str">
        <f>TRIM(IF(Table1[[#This Row],[is_active3]]="Unknown","TRUE",Table1[[#This Row],[is_active3]]))</f>
        <v>FALSE</v>
      </c>
      <c r="W626">
        <v>0.87</v>
      </c>
      <c r="X626">
        <f>IF(Table1[[#This Row],[client_satisfaction]]&gt;1,Table1[[#This Row],[client_satisfaction]]/100,Table1[[#This Row],[client_satisfaction]])</f>
        <v>0.87</v>
      </c>
      <c r="Y626">
        <f>IF(Table1[[#This Row],[client_satisfaction2]]=0,0.75,Table1[[#This Row],[client_satisfaction2]])</f>
        <v>0.87</v>
      </c>
    </row>
    <row r="627" spans="1:25" x14ac:dyDescent="0.25">
      <c r="A627" t="s">
        <v>1332</v>
      </c>
      <c r="B627" t="s">
        <v>1333</v>
      </c>
      <c r="C627" t="str">
        <f>PROPER(TRIM(SUBSTITUTE(SUBSTITUTE(SUBSTITUTE(Table1[[#This Row],[name]],"Ms. ",""),"Mr. ",""),"Mrs. ","")))</f>
        <v>Laura Butler</v>
      </c>
      <c r="D627" t="s">
        <v>77</v>
      </c>
      <c r="E6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27">
        <v>34</v>
      </c>
      <c r="G627" t="str">
        <f>TRIM(IF(Table1[[#This Row],[age]]="","Unknown",Table1[[#This Row],[age]]))</f>
        <v>34</v>
      </c>
      <c r="H627" t="s">
        <v>21</v>
      </c>
      <c r="I627" t="s">
        <v>22</v>
      </c>
      <c r="J627" t="s">
        <v>51</v>
      </c>
      <c r="K627">
        <v>2</v>
      </c>
      <c r="L627" s="10" t="str">
        <f>TRIM(IF(Table1[[#This Row],[years_of_experience]]="","Unknown",Table1[[#This Row],[years_of_experience]]))</f>
        <v>2</v>
      </c>
      <c r="M627">
        <v>100</v>
      </c>
      <c r="N627">
        <f>IF(Table1[[#This Row],[hourly_rate (USD)]]="",MEDIAN(Table1[hourly_rate (USD)]),Table1[[#This Row],[hourly_rate (USD)]])</f>
        <v>100</v>
      </c>
      <c r="O627" t="str">
        <f>TRIM(CLEAN(Table1[[#This Row],[Updated hourly_rate (USD)]]))</f>
        <v>100</v>
      </c>
      <c r="P627" t="str">
        <f>SUBSTITUTE(SUBSTITUTE(Table1[[#This Row],[Formatted hourly rate]],"USD ",""),"$","")</f>
        <v>100</v>
      </c>
      <c r="Q627">
        <v>0</v>
      </c>
      <c r="R627">
        <f>IF(Table1[[#This Row],[rating]]="",2.6,Table1[[#This Row],[rating]])</f>
        <v>0</v>
      </c>
      <c r="S627">
        <v>0</v>
      </c>
      <c r="T627" t="str">
        <f>TRIM(CLEAN(Table1[[#This Row],[is_active]]))</f>
        <v>0</v>
      </c>
      <c r="U62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27" s="11" t="str">
        <f>TRIM(IF(Table1[[#This Row],[is_active3]]="Unknown","TRUE",Table1[[#This Row],[is_active3]]))</f>
        <v>FALSE</v>
      </c>
      <c r="W627">
        <v>86</v>
      </c>
      <c r="X627">
        <f>IF(Table1[[#This Row],[client_satisfaction]]&gt;1,Table1[[#This Row],[client_satisfaction]]/100,Table1[[#This Row],[client_satisfaction]])</f>
        <v>0.86</v>
      </c>
      <c r="Y627">
        <f>IF(Table1[[#This Row],[client_satisfaction2]]=0,0.75,Table1[[#This Row],[client_satisfaction2]])</f>
        <v>0.86</v>
      </c>
    </row>
    <row r="628" spans="1:25" x14ac:dyDescent="0.25">
      <c r="A628" t="s">
        <v>1334</v>
      </c>
      <c r="B628" t="s">
        <v>1335</v>
      </c>
      <c r="C628" t="str">
        <f>PROPER(TRIM(SUBSTITUTE(SUBSTITUTE(SUBSTITUTE(Table1[[#This Row],[name]],"Ms. ",""),"Mr. ",""),"Mrs. ","")))</f>
        <v>Denise Erickson</v>
      </c>
      <c r="D628" t="s">
        <v>34</v>
      </c>
      <c r="E6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28">
        <v>46</v>
      </c>
      <c r="G628" t="str">
        <f>TRIM(IF(Table1[[#This Row],[age]]="","Unknown",Table1[[#This Row],[age]]))</f>
        <v>46</v>
      </c>
      <c r="H628" t="s">
        <v>15</v>
      </c>
      <c r="I628" t="s">
        <v>16</v>
      </c>
      <c r="J628" t="s">
        <v>23</v>
      </c>
      <c r="L628" s="10" t="str">
        <f>TRIM(IF(Table1[[#This Row],[years_of_experience]]="","Unknown",Table1[[#This Row],[years_of_experience]]))</f>
        <v>Unknown</v>
      </c>
      <c r="M628" t="s">
        <v>229</v>
      </c>
      <c r="N628" t="str">
        <f>IF(Table1[[#This Row],[hourly_rate (USD)]]="",MEDIAN(Table1[hourly_rate (USD)]),Table1[[#This Row],[hourly_rate (USD)]])</f>
        <v>$100</v>
      </c>
      <c r="O628" t="str">
        <f>TRIM(CLEAN(Table1[[#This Row],[Updated hourly_rate (USD)]]))</f>
        <v>$100</v>
      </c>
      <c r="P628" t="str">
        <f>SUBSTITUTE(SUBSTITUTE(Table1[[#This Row],[Formatted hourly rate]],"USD ",""),"$","")</f>
        <v>100</v>
      </c>
      <c r="Q628">
        <v>4.4000000000000004</v>
      </c>
      <c r="R628">
        <f>IF(Table1[[#This Row],[rating]]="",2.6,Table1[[#This Row],[rating]])</f>
        <v>4.4000000000000004</v>
      </c>
      <c r="S628">
        <v>1</v>
      </c>
      <c r="T628" t="str">
        <f>TRIM(CLEAN(Table1[[#This Row],[is_active]]))</f>
        <v>1</v>
      </c>
      <c r="U62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28" s="11" t="str">
        <f>TRIM(IF(Table1[[#This Row],[is_active3]]="Unknown","TRUE",Table1[[#This Row],[is_active3]]))</f>
        <v>TRUE</v>
      </c>
      <c r="W628">
        <v>97</v>
      </c>
      <c r="X628">
        <f>IF(Table1[[#This Row],[client_satisfaction]]&gt;1,Table1[[#This Row],[client_satisfaction]]/100,Table1[[#This Row],[client_satisfaction]])</f>
        <v>0.97</v>
      </c>
      <c r="Y628">
        <f>IF(Table1[[#This Row],[client_satisfaction2]]=0,0.75,Table1[[#This Row],[client_satisfaction2]])</f>
        <v>0.97</v>
      </c>
    </row>
    <row r="629" spans="1:25" x14ac:dyDescent="0.25">
      <c r="A629" t="s">
        <v>1336</v>
      </c>
      <c r="B629" t="s">
        <v>1337</v>
      </c>
      <c r="C629" t="str">
        <f>PROPER(TRIM(SUBSTITUTE(SUBSTITUTE(SUBSTITUTE(Table1[[#This Row],[name]],"Ms. ",""),"Mr. ",""),"Mrs. ","")))</f>
        <v>Nicole Austin</v>
      </c>
      <c r="D629" t="s">
        <v>14</v>
      </c>
      <c r="E6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29">
        <v>22</v>
      </c>
      <c r="G629" t="str">
        <f>TRIM(IF(Table1[[#This Row],[age]]="","Unknown",Table1[[#This Row],[age]]))</f>
        <v>22</v>
      </c>
      <c r="H629" t="s">
        <v>135</v>
      </c>
      <c r="I629" t="s">
        <v>136</v>
      </c>
      <c r="J629" t="s">
        <v>17</v>
      </c>
      <c r="K629">
        <v>0</v>
      </c>
      <c r="L629" s="10" t="str">
        <f>TRIM(IF(Table1[[#This Row],[years_of_experience]]="","Unknown",Table1[[#This Row],[years_of_experience]]))</f>
        <v>0</v>
      </c>
      <c r="M629" t="s">
        <v>109</v>
      </c>
      <c r="N629" t="str">
        <f>IF(Table1[[#This Row],[hourly_rate (USD)]]="",MEDIAN(Table1[hourly_rate (USD)]),Table1[[#This Row],[hourly_rate (USD)]])</f>
        <v>USD 30</v>
      </c>
      <c r="O629" t="str">
        <f>TRIM(CLEAN(Table1[[#This Row],[Updated hourly_rate (USD)]]))</f>
        <v>USD 30</v>
      </c>
      <c r="P629" t="str">
        <f>SUBSTITUTE(SUBSTITUTE(Table1[[#This Row],[Formatted hourly rate]],"USD ",""),"$","")</f>
        <v>30</v>
      </c>
      <c r="Q629">
        <v>4.9000000000000004</v>
      </c>
      <c r="R629">
        <f>IF(Table1[[#This Row],[rating]]="",2.6,Table1[[#This Row],[rating]])</f>
        <v>4.9000000000000004</v>
      </c>
      <c r="S629" t="b">
        <v>0</v>
      </c>
      <c r="T629" t="str">
        <f>TRIM(CLEAN(Table1[[#This Row],[is_active]]))</f>
        <v>FALSE</v>
      </c>
      <c r="U62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29" s="11" t="str">
        <f>TRIM(IF(Table1[[#This Row],[is_active3]]="Unknown","TRUE",Table1[[#This Row],[is_active3]]))</f>
        <v>TRUE</v>
      </c>
      <c r="W629">
        <v>0.73</v>
      </c>
      <c r="X629">
        <f>IF(Table1[[#This Row],[client_satisfaction]]&gt;1,Table1[[#This Row],[client_satisfaction]]/100,Table1[[#This Row],[client_satisfaction]])</f>
        <v>0.73</v>
      </c>
      <c r="Y629">
        <f>IF(Table1[[#This Row],[client_satisfaction2]]=0,0.75,Table1[[#This Row],[client_satisfaction2]])</f>
        <v>0.73</v>
      </c>
    </row>
    <row r="630" spans="1:25" x14ac:dyDescent="0.25">
      <c r="A630" t="s">
        <v>1338</v>
      </c>
      <c r="B630" t="s">
        <v>1339</v>
      </c>
      <c r="C630" t="str">
        <f>PROPER(TRIM(SUBSTITUTE(SUBSTITUTE(SUBSTITUTE(Table1[[#This Row],[name]],"Ms. ",""),"Mr. ",""),"Mrs. ","")))</f>
        <v>Summer Williams</v>
      </c>
      <c r="D630" t="s">
        <v>39</v>
      </c>
      <c r="E6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30">
        <v>23</v>
      </c>
      <c r="G630" t="str">
        <f>TRIM(IF(Table1[[#This Row],[age]]="","Unknown",Table1[[#This Row],[age]]))</f>
        <v>23</v>
      </c>
      <c r="H630" t="s">
        <v>153</v>
      </c>
      <c r="I630" t="s">
        <v>154</v>
      </c>
      <c r="J630" t="s">
        <v>44</v>
      </c>
      <c r="K630">
        <v>0</v>
      </c>
      <c r="L630" s="10" t="str">
        <f>TRIM(IF(Table1[[#This Row],[years_of_experience]]="","Unknown",Table1[[#This Row],[years_of_experience]]))</f>
        <v>0</v>
      </c>
      <c r="M630" t="s">
        <v>52</v>
      </c>
      <c r="N630" t="str">
        <f>IF(Table1[[#This Row],[hourly_rate (USD)]]="",MEDIAN(Table1[hourly_rate (USD)]),Table1[[#This Row],[hourly_rate (USD)]])</f>
        <v>USD 75</v>
      </c>
      <c r="O630" t="str">
        <f>TRIM(CLEAN(Table1[[#This Row],[Updated hourly_rate (USD)]]))</f>
        <v>USD 75</v>
      </c>
      <c r="P630" t="str">
        <f>SUBSTITUTE(SUBSTITUTE(Table1[[#This Row],[Formatted hourly rate]],"USD ",""),"$","")</f>
        <v>75</v>
      </c>
      <c r="Q630">
        <v>2.2999999999999998</v>
      </c>
      <c r="R630">
        <f>IF(Table1[[#This Row],[rating]]="",2.6,Table1[[#This Row],[rating]])</f>
        <v>2.2999999999999998</v>
      </c>
      <c r="T630" t="str">
        <f>TRIM(CLEAN(Table1[[#This Row],[is_active]]))</f>
        <v/>
      </c>
      <c r="U63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30" s="11" t="str">
        <f>TRIM(IF(Table1[[#This Row],[is_active3]]="Unknown","TRUE",Table1[[#This Row],[is_active3]]))</f>
        <v>TRUE</v>
      </c>
      <c r="W630">
        <v>0.6</v>
      </c>
      <c r="X630">
        <f>IF(Table1[[#This Row],[client_satisfaction]]&gt;1,Table1[[#This Row],[client_satisfaction]]/100,Table1[[#This Row],[client_satisfaction]])</f>
        <v>0.6</v>
      </c>
      <c r="Y630">
        <f>IF(Table1[[#This Row],[client_satisfaction2]]=0,0.75,Table1[[#This Row],[client_satisfaction2]])</f>
        <v>0.6</v>
      </c>
    </row>
    <row r="631" spans="1:25" x14ac:dyDescent="0.25">
      <c r="A631" t="s">
        <v>1340</v>
      </c>
      <c r="B631" t="s">
        <v>1341</v>
      </c>
      <c r="C631" t="str">
        <f>PROPER(TRIM(SUBSTITUTE(SUBSTITUTE(SUBSTITUTE(Table1[[#This Row],[name]],"Ms. ",""),"Mr. ",""),"Mrs. ","")))</f>
        <v>Angela Blackwell</v>
      </c>
      <c r="D631" t="s">
        <v>34</v>
      </c>
      <c r="E6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31">
        <v>60</v>
      </c>
      <c r="G631" t="str">
        <f>TRIM(IF(Table1[[#This Row],[age]]="","Unknown",Table1[[#This Row],[age]]))</f>
        <v>60</v>
      </c>
      <c r="H631" t="s">
        <v>62</v>
      </c>
      <c r="I631" t="s">
        <v>63</v>
      </c>
      <c r="J631" t="s">
        <v>35</v>
      </c>
      <c r="K631">
        <v>41</v>
      </c>
      <c r="L631" s="10" t="str">
        <f>TRIM(IF(Table1[[#This Row],[years_of_experience]]="","Unknown",Table1[[#This Row],[years_of_experience]]))</f>
        <v>41</v>
      </c>
      <c r="M631" t="s">
        <v>36</v>
      </c>
      <c r="N631" t="str">
        <f>IF(Table1[[#This Row],[hourly_rate (USD)]]="",MEDIAN(Table1[hourly_rate (USD)]),Table1[[#This Row],[hourly_rate (USD)]])</f>
        <v>$40</v>
      </c>
      <c r="O631" t="str">
        <f>TRIM(CLEAN(Table1[[#This Row],[Updated hourly_rate (USD)]]))</f>
        <v>$40</v>
      </c>
      <c r="P631" t="str">
        <f>SUBSTITUTE(SUBSTITUTE(Table1[[#This Row],[Formatted hourly rate]],"USD ",""),"$","")</f>
        <v>40</v>
      </c>
      <c r="Q631">
        <v>4.9000000000000004</v>
      </c>
      <c r="R631">
        <f>IF(Table1[[#This Row],[rating]]="",2.6,Table1[[#This Row],[rating]])</f>
        <v>4.9000000000000004</v>
      </c>
      <c r="S631">
        <v>1</v>
      </c>
      <c r="T631" t="str">
        <f>TRIM(CLEAN(Table1[[#This Row],[is_active]]))</f>
        <v>1</v>
      </c>
      <c r="U63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31" s="11" t="str">
        <f>TRIM(IF(Table1[[#This Row],[is_active3]]="Unknown","TRUE",Table1[[#This Row],[is_active3]]))</f>
        <v>TRUE</v>
      </c>
      <c r="W631">
        <v>66</v>
      </c>
      <c r="X631">
        <f>IF(Table1[[#This Row],[client_satisfaction]]&gt;1,Table1[[#This Row],[client_satisfaction]]/100,Table1[[#This Row],[client_satisfaction]])</f>
        <v>0.66</v>
      </c>
      <c r="Y631">
        <f>IF(Table1[[#This Row],[client_satisfaction2]]=0,0.75,Table1[[#This Row],[client_satisfaction2]])</f>
        <v>0.66</v>
      </c>
    </row>
    <row r="632" spans="1:25" x14ac:dyDescent="0.25">
      <c r="A632" t="s">
        <v>1342</v>
      </c>
      <c r="B632" t="s">
        <v>1343</v>
      </c>
      <c r="C632" t="str">
        <f>PROPER(TRIM(SUBSTITUTE(SUBSTITUTE(SUBSTITUTE(Table1[[#This Row],[name]],"Ms. ",""),"Mr. ",""),"Mrs. ","")))</f>
        <v>Thomas Wall</v>
      </c>
      <c r="D632" t="s">
        <v>48</v>
      </c>
      <c r="E6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32">
        <v>20</v>
      </c>
      <c r="G632" t="str">
        <f>TRIM(IF(Table1[[#This Row],[age]]="","Unknown",Table1[[#This Row],[age]]))</f>
        <v>20</v>
      </c>
      <c r="H632" t="s">
        <v>128</v>
      </c>
      <c r="I632" t="s">
        <v>22</v>
      </c>
      <c r="J632" t="s">
        <v>89</v>
      </c>
      <c r="L632" s="10" t="str">
        <f>TRIM(IF(Table1[[#This Row],[years_of_experience]]="","Unknown",Table1[[#This Row],[years_of_experience]]))</f>
        <v>Unknown</v>
      </c>
      <c r="M632" t="s">
        <v>170</v>
      </c>
      <c r="N632" t="str">
        <f>IF(Table1[[#This Row],[hourly_rate (USD)]]="",MEDIAN(Table1[hourly_rate (USD)]),Table1[[#This Row],[hourly_rate (USD)]])</f>
        <v>$75</v>
      </c>
      <c r="O632" t="str">
        <f>TRIM(CLEAN(Table1[[#This Row],[Updated hourly_rate (USD)]]))</f>
        <v>$75</v>
      </c>
      <c r="P632" t="str">
        <f>SUBSTITUTE(SUBSTITUTE(Table1[[#This Row],[Formatted hourly rate]],"USD ",""),"$","")</f>
        <v>75</v>
      </c>
      <c r="Q632">
        <v>4.3</v>
      </c>
      <c r="R632">
        <f>IF(Table1[[#This Row],[rating]]="",2.6,Table1[[#This Row],[rating]])</f>
        <v>4.3</v>
      </c>
      <c r="S632">
        <v>0</v>
      </c>
      <c r="T632" t="str">
        <f>TRIM(CLEAN(Table1[[#This Row],[is_active]]))</f>
        <v>0</v>
      </c>
      <c r="U63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32" s="11" t="str">
        <f>TRIM(IF(Table1[[#This Row],[is_active3]]="Unknown","TRUE",Table1[[#This Row],[is_active3]]))</f>
        <v>FALSE</v>
      </c>
      <c r="W632">
        <v>0.9</v>
      </c>
      <c r="X632">
        <f>IF(Table1[[#This Row],[client_satisfaction]]&gt;1,Table1[[#This Row],[client_satisfaction]]/100,Table1[[#This Row],[client_satisfaction]])</f>
        <v>0.9</v>
      </c>
      <c r="Y632">
        <f>IF(Table1[[#This Row],[client_satisfaction2]]=0,0.75,Table1[[#This Row],[client_satisfaction2]])</f>
        <v>0.9</v>
      </c>
    </row>
    <row r="633" spans="1:25" x14ac:dyDescent="0.25">
      <c r="A633" t="s">
        <v>1344</v>
      </c>
      <c r="B633" t="s">
        <v>1345</v>
      </c>
      <c r="C633" t="str">
        <f>PROPER(TRIM(SUBSTITUTE(SUBSTITUTE(SUBSTITUTE(Table1[[#This Row],[name]],"Ms. ",""),"Mr. ",""),"Mrs. ","")))</f>
        <v>Sarah Anderson</v>
      </c>
      <c r="D633" t="s">
        <v>14</v>
      </c>
      <c r="E6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33">
        <v>41</v>
      </c>
      <c r="G633" t="str">
        <f>TRIM(IF(Table1[[#This Row],[age]]="","Unknown",Table1[[#This Row],[age]]))</f>
        <v>41</v>
      </c>
      <c r="H633" t="s">
        <v>112</v>
      </c>
      <c r="I633" t="s">
        <v>113</v>
      </c>
      <c r="J633" t="s">
        <v>73</v>
      </c>
      <c r="K633">
        <v>23</v>
      </c>
      <c r="L633" s="10" t="str">
        <f>TRIM(IF(Table1[[#This Row],[years_of_experience]]="","Unknown",Table1[[#This Row],[years_of_experience]]))</f>
        <v>23</v>
      </c>
      <c r="M633" t="s">
        <v>170</v>
      </c>
      <c r="N633" t="str">
        <f>IF(Table1[[#This Row],[hourly_rate (USD)]]="",MEDIAN(Table1[hourly_rate (USD)]),Table1[[#This Row],[hourly_rate (USD)]])</f>
        <v>$75</v>
      </c>
      <c r="O633" t="str">
        <f>TRIM(CLEAN(Table1[[#This Row],[Updated hourly_rate (USD)]]))</f>
        <v>$75</v>
      </c>
      <c r="P633" t="str">
        <f>SUBSTITUTE(SUBSTITUTE(Table1[[#This Row],[Formatted hourly rate]],"USD ",""),"$","")</f>
        <v>75</v>
      </c>
      <c r="Q633">
        <v>1.4</v>
      </c>
      <c r="R633">
        <f>IF(Table1[[#This Row],[rating]]="",2.6,Table1[[#This Row],[rating]])</f>
        <v>1.4</v>
      </c>
      <c r="S633">
        <v>0</v>
      </c>
      <c r="T633" t="str">
        <f>TRIM(CLEAN(Table1[[#This Row],[is_active]]))</f>
        <v>0</v>
      </c>
      <c r="U6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33" s="11" t="str">
        <f>TRIM(IF(Table1[[#This Row],[is_active3]]="Unknown","TRUE",Table1[[#This Row],[is_active3]]))</f>
        <v>FALSE</v>
      </c>
      <c r="X633">
        <f>IF(Table1[[#This Row],[client_satisfaction]]&gt;1,Table1[[#This Row],[client_satisfaction]]/100,Table1[[#This Row],[client_satisfaction]])</f>
        <v>0</v>
      </c>
      <c r="Y633">
        <f>IF(Table1[[#This Row],[client_satisfaction2]]=0,0.75,Table1[[#This Row],[client_satisfaction2]])</f>
        <v>0.75</v>
      </c>
    </row>
    <row r="634" spans="1:25" x14ac:dyDescent="0.25">
      <c r="A634" t="s">
        <v>1346</v>
      </c>
      <c r="B634" t="s">
        <v>1347</v>
      </c>
      <c r="C634" t="str">
        <f>PROPER(TRIM(SUBSTITUTE(SUBSTITUTE(SUBSTITUTE(Table1[[#This Row],[name]],"Ms. ",""),"Mr. ",""),"Mrs. ","")))</f>
        <v>Christian Lane</v>
      </c>
      <c r="D634" t="s">
        <v>48</v>
      </c>
      <c r="E6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34">
        <v>24</v>
      </c>
      <c r="G634" t="str">
        <f>TRIM(IF(Table1[[#This Row],[age]]="","Unknown",Table1[[#This Row],[age]]))</f>
        <v>24</v>
      </c>
      <c r="H634" t="s">
        <v>135</v>
      </c>
      <c r="I634" t="s">
        <v>136</v>
      </c>
      <c r="J634" t="s">
        <v>23</v>
      </c>
      <c r="K634">
        <v>0</v>
      </c>
      <c r="L634" s="10" t="str">
        <f>TRIM(IF(Table1[[#This Row],[years_of_experience]]="","Unknown",Table1[[#This Row],[years_of_experience]]))</f>
        <v>0</v>
      </c>
      <c r="M634">
        <v>100</v>
      </c>
      <c r="N634">
        <f>IF(Table1[[#This Row],[hourly_rate (USD)]]="",MEDIAN(Table1[hourly_rate (USD)]),Table1[[#This Row],[hourly_rate (USD)]])</f>
        <v>100</v>
      </c>
      <c r="O634" t="str">
        <f>TRIM(CLEAN(Table1[[#This Row],[Updated hourly_rate (USD)]]))</f>
        <v>100</v>
      </c>
      <c r="P634" t="str">
        <f>SUBSTITUTE(SUBSTITUTE(Table1[[#This Row],[Formatted hourly rate]],"USD ",""),"$","")</f>
        <v>100</v>
      </c>
      <c r="R634">
        <f>IF(Table1[[#This Row],[rating]]="",2.6,Table1[[#This Row],[rating]])</f>
        <v>2.6</v>
      </c>
      <c r="S634" t="s">
        <v>159</v>
      </c>
      <c r="T634" t="str">
        <f>TRIM(CLEAN(Table1[[#This Row],[is_active]]))</f>
        <v>no</v>
      </c>
      <c r="U63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34" s="11" t="str">
        <f>TRIM(IF(Table1[[#This Row],[is_active3]]="Unknown","TRUE",Table1[[#This Row],[is_active3]]))</f>
        <v>FALSE</v>
      </c>
      <c r="X634">
        <f>IF(Table1[[#This Row],[client_satisfaction]]&gt;1,Table1[[#This Row],[client_satisfaction]]/100,Table1[[#This Row],[client_satisfaction]])</f>
        <v>0</v>
      </c>
      <c r="Y634">
        <f>IF(Table1[[#This Row],[client_satisfaction2]]=0,0.75,Table1[[#This Row],[client_satisfaction2]])</f>
        <v>0.75</v>
      </c>
    </row>
    <row r="635" spans="1:25" x14ac:dyDescent="0.25">
      <c r="A635" t="s">
        <v>1348</v>
      </c>
      <c r="B635" t="s">
        <v>1349</v>
      </c>
      <c r="C635" t="str">
        <f>PROPER(TRIM(SUBSTITUTE(SUBSTITUTE(SUBSTITUTE(Table1[[#This Row],[name]],"Ms. ",""),"Mr. ",""),"Mrs. ","")))</f>
        <v>Todd Casey</v>
      </c>
      <c r="D635" t="s">
        <v>48</v>
      </c>
      <c r="E6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35">
        <v>44</v>
      </c>
      <c r="G635" t="str">
        <f>TRIM(IF(Table1[[#This Row],[age]]="","Unknown",Table1[[#This Row],[age]]))</f>
        <v>44</v>
      </c>
      <c r="H635" t="s">
        <v>42</v>
      </c>
      <c r="I635" t="s">
        <v>43</v>
      </c>
      <c r="J635" t="s">
        <v>114</v>
      </c>
      <c r="K635">
        <v>4</v>
      </c>
      <c r="L635" s="10" t="str">
        <f>TRIM(IF(Table1[[#This Row],[years_of_experience]]="","Unknown",Table1[[#This Row],[years_of_experience]]))</f>
        <v>4</v>
      </c>
      <c r="N635">
        <f>IF(Table1[[#This Row],[hourly_rate (USD)]]="",MEDIAN(Table1[hourly_rate (USD)]),Table1[[#This Row],[hourly_rate (USD)]])</f>
        <v>50</v>
      </c>
      <c r="O635" t="str">
        <f>TRIM(CLEAN(Table1[[#This Row],[Updated hourly_rate (USD)]]))</f>
        <v>50</v>
      </c>
      <c r="P635" t="str">
        <f>SUBSTITUTE(SUBSTITUTE(Table1[[#This Row],[Formatted hourly rate]],"USD ",""),"$","")</f>
        <v>50</v>
      </c>
      <c r="Q635">
        <v>1.3</v>
      </c>
      <c r="R635">
        <f>IF(Table1[[#This Row],[rating]]="",2.6,Table1[[#This Row],[rating]])</f>
        <v>1.3</v>
      </c>
      <c r="S635" t="s">
        <v>68</v>
      </c>
      <c r="T635" t="str">
        <f>TRIM(CLEAN(Table1[[#This Row],[is_active]]))</f>
        <v>yes</v>
      </c>
      <c r="U63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35" s="11" t="str">
        <f>TRIM(IF(Table1[[#This Row],[is_active3]]="Unknown","TRUE",Table1[[#This Row],[is_active3]]))</f>
        <v>TRUE</v>
      </c>
      <c r="W635">
        <v>77</v>
      </c>
      <c r="X635">
        <f>IF(Table1[[#This Row],[client_satisfaction]]&gt;1,Table1[[#This Row],[client_satisfaction]]/100,Table1[[#This Row],[client_satisfaction]])</f>
        <v>0.77</v>
      </c>
      <c r="Y635">
        <f>IF(Table1[[#This Row],[client_satisfaction2]]=0,0.75,Table1[[#This Row],[client_satisfaction2]])</f>
        <v>0.77</v>
      </c>
    </row>
    <row r="636" spans="1:25" x14ac:dyDescent="0.25">
      <c r="A636" t="s">
        <v>1350</v>
      </c>
      <c r="B636" t="s">
        <v>1351</v>
      </c>
      <c r="C636" t="str">
        <f>PROPER(TRIM(SUBSTITUTE(SUBSTITUTE(SUBSTITUTE(Table1[[#This Row],[name]],"Ms. ",""),"Mr. ",""),"Mrs. ","")))</f>
        <v>David Martinez</v>
      </c>
      <c r="D636" t="s">
        <v>61</v>
      </c>
      <c r="E6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36">
        <v>52</v>
      </c>
      <c r="G636" t="str">
        <f>TRIM(IF(Table1[[#This Row],[age]]="","Unknown",Table1[[#This Row],[age]]))</f>
        <v>52</v>
      </c>
      <c r="H636" t="s">
        <v>175</v>
      </c>
      <c r="I636" t="s">
        <v>176</v>
      </c>
      <c r="J636" t="s">
        <v>73</v>
      </c>
      <c r="K636">
        <v>4</v>
      </c>
      <c r="L636" s="10" t="str">
        <f>TRIM(IF(Table1[[#This Row],[years_of_experience]]="","Unknown",Table1[[#This Row],[years_of_experience]]))</f>
        <v>4</v>
      </c>
      <c r="M636">
        <v>75</v>
      </c>
      <c r="N636">
        <f>IF(Table1[[#This Row],[hourly_rate (USD)]]="",MEDIAN(Table1[hourly_rate (USD)]),Table1[[#This Row],[hourly_rate (USD)]])</f>
        <v>75</v>
      </c>
      <c r="O636" t="str">
        <f>TRIM(CLEAN(Table1[[#This Row],[Updated hourly_rate (USD)]]))</f>
        <v>75</v>
      </c>
      <c r="P636" t="str">
        <f>SUBSTITUTE(SUBSTITUTE(Table1[[#This Row],[Formatted hourly rate]],"USD ",""),"$","")</f>
        <v>75</v>
      </c>
      <c r="Q636">
        <v>2.2999999999999998</v>
      </c>
      <c r="R636">
        <f>IF(Table1[[#This Row],[rating]]="",2.6,Table1[[#This Row],[rating]])</f>
        <v>2.2999999999999998</v>
      </c>
      <c r="S636">
        <v>1</v>
      </c>
      <c r="T636" t="str">
        <f>TRIM(CLEAN(Table1[[#This Row],[is_active]]))</f>
        <v>1</v>
      </c>
      <c r="U63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36" s="11" t="str">
        <f>TRIM(IF(Table1[[#This Row],[is_active3]]="Unknown","TRUE",Table1[[#This Row],[is_active3]]))</f>
        <v>TRUE</v>
      </c>
      <c r="W636">
        <v>0.79</v>
      </c>
      <c r="X636">
        <f>IF(Table1[[#This Row],[client_satisfaction]]&gt;1,Table1[[#This Row],[client_satisfaction]]/100,Table1[[#This Row],[client_satisfaction]])</f>
        <v>0.79</v>
      </c>
      <c r="Y636">
        <f>IF(Table1[[#This Row],[client_satisfaction2]]=0,0.75,Table1[[#This Row],[client_satisfaction2]])</f>
        <v>0.79</v>
      </c>
    </row>
    <row r="637" spans="1:25" x14ac:dyDescent="0.25">
      <c r="A637" t="s">
        <v>1352</v>
      </c>
      <c r="B637" t="s">
        <v>1353</v>
      </c>
      <c r="C637" t="str">
        <f>PROPER(TRIM(SUBSTITUTE(SUBSTITUTE(SUBSTITUTE(Table1[[#This Row],[name]],"Ms. ",""),"Mr. ",""),"Mrs. ","")))</f>
        <v>Donald Salas</v>
      </c>
      <c r="D637" t="s">
        <v>92</v>
      </c>
      <c r="E6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37">
        <v>35</v>
      </c>
      <c r="G637" t="str">
        <f>TRIM(IF(Table1[[#This Row],[age]]="","Unknown",Table1[[#This Row],[age]]))</f>
        <v>35</v>
      </c>
      <c r="H637" t="s">
        <v>190</v>
      </c>
      <c r="I637" t="s">
        <v>72</v>
      </c>
      <c r="J637" t="s">
        <v>114</v>
      </c>
      <c r="K637">
        <v>13</v>
      </c>
      <c r="L637" s="10" t="str">
        <f>TRIM(IF(Table1[[#This Row],[years_of_experience]]="","Unknown",Table1[[#This Row],[years_of_experience]]))</f>
        <v>13</v>
      </c>
      <c r="M637">
        <v>40</v>
      </c>
      <c r="N637">
        <f>IF(Table1[[#This Row],[hourly_rate (USD)]]="",MEDIAN(Table1[hourly_rate (USD)]),Table1[[#This Row],[hourly_rate (USD)]])</f>
        <v>40</v>
      </c>
      <c r="O637" t="str">
        <f>TRIM(CLEAN(Table1[[#This Row],[Updated hourly_rate (USD)]]))</f>
        <v>40</v>
      </c>
      <c r="P637" t="str">
        <f>SUBSTITUTE(SUBSTITUTE(Table1[[#This Row],[Formatted hourly rate]],"USD ",""),"$","")</f>
        <v>40</v>
      </c>
      <c r="Q637">
        <v>3.6</v>
      </c>
      <c r="R637">
        <f>IF(Table1[[#This Row],[rating]]="",2.6,Table1[[#This Row],[rating]])</f>
        <v>3.6</v>
      </c>
      <c r="S637">
        <v>0</v>
      </c>
      <c r="T637" t="str">
        <f>TRIM(CLEAN(Table1[[#This Row],[is_active]]))</f>
        <v>0</v>
      </c>
      <c r="U6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37" s="11" t="str">
        <f>TRIM(IF(Table1[[#This Row],[is_active3]]="Unknown","TRUE",Table1[[#This Row],[is_active3]]))</f>
        <v>FALSE</v>
      </c>
      <c r="W637">
        <v>0.83</v>
      </c>
      <c r="X637">
        <f>IF(Table1[[#This Row],[client_satisfaction]]&gt;1,Table1[[#This Row],[client_satisfaction]]/100,Table1[[#This Row],[client_satisfaction]])</f>
        <v>0.83</v>
      </c>
      <c r="Y637">
        <f>IF(Table1[[#This Row],[client_satisfaction2]]=0,0.75,Table1[[#This Row],[client_satisfaction2]])</f>
        <v>0.83</v>
      </c>
    </row>
    <row r="638" spans="1:25" x14ac:dyDescent="0.25">
      <c r="A638" t="s">
        <v>1354</v>
      </c>
      <c r="B638" t="s">
        <v>1355</v>
      </c>
      <c r="C638" t="str">
        <f>PROPER(TRIM(SUBSTITUTE(SUBSTITUTE(SUBSTITUTE(Table1[[#This Row],[name]],"Ms. ",""),"Mr. ",""),"Mrs. ","")))</f>
        <v>Emma Hicks</v>
      </c>
      <c r="D638" t="s">
        <v>77</v>
      </c>
      <c r="E6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38">
        <v>24</v>
      </c>
      <c r="G638" t="str">
        <f>TRIM(IF(Table1[[#This Row],[age]]="","Unknown",Table1[[#This Row],[age]]))</f>
        <v>24</v>
      </c>
      <c r="H638" t="s">
        <v>42</v>
      </c>
      <c r="I638" t="s">
        <v>43</v>
      </c>
      <c r="J638" t="s">
        <v>89</v>
      </c>
      <c r="K638">
        <v>2</v>
      </c>
      <c r="L638" s="10" t="str">
        <f>TRIM(IF(Table1[[#This Row],[years_of_experience]]="","Unknown",Table1[[#This Row],[years_of_experience]]))</f>
        <v>2</v>
      </c>
      <c r="M638" t="s">
        <v>64</v>
      </c>
      <c r="N638" t="str">
        <f>IF(Table1[[#This Row],[hourly_rate (USD)]]="",MEDIAN(Table1[hourly_rate (USD)]),Table1[[#This Row],[hourly_rate (USD)]])</f>
        <v>$50</v>
      </c>
      <c r="O638" t="str">
        <f>TRIM(CLEAN(Table1[[#This Row],[Updated hourly_rate (USD)]]))</f>
        <v>$50</v>
      </c>
      <c r="P638" t="str">
        <f>SUBSTITUTE(SUBSTITUTE(Table1[[#This Row],[Formatted hourly rate]],"USD ",""),"$","")</f>
        <v>50</v>
      </c>
      <c r="R638">
        <f>IF(Table1[[#This Row],[rating]]="",2.6,Table1[[#This Row],[rating]])</f>
        <v>2.6</v>
      </c>
      <c r="S638" t="s">
        <v>31</v>
      </c>
      <c r="T638" t="str">
        <f>TRIM(CLEAN(Table1[[#This Row],[is_active]]))</f>
        <v>N</v>
      </c>
      <c r="U6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38" s="11" t="str">
        <f>TRIM(IF(Table1[[#This Row],[is_active3]]="Unknown","TRUE",Table1[[#This Row],[is_active3]]))</f>
        <v>FALSE</v>
      </c>
      <c r="W638">
        <v>0.64</v>
      </c>
      <c r="X638">
        <f>IF(Table1[[#This Row],[client_satisfaction]]&gt;1,Table1[[#This Row],[client_satisfaction]]/100,Table1[[#This Row],[client_satisfaction]])</f>
        <v>0.64</v>
      </c>
      <c r="Y638">
        <f>IF(Table1[[#This Row],[client_satisfaction2]]=0,0.75,Table1[[#This Row],[client_satisfaction2]])</f>
        <v>0.64</v>
      </c>
    </row>
    <row r="639" spans="1:25" x14ac:dyDescent="0.25">
      <c r="A639" t="s">
        <v>1356</v>
      </c>
      <c r="B639" t="s">
        <v>1357</v>
      </c>
      <c r="C639" t="str">
        <f>PROPER(TRIM(SUBSTITUTE(SUBSTITUTE(SUBSTITUTE(Table1[[#This Row],[name]],"Ms. ",""),"Mr. ",""),"Mrs. ","")))</f>
        <v>Alison Clark</v>
      </c>
      <c r="D639" t="s">
        <v>20</v>
      </c>
      <c r="E6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39">
        <v>46</v>
      </c>
      <c r="G639" t="str">
        <f>TRIM(IF(Table1[[#This Row],[age]]="","Unknown",Table1[[#This Row],[age]]))</f>
        <v>46</v>
      </c>
      <c r="H639" t="s">
        <v>21</v>
      </c>
      <c r="I639" t="s">
        <v>22</v>
      </c>
      <c r="J639" t="s">
        <v>78</v>
      </c>
      <c r="K639">
        <v>25</v>
      </c>
      <c r="L639" s="10" t="str">
        <f>TRIM(IF(Table1[[#This Row],[years_of_experience]]="","Unknown",Table1[[#This Row],[years_of_experience]]))</f>
        <v>25</v>
      </c>
      <c r="M639" t="s">
        <v>229</v>
      </c>
      <c r="N639" t="str">
        <f>IF(Table1[[#This Row],[hourly_rate (USD)]]="",MEDIAN(Table1[hourly_rate (USD)]),Table1[[#This Row],[hourly_rate (USD)]])</f>
        <v>$100</v>
      </c>
      <c r="O639" t="str">
        <f>TRIM(CLEAN(Table1[[#This Row],[Updated hourly_rate (USD)]]))</f>
        <v>$100</v>
      </c>
      <c r="P639" t="str">
        <f>SUBSTITUTE(SUBSTITUTE(Table1[[#This Row],[Formatted hourly rate]],"USD ",""),"$","")</f>
        <v>100</v>
      </c>
      <c r="Q639">
        <v>1.3</v>
      </c>
      <c r="R639">
        <f>IF(Table1[[#This Row],[rating]]="",2.6,Table1[[#This Row],[rating]])</f>
        <v>1.3</v>
      </c>
      <c r="S639" t="s">
        <v>159</v>
      </c>
      <c r="T639" t="str">
        <f>TRIM(CLEAN(Table1[[#This Row],[is_active]]))</f>
        <v>no</v>
      </c>
      <c r="U63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39" s="11" t="str">
        <f>TRIM(IF(Table1[[#This Row],[is_active3]]="Unknown","TRUE",Table1[[#This Row],[is_active3]]))</f>
        <v>FALSE</v>
      </c>
      <c r="W639">
        <v>0.8</v>
      </c>
      <c r="X639">
        <f>IF(Table1[[#This Row],[client_satisfaction]]&gt;1,Table1[[#This Row],[client_satisfaction]]/100,Table1[[#This Row],[client_satisfaction]])</f>
        <v>0.8</v>
      </c>
      <c r="Y639">
        <f>IF(Table1[[#This Row],[client_satisfaction2]]=0,0.75,Table1[[#This Row],[client_satisfaction2]])</f>
        <v>0.8</v>
      </c>
    </row>
    <row r="640" spans="1:25" x14ac:dyDescent="0.25">
      <c r="A640" t="s">
        <v>1358</v>
      </c>
      <c r="B640" t="s">
        <v>1359</v>
      </c>
      <c r="C640" t="str">
        <f>PROPER(TRIM(SUBSTITUTE(SUBSTITUTE(SUBSTITUTE(Table1[[#This Row],[name]],"Ms. ",""),"Mr. ",""),"Mrs. ","")))</f>
        <v>Andrew Barnes</v>
      </c>
      <c r="D640" t="s">
        <v>92</v>
      </c>
      <c r="E6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40">
        <v>57</v>
      </c>
      <c r="G640" t="str">
        <f>TRIM(IF(Table1[[#This Row],[age]]="","Unknown",Table1[[#This Row],[age]]))</f>
        <v>57</v>
      </c>
      <c r="H640" t="s">
        <v>179</v>
      </c>
      <c r="I640" t="s">
        <v>72</v>
      </c>
      <c r="J640" t="s">
        <v>23</v>
      </c>
      <c r="K640">
        <v>18</v>
      </c>
      <c r="L640" s="10" t="str">
        <f>TRIM(IF(Table1[[#This Row],[years_of_experience]]="","Unknown",Table1[[#This Row],[years_of_experience]]))</f>
        <v>18</v>
      </c>
      <c r="M640" t="s">
        <v>109</v>
      </c>
      <c r="N640" t="str">
        <f>IF(Table1[[#This Row],[hourly_rate (USD)]]="",MEDIAN(Table1[hourly_rate (USD)]),Table1[[#This Row],[hourly_rate (USD)]])</f>
        <v>USD 30</v>
      </c>
      <c r="O640" t="str">
        <f>TRIM(CLEAN(Table1[[#This Row],[Updated hourly_rate (USD)]]))</f>
        <v>USD 30</v>
      </c>
      <c r="P640" t="str">
        <f>SUBSTITUTE(SUBSTITUTE(Table1[[#This Row],[Formatted hourly rate]],"USD ",""),"$","")</f>
        <v>30</v>
      </c>
      <c r="Q640">
        <v>1.1000000000000001</v>
      </c>
      <c r="R640">
        <f>IF(Table1[[#This Row],[rating]]="",2.6,Table1[[#This Row],[rating]])</f>
        <v>1.1000000000000001</v>
      </c>
      <c r="S640" t="b">
        <v>0</v>
      </c>
      <c r="T640" t="str">
        <f>TRIM(CLEAN(Table1[[#This Row],[is_active]]))</f>
        <v>FALSE</v>
      </c>
      <c r="U64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40" s="11" t="str">
        <f>TRIM(IF(Table1[[#This Row],[is_active3]]="Unknown","TRUE",Table1[[#This Row],[is_active3]]))</f>
        <v>TRUE</v>
      </c>
      <c r="W640">
        <v>0.9</v>
      </c>
      <c r="X640">
        <f>IF(Table1[[#This Row],[client_satisfaction]]&gt;1,Table1[[#This Row],[client_satisfaction]]/100,Table1[[#This Row],[client_satisfaction]])</f>
        <v>0.9</v>
      </c>
      <c r="Y640">
        <f>IF(Table1[[#This Row],[client_satisfaction2]]=0,0.75,Table1[[#This Row],[client_satisfaction2]])</f>
        <v>0.9</v>
      </c>
    </row>
    <row r="641" spans="1:25" x14ac:dyDescent="0.25">
      <c r="A641" t="s">
        <v>1360</v>
      </c>
      <c r="B641" t="s">
        <v>1361</v>
      </c>
      <c r="C641" t="str">
        <f>PROPER(TRIM(SUBSTITUTE(SUBSTITUTE(SUBSTITUTE(Table1[[#This Row],[name]],"Ms. ",""),"Mr. ",""),"Mrs. ","")))</f>
        <v>Gina Snyder</v>
      </c>
      <c r="D641" t="s">
        <v>34</v>
      </c>
      <c r="E6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41">
        <v>49</v>
      </c>
      <c r="G641" t="str">
        <f>TRIM(IF(Table1[[#This Row],[age]]="","Unknown",Table1[[#This Row],[age]]))</f>
        <v>49</v>
      </c>
      <c r="H641" t="s">
        <v>179</v>
      </c>
      <c r="I641" t="s">
        <v>72</v>
      </c>
      <c r="J641" t="s">
        <v>35</v>
      </c>
      <c r="K641">
        <v>24</v>
      </c>
      <c r="L641" s="10" t="str">
        <f>TRIM(IF(Table1[[#This Row],[years_of_experience]]="","Unknown",Table1[[#This Row],[years_of_experience]]))</f>
        <v>24</v>
      </c>
      <c r="M641" t="s">
        <v>64</v>
      </c>
      <c r="N641" t="str">
        <f>IF(Table1[[#This Row],[hourly_rate (USD)]]="",MEDIAN(Table1[hourly_rate (USD)]),Table1[[#This Row],[hourly_rate (USD)]])</f>
        <v>$50</v>
      </c>
      <c r="O641" t="str">
        <f>TRIM(CLEAN(Table1[[#This Row],[Updated hourly_rate (USD)]]))</f>
        <v>$50</v>
      </c>
      <c r="P641" t="str">
        <f>SUBSTITUTE(SUBSTITUTE(Table1[[#This Row],[Formatted hourly rate]],"USD ",""),"$","")</f>
        <v>50</v>
      </c>
      <c r="Q641">
        <v>0</v>
      </c>
      <c r="R641">
        <f>IF(Table1[[#This Row],[rating]]="",2.6,Table1[[#This Row],[rating]])</f>
        <v>0</v>
      </c>
      <c r="S641">
        <v>0</v>
      </c>
      <c r="T641" t="str">
        <f>TRIM(CLEAN(Table1[[#This Row],[is_active]]))</f>
        <v>0</v>
      </c>
      <c r="U64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41" s="11" t="str">
        <f>TRIM(IF(Table1[[#This Row],[is_active3]]="Unknown","TRUE",Table1[[#This Row],[is_active3]]))</f>
        <v>FALSE</v>
      </c>
      <c r="W641">
        <v>0.94</v>
      </c>
      <c r="X641">
        <f>IF(Table1[[#This Row],[client_satisfaction]]&gt;1,Table1[[#This Row],[client_satisfaction]]/100,Table1[[#This Row],[client_satisfaction]])</f>
        <v>0.94</v>
      </c>
      <c r="Y641">
        <f>IF(Table1[[#This Row],[client_satisfaction2]]=0,0.75,Table1[[#This Row],[client_satisfaction2]])</f>
        <v>0.94</v>
      </c>
    </row>
    <row r="642" spans="1:25" x14ac:dyDescent="0.25">
      <c r="A642" t="s">
        <v>1362</v>
      </c>
      <c r="B642" t="s">
        <v>1363</v>
      </c>
      <c r="C642" t="str">
        <f>PROPER(TRIM(SUBSTITUTE(SUBSTITUTE(SUBSTITUTE(Table1[[#This Row],[name]],"Ms. ",""),"Mr. ",""),"Mrs. ","")))</f>
        <v>David Watson</v>
      </c>
      <c r="D642" t="s">
        <v>61</v>
      </c>
      <c r="E6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42">
        <v>41</v>
      </c>
      <c r="G642" t="str">
        <f>TRIM(IF(Table1[[#This Row],[age]]="","Unknown",Table1[[#This Row],[age]]))</f>
        <v>41</v>
      </c>
      <c r="H642" t="s">
        <v>85</v>
      </c>
      <c r="I642" t="s">
        <v>86</v>
      </c>
      <c r="J642" t="s">
        <v>44</v>
      </c>
      <c r="K642">
        <v>7</v>
      </c>
      <c r="L642" s="10" t="str">
        <f>TRIM(IF(Table1[[#This Row],[years_of_experience]]="","Unknown",Table1[[#This Row],[years_of_experience]]))</f>
        <v>7</v>
      </c>
      <c r="M642">
        <v>40</v>
      </c>
      <c r="N642">
        <f>IF(Table1[[#This Row],[hourly_rate (USD)]]="",MEDIAN(Table1[hourly_rate (USD)]),Table1[[#This Row],[hourly_rate (USD)]])</f>
        <v>40</v>
      </c>
      <c r="O642" t="str">
        <f>TRIM(CLEAN(Table1[[#This Row],[Updated hourly_rate (USD)]]))</f>
        <v>40</v>
      </c>
      <c r="P642" t="str">
        <f>SUBSTITUTE(SUBSTITUTE(Table1[[#This Row],[Formatted hourly rate]],"USD ",""),"$","")</f>
        <v>40</v>
      </c>
      <c r="Q642">
        <v>1.8</v>
      </c>
      <c r="R642">
        <f>IF(Table1[[#This Row],[rating]]="",2.6,Table1[[#This Row],[rating]])</f>
        <v>1.8</v>
      </c>
      <c r="S642" t="b">
        <v>0</v>
      </c>
      <c r="T642" t="str">
        <f>TRIM(CLEAN(Table1[[#This Row],[is_active]]))</f>
        <v>FALSE</v>
      </c>
      <c r="U64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42" s="11" t="str">
        <f>TRIM(IF(Table1[[#This Row],[is_active3]]="Unknown","TRUE",Table1[[#This Row],[is_active3]]))</f>
        <v>TRUE</v>
      </c>
      <c r="W642">
        <v>0.7</v>
      </c>
      <c r="X642">
        <f>IF(Table1[[#This Row],[client_satisfaction]]&gt;1,Table1[[#This Row],[client_satisfaction]]/100,Table1[[#This Row],[client_satisfaction]])</f>
        <v>0.7</v>
      </c>
      <c r="Y642">
        <f>IF(Table1[[#This Row],[client_satisfaction2]]=0,0.75,Table1[[#This Row],[client_satisfaction2]])</f>
        <v>0.7</v>
      </c>
    </row>
    <row r="643" spans="1:25" x14ac:dyDescent="0.25">
      <c r="A643" t="s">
        <v>1364</v>
      </c>
      <c r="B643" t="s">
        <v>1365</v>
      </c>
      <c r="C643" t="str">
        <f>PROPER(TRIM(SUBSTITUTE(SUBSTITUTE(SUBSTITUTE(Table1[[#This Row],[name]],"Ms. ",""),"Mr. ",""),"Mrs. ","")))</f>
        <v>John Davis</v>
      </c>
      <c r="D643" t="s">
        <v>27</v>
      </c>
      <c r="E6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43">
        <v>22</v>
      </c>
      <c r="G643" t="str">
        <f>TRIM(IF(Table1[[#This Row],[age]]="","Unknown",Table1[[#This Row],[age]]))</f>
        <v>22</v>
      </c>
      <c r="H643" t="s">
        <v>179</v>
      </c>
      <c r="I643" t="s">
        <v>72</v>
      </c>
      <c r="J643" t="s">
        <v>114</v>
      </c>
      <c r="K643">
        <v>1</v>
      </c>
      <c r="L643" s="10" t="str">
        <f>TRIM(IF(Table1[[#This Row],[years_of_experience]]="","Unknown",Table1[[#This Row],[years_of_experience]]))</f>
        <v>1</v>
      </c>
      <c r="M643" t="s">
        <v>314</v>
      </c>
      <c r="N643" t="str">
        <f>IF(Table1[[#This Row],[hourly_rate (USD)]]="",MEDIAN(Table1[hourly_rate (USD)]),Table1[[#This Row],[hourly_rate (USD)]])</f>
        <v>USD 20</v>
      </c>
      <c r="O643" t="str">
        <f>TRIM(CLEAN(Table1[[#This Row],[Updated hourly_rate (USD)]]))</f>
        <v>USD 20</v>
      </c>
      <c r="P643" t="str">
        <f>SUBSTITUTE(SUBSTITUTE(Table1[[#This Row],[Formatted hourly rate]],"USD ",""),"$","")</f>
        <v>20</v>
      </c>
      <c r="R643">
        <f>IF(Table1[[#This Row],[rating]]="",2.6,Table1[[#This Row],[rating]])</f>
        <v>2.6</v>
      </c>
      <c r="S643" t="s">
        <v>68</v>
      </c>
      <c r="T643" t="str">
        <f>TRIM(CLEAN(Table1[[#This Row],[is_active]]))</f>
        <v>yes</v>
      </c>
      <c r="U64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43" s="11" t="str">
        <f>TRIM(IF(Table1[[#This Row],[is_active3]]="Unknown","TRUE",Table1[[#This Row],[is_active3]]))</f>
        <v>TRUE</v>
      </c>
      <c r="W643">
        <v>0.75</v>
      </c>
      <c r="X643">
        <f>IF(Table1[[#This Row],[client_satisfaction]]&gt;1,Table1[[#This Row],[client_satisfaction]]/100,Table1[[#This Row],[client_satisfaction]])</f>
        <v>0.75</v>
      </c>
      <c r="Y643">
        <f>IF(Table1[[#This Row],[client_satisfaction2]]=0,0.75,Table1[[#This Row],[client_satisfaction2]])</f>
        <v>0.75</v>
      </c>
    </row>
    <row r="644" spans="1:25" x14ac:dyDescent="0.25">
      <c r="A644" t="s">
        <v>1366</v>
      </c>
      <c r="B644" t="s">
        <v>1367</v>
      </c>
      <c r="C644" t="str">
        <f>PROPER(TRIM(SUBSTITUTE(SUBSTITUTE(SUBSTITUTE(Table1[[#This Row],[name]],"Ms. ",""),"Mr. ",""),"Mrs. ","")))</f>
        <v>Joseph Thomas</v>
      </c>
      <c r="D644" t="s">
        <v>27</v>
      </c>
      <c r="E6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44">
        <v>50</v>
      </c>
      <c r="G644" t="str">
        <f>TRIM(IF(Table1[[#This Row],[age]]="","Unknown",Table1[[#This Row],[age]]))</f>
        <v>50</v>
      </c>
      <c r="H644" t="s">
        <v>21</v>
      </c>
      <c r="I644" t="s">
        <v>22</v>
      </c>
      <c r="J644" t="s">
        <v>17</v>
      </c>
      <c r="K644">
        <v>17</v>
      </c>
      <c r="L644" s="10" t="str">
        <f>TRIM(IF(Table1[[#This Row],[years_of_experience]]="","Unknown",Table1[[#This Row],[years_of_experience]]))</f>
        <v>17</v>
      </c>
      <c r="M644">
        <v>75</v>
      </c>
      <c r="N644">
        <f>IF(Table1[[#This Row],[hourly_rate (USD)]]="",MEDIAN(Table1[hourly_rate (USD)]),Table1[[#This Row],[hourly_rate (USD)]])</f>
        <v>75</v>
      </c>
      <c r="O644" t="str">
        <f>TRIM(CLEAN(Table1[[#This Row],[Updated hourly_rate (USD)]]))</f>
        <v>75</v>
      </c>
      <c r="P644" t="str">
        <f>SUBSTITUTE(SUBSTITUTE(Table1[[#This Row],[Formatted hourly rate]],"USD ",""),"$","")</f>
        <v>75</v>
      </c>
      <c r="Q644">
        <v>3.3</v>
      </c>
      <c r="R644">
        <f>IF(Table1[[#This Row],[rating]]="",2.6,Table1[[#This Row],[rating]])</f>
        <v>3.3</v>
      </c>
      <c r="S644">
        <v>1</v>
      </c>
      <c r="T644" t="str">
        <f>TRIM(CLEAN(Table1[[#This Row],[is_active]]))</f>
        <v>1</v>
      </c>
      <c r="U6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44" s="11" t="str">
        <f>TRIM(IF(Table1[[#This Row],[is_active3]]="Unknown","TRUE",Table1[[#This Row],[is_active3]]))</f>
        <v>TRUE</v>
      </c>
      <c r="W644">
        <v>0.69</v>
      </c>
      <c r="X644">
        <f>IF(Table1[[#This Row],[client_satisfaction]]&gt;1,Table1[[#This Row],[client_satisfaction]]/100,Table1[[#This Row],[client_satisfaction]])</f>
        <v>0.69</v>
      </c>
      <c r="Y644">
        <f>IF(Table1[[#This Row],[client_satisfaction2]]=0,0.75,Table1[[#This Row],[client_satisfaction2]])</f>
        <v>0.69</v>
      </c>
    </row>
    <row r="645" spans="1:25" x14ac:dyDescent="0.25">
      <c r="A645" t="s">
        <v>1368</v>
      </c>
      <c r="B645" t="s">
        <v>1369</v>
      </c>
      <c r="C645" t="str">
        <f>PROPER(TRIM(SUBSTITUTE(SUBSTITUTE(SUBSTITUTE(Table1[[#This Row],[name]],"Ms. ",""),"Mr. ",""),"Mrs. ","")))</f>
        <v>Dean Finley</v>
      </c>
      <c r="D645" t="s">
        <v>27</v>
      </c>
      <c r="E6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45">
        <v>57</v>
      </c>
      <c r="G645" t="str">
        <f>TRIM(IF(Table1[[#This Row],[age]]="","Unknown",Table1[[#This Row],[age]]))</f>
        <v>57</v>
      </c>
      <c r="H645" t="s">
        <v>28</v>
      </c>
      <c r="I645" t="s">
        <v>29</v>
      </c>
      <c r="J645" t="s">
        <v>30</v>
      </c>
      <c r="K645">
        <v>4</v>
      </c>
      <c r="L645" s="10" t="str">
        <f>TRIM(IF(Table1[[#This Row],[years_of_experience]]="","Unknown",Table1[[#This Row],[years_of_experience]]))</f>
        <v>4</v>
      </c>
      <c r="M645" t="s">
        <v>109</v>
      </c>
      <c r="N645" t="str">
        <f>IF(Table1[[#This Row],[hourly_rate (USD)]]="",MEDIAN(Table1[hourly_rate (USD)]),Table1[[#This Row],[hourly_rate (USD)]])</f>
        <v>USD 30</v>
      </c>
      <c r="O645" t="str">
        <f>TRIM(CLEAN(Table1[[#This Row],[Updated hourly_rate (USD)]]))</f>
        <v>USD 30</v>
      </c>
      <c r="P645" t="str">
        <f>SUBSTITUTE(SUBSTITUTE(Table1[[#This Row],[Formatted hourly rate]],"USD ",""),"$","")</f>
        <v>30</v>
      </c>
      <c r="Q645">
        <v>4.2</v>
      </c>
      <c r="R645">
        <f>IF(Table1[[#This Row],[rating]]="",2.6,Table1[[#This Row],[rating]])</f>
        <v>4.2</v>
      </c>
      <c r="S645">
        <v>0</v>
      </c>
      <c r="T645" t="str">
        <f>TRIM(CLEAN(Table1[[#This Row],[is_active]]))</f>
        <v>0</v>
      </c>
      <c r="U64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45" s="11" t="str">
        <f>TRIM(IF(Table1[[#This Row],[is_active3]]="Unknown","TRUE",Table1[[#This Row],[is_active3]]))</f>
        <v>FALSE</v>
      </c>
      <c r="X645">
        <f>IF(Table1[[#This Row],[client_satisfaction]]&gt;1,Table1[[#This Row],[client_satisfaction]]/100,Table1[[#This Row],[client_satisfaction]])</f>
        <v>0</v>
      </c>
      <c r="Y645">
        <f>IF(Table1[[#This Row],[client_satisfaction2]]=0,0.75,Table1[[#This Row],[client_satisfaction2]])</f>
        <v>0.75</v>
      </c>
    </row>
    <row r="646" spans="1:25" x14ac:dyDescent="0.25">
      <c r="A646" t="s">
        <v>1370</v>
      </c>
      <c r="B646" t="s">
        <v>1371</v>
      </c>
      <c r="C646" t="str">
        <f>PROPER(TRIM(SUBSTITUTE(SUBSTITUTE(SUBSTITUTE(Table1[[#This Row],[name]],"Ms. ",""),"Mr. ",""),"Mrs. ","")))</f>
        <v>Ashley Kemp</v>
      </c>
      <c r="D646" t="s">
        <v>20</v>
      </c>
      <c r="E6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46">
        <v>47</v>
      </c>
      <c r="G646" t="str">
        <f>TRIM(IF(Table1[[#This Row],[age]]="","Unknown",Table1[[#This Row],[age]]))</f>
        <v>47</v>
      </c>
      <c r="H646" t="s">
        <v>179</v>
      </c>
      <c r="I646" t="s">
        <v>72</v>
      </c>
      <c r="J646" t="s">
        <v>44</v>
      </c>
      <c r="K646">
        <v>29</v>
      </c>
      <c r="L646" s="10" t="str">
        <f>TRIM(IF(Table1[[#This Row],[years_of_experience]]="","Unknown",Table1[[#This Row],[years_of_experience]]))</f>
        <v>29</v>
      </c>
      <c r="M646" t="s">
        <v>64</v>
      </c>
      <c r="N646" t="str">
        <f>IF(Table1[[#This Row],[hourly_rate (USD)]]="",MEDIAN(Table1[hourly_rate (USD)]),Table1[[#This Row],[hourly_rate (USD)]])</f>
        <v>$50</v>
      </c>
      <c r="O646" t="str">
        <f>TRIM(CLEAN(Table1[[#This Row],[Updated hourly_rate (USD)]]))</f>
        <v>$50</v>
      </c>
      <c r="P646" t="str">
        <f>SUBSTITUTE(SUBSTITUTE(Table1[[#This Row],[Formatted hourly rate]],"USD ",""),"$","")</f>
        <v>50</v>
      </c>
      <c r="R646">
        <f>IF(Table1[[#This Row],[rating]]="",2.6,Table1[[#This Row],[rating]])</f>
        <v>2.6</v>
      </c>
      <c r="S646">
        <v>1</v>
      </c>
      <c r="T646" t="str">
        <f>TRIM(CLEAN(Table1[[#This Row],[is_active]]))</f>
        <v>1</v>
      </c>
      <c r="U64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46" s="11" t="str">
        <f>TRIM(IF(Table1[[#This Row],[is_active3]]="Unknown","TRUE",Table1[[#This Row],[is_active3]]))</f>
        <v>TRUE</v>
      </c>
      <c r="W646">
        <v>0.79</v>
      </c>
      <c r="X646">
        <f>IF(Table1[[#This Row],[client_satisfaction]]&gt;1,Table1[[#This Row],[client_satisfaction]]/100,Table1[[#This Row],[client_satisfaction]])</f>
        <v>0.79</v>
      </c>
      <c r="Y646">
        <f>IF(Table1[[#This Row],[client_satisfaction2]]=0,0.75,Table1[[#This Row],[client_satisfaction2]])</f>
        <v>0.79</v>
      </c>
    </row>
    <row r="647" spans="1:25" x14ac:dyDescent="0.25">
      <c r="A647" t="s">
        <v>1372</v>
      </c>
      <c r="B647" t="s">
        <v>1373</v>
      </c>
      <c r="C647" t="str">
        <f>PROPER(TRIM(SUBSTITUTE(SUBSTITUTE(SUBSTITUTE(Table1[[#This Row],[name]],"Ms. ",""),"Mr. ",""),"Mrs. ","")))</f>
        <v>Kenneth Evans</v>
      </c>
      <c r="D647" t="s">
        <v>92</v>
      </c>
      <c r="E6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47">
        <v>24</v>
      </c>
      <c r="G647" t="str">
        <f>TRIM(IF(Table1[[#This Row],[age]]="","Unknown",Table1[[#This Row],[age]]))</f>
        <v>24</v>
      </c>
      <c r="H647" t="s">
        <v>153</v>
      </c>
      <c r="I647" t="s">
        <v>154</v>
      </c>
      <c r="J647" t="s">
        <v>51</v>
      </c>
      <c r="K647">
        <v>2</v>
      </c>
      <c r="L647" s="10" t="str">
        <f>TRIM(IF(Table1[[#This Row],[years_of_experience]]="","Unknown",Table1[[#This Row],[years_of_experience]]))</f>
        <v>2</v>
      </c>
      <c r="M647" t="s">
        <v>229</v>
      </c>
      <c r="N647" t="str">
        <f>IF(Table1[[#This Row],[hourly_rate (USD)]]="",MEDIAN(Table1[hourly_rate (USD)]),Table1[[#This Row],[hourly_rate (USD)]])</f>
        <v>$100</v>
      </c>
      <c r="O647" t="str">
        <f>TRIM(CLEAN(Table1[[#This Row],[Updated hourly_rate (USD)]]))</f>
        <v>$100</v>
      </c>
      <c r="P647" t="str">
        <f>SUBSTITUTE(SUBSTITUTE(Table1[[#This Row],[Formatted hourly rate]],"USD ",""),"$","")</f>
        <v>100</v>
      </c>
      <c r="Q647">
        <v>3.8</v>
      </c>
      <c r="R647">
        <f>IF(Table1[[#This Row],[rating]]="",2.6,Table1[[#This Row],[rating]])</f>
        <v>3.8</v>
      </c>
      <c r="S647">
        <v>1</v>
      </c>
      <c r="T647" t="str">
        <f>TRIM(CLEAN(Table1[[#This Row],[is_active]]))</f>
        <v>1</v>
      </c>
      <c r="U6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47" s="11" t="str">
        <f>TRIM(IF(Table1[[#This Row],[is_active3]]="Unknown","TRUE",Table1[[#This Row],[is_active3]]))</f>
        <v>TRUE</v>
      </c>
      <c r="W647">
        <v>0.71</v>
      </c>
      <c r="X647">
        <f>IF(Table1[[#This Row],[client_satisfaction]]&gt;1,Table1[[#This Row],[client_satisfaction]]/100,Table1[[#This Row],[client_satisfaction]])</f>
        <v>0.71</v>
      </c>
      <c r="Y647">
        <f>IF(Table1[[#This Row],[client_satisfaction2]]=0,0.75,Table1[[#This Row],[client_satisfaction2]])</f>
        <v>0.71</v>
      </c>
    </row>
    <row r="648" spans="1:25" x14ac:dyDescent="0.25">
      <c r="A648" t="s">
        <v>1374</v>
      </c>
      <c r="B648" t="s">
        <v>1375</v>
      </c>
      <c r="C648" t="str">
        <f>PROPER(TRIM(SUBSTITUTE(SUBSTITUTE(SUBSTITUTE(Table1[[#This Row],[name]],"Ms. ",""),"Mr. ",""),"Mrs. ","")))</f>
        <v>Brandon Newman</v>
      </c>
      <c r="D648" t="s">
        <v>27</v>
      </c>
      <c r="E6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648" t="str">
        <f>TRIM(IF(Table1[[#This Row],[age]]="","Unknown",Table1[[#This Row],[age]]))</f>
        <v>Unknown</v>
      </c>
      <c r="H648" t="s">
        <v>93</v>
      </c>
      <c r="I648" t="s">
        <v>94</v>
      </c>
      <c r="J648" t="s">
        <v>78</v>
      </c>
      <c r="K648">
        <v>9</v>
      </c>
      <c r="L648" s="10" t="str">
        <f>TRIM(IF(Table1[[#This Row],[years_of_experience]]="","Unknown",Table1[[#This Row],[years_of_experience]]))</f>
        <v>9</v>
      </c>
      <c r="M648">
        <v>100</v>
      </c>
      <c r="N648">
        <f>IF(Table1[[#This Row],[hourly_rate (USD)]]="",MEDIAN(Table1[hourly_rate (USD)]),Table1[[#This Row],[hourly_rate (USD)]])</f>
        <v>100</v>
      </c>
      <c r="O648" t="str">
        <f>TRIM(CLEAN(Table1[[#This Row],[Updated hourly_rate (USD)]]))</f>
        <v>100</v>
      </c>
      <c r="P648" t="str">
        <f>SUBSTITUTE(SUBSTITUTE(Table1[[#This Row],[Formatted hourly rate]],"USD ",""),"$","")</f>
        <v>100</v>
      </c>
      <c r="Q648">
        <v>4.8</v>
      </c>
      <c r="R648">
        <f>IF(Table1[[#This Row],[rating]]="",2.6,Table1[[#This Row],[rating]])</f>
        <v>4.8</v>
      </c>
      <c r="S648" t="s">
        <v>74</v>
      </c>
      <c r="T648" t="str">
        <f>TRIM(CLEAN(Table1[[#This Row],[is_active]]))</f>
        <v>Y</v>
      </c>
      <c r="U64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48" s="11" t="str">
        <f>TRIM(IF(Table1[[#This Row],[is_active3]]="Unknown","TRUE",Table1[[#This Row],[is_active3]]))</f>
        <v>TRUE</v>
      </c>
      <c r="W648">
        <v>0.72</v>
      </c>
      <c r="X648">
        <f>IF(Table1[[#This Row],[client_satisfaction]]&gt;1,Table1[[#This Row],[client_satisfaction]]/100,Table1[[#This Row],[client_satisfaction]])</f>
        <v>0.72</v>
      </c>
      <c r="Y648">
        <f>IF(Table1[[#This Row],[client_satisfaction2]]=0,0.75,Table1[[#This Row],[client_satisfaction2]])</f>
        <v>0.72</v>
      </c>
    </row>
    <row r="649" spans="1:25" x14ac:dyDescent="0.25">
      <c r="A649" t="s">
        <v>1376</v>
      </c>
      <c r="B649" t="s">
        <v>1377</v>
      </c>
      <c r="C649" t="str">
        <f>PROPER(TRIM(SUBSTITUTE(SUBSTITUTE(SUBSTITUTE(Table1[[#This Row],[name]],"Ms. ",""),"Mr. ",""),"Mrs. ","")))</f>
        <v>Katie Hensley</v>
      </c>
      <c r="D649" t="s">
        <v>20</v>
      </c>
      <c r="E6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49">
        <v>50</v>
      </c>
      <c r="G649" t="str">
        <f>TRIM(IF(Table1[[#This Row],[age]]="","Unknown",Table1[[#This Row],[age]]))</f>
        <v>50</v>
      </c>
      <c r="H649" t="s">
        <v>28</v>
      </c>
      <c r="I649" t="s">
        <v>29</v>
      </c>
      <c r="J649" t="s">
        <v>89</v>
      </c>
      <c r="K649">
        <v>10</v>
      </c>
      <c r="L649" s="10" t="str">
        <f>TRIM(IF(Table1[[#This Row],[years_of_experience]]="","Unknown",Table1[[#This Row],[years_of_experience]]))</f>
        <v>10</v>
      </c>
      <c r="M649" t="s">
        <v>229</v>
      </c>
      <c r="N649" t="str">
        <f>IF(Table1[[#This Row],[hourly_rate (USD)]]="",MEDIAN(Table1[hourly_rate (USD)]),Table1[[#This Row],[hourly_rate (USD)]])</f>
        <v>$100</v>
      </c>
      <c r="O649" t="str">
        <f>TRIM(CLEAN(Table1[[#This Row],[Updated hourly_rate (USD)]]))</f>
        <v>$100</v>
      </c>
      <c r="P649" t="str">
        <f>SUBSTITUTE(SUBSTITUTE(Table1[[#This Row],[Formatted hourly rate]],"USD ",""),"$","")</f>
        <v>100</v>
      </c>
      <c r="Q649">
        <v>4.3</v>
      </c>
      <c r="R649">
        <f>IF(Table1[[#This Row],[rating]]="",2.6,Table1[[#This Row],[rating]])</f>
        <v>4.3</v>
      </c>
      <c r="S649" t="s">
        <v>31</v>
      </c>
      <c r="T649" t="str">
        <f>TRIM(CLEAN(Table1[[#This Row],[is_active]]))</f>
        <v>N</v>
      </c>
      <c r="U6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49" s="11" t="str">
        <f>TRIM(IF(Table1[[#This Row],[is_active3]]="Unknown","TRUE",Table1[[#This Row],[is_active3]]))</f>
        <v>FALSE</v>
      </c>
      <c r="W649">
        <v>0.93</v>
      </c>
      <c r="X649">
        <f>IF(Table1[[#This Row],[client_satisfaction]]&gt;1,Table1[[#This Row],[client_satisfaction]]/100,Table1[[#This Row],[client_satisfaction]])</f>
        <v>0.93</v>
      </c>
      <c r="Y649">
        <f>IF(Table1[[#This Row],[client_satisfaction2]]=0,0.75,Table1[[#This Row],[client_satisfaction2]])</f>
        <v>0.93</v>
      </c>
    </row>
    <row r="650" spans="1:25" x14ac:dyDescent="0.25">
      <c r="A650" t="s">
        <v>1378</v>
      </c>
      <c r="B650" t="s">
        <v>1379</v>
      </c>
      <c r="C650" t="str">
        <f>PROPER(TRIM(SUBSTITUTE(SUBSTITUTE(SUBSTITUTE(Table1[[#This Row],[name]],"Ms. ",""),"Mr. ",""),"Mrs. ","")))</f>
        <v>Joel Randolph</v>
      </c>
      <c r="D650" t="s">
        <v>92</v>
      </c>
      <c r="E6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50">
        <v>46</v>
      </c>
      <c r="G650" t="str">
        <f>TRIM(IF(Table1[[#This Row],[age]]="","Unknown",Table1[[#This Row],[age]]))</f>
        <v>46</v>
      </c>
      <c r="H650" t="s">
        <v>107</v>
      </c>
      <c r="I650" t="s">
        <v>108</v>
      </c>
      <c r="J650" t="s">
        <v>114</v>
      </c>
      <c r="K650">
        <v>20</v>
      </c>
      <c r="L650" s="10" t="str">
        <f>TRIM(IF(Table1[[#This Row],[years_of_experience]]="","Unknown",Table1[[#This Row],[years_of_experience]]))</f>
        <v>20</v>
      </c>
      <c r="N650">
        <f>IF(Table1[[#This Row],[hourly_rate (USD)]]="",MEDIAN(Table1[hourly_rate (USD)]),Table1[[#This Row],[hourly_rate (USD)]])</f>
        <v>50</v>
      </c>
      <c r="O650" t="str">
        <f>TRIM(CLEAN(Table1[[#This Row],[Updated hourly_rate (USD)]]))</f>
        <v>50</v>
      </c>
      <c r="P650" t="str">
        <f>SUBSTITUTE(SUBSTITUTE(Table1[[#This Row],[Formatted hourly rate]],"USD ",""),"$","")</f>
        <v>50</v>
      </c>
      <c r="Q650">
        <v>4.8</v>
      </c>
      <c r="R650">
        <f>IF(Table1[[#This Row],[rating]]="",2.6,Table1[[#This Row],[rating]])</f>
        <v>4.8</v>
      </c>
      <c r="S650">
        <v>1</v>
      </c>
      <c r="T650" t="str">
        <f>TRIM(CLEAN(Table1[[#This Row],[is_active]]))</f>
        <v>1</v>
      </c>
      <c r="U65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50" s="11" t="str">
        <f>TRIM(IF(Table1[[#This Row],[is_active3]]="Unknown","TRUE",Table1[[#This Row],[is_active3]]))</f>
        <v>TRUE</v>
      </c>
      <c r="W650">
        <v>0.82</v>
      </c>
      <c r="X650">
        <f>IF(Table1[[#This Row],[client_satisfaction]]&gt;1,Table1[[#This Row],[client_satisfaction]]/100,Table1[[#This Row],[client_satisfaction]])</f>
        <v>0.82</v>
      </c>
      <c r="Y650">
        <f>IF(Table1[[#This Row],[client_satisfaction2]]=0,0.75,Table1[[#This Row],[client_satisfaction2]])</f>
        <v>0.82</v>
      </c>
    </row>
    <row r="651" spans="1:25" x14ac:dyDescent="0.25">
      <c r="A651" t="s">
        <v>1380</v>
      </c>
      <c r="B651" t="s">
        <v>1381</v>
      </c>
      <c r="C651" t="str">
        <f>PROPER(TRIM(SUBSTITUTE(SUBSTITUTE(SUBSTITUTE(Table1[[#This Row],[name]],"Ms. ",""),"Mr. ",""),"Mrs. ","")))</f>
        <v>Andrew Scott</v>
      </c>
      <c r="D651" t="s">
        <v>27</v>
      </c>
      <c r="E6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51">
        <v>51</v>
      </c>
      <c r="G651" t="str">
        <f>TRIM(IF(Table1[[#This Row],[age]]="","Unknown",Table1[[#This Row],[age]]))</f>
        <v>51</v>
      </c>
      <c r="H651" t="s">
        <v>21</v>
      </c>
      <c r="I651" t="s">
        <v>22</v>
      </c>
      <c r="J651" t="s">
        <v>78</v>
      </c>
      <c r="K651">
        <v>9</v>
      </c>
      <c r="L651" s="10" t="str">
        <f>TRIM(IF(Table1[[#This Row],[years_of_experience]]="","Unknown",Table1[[#This Row],[years_of_experience]]))</f>
        <v>9</v>
      </c>
      <c r="M651" t="s">
        <v>36</v>
      </c>
      <c r="N651" t="str">
        <f>IF(Table1[[#This Row],[hourly_rate (USD)]]="",MEDIAN(Table1[hourly_rate (USD)]),Table1[[#This Row],[hourly_rate (USD)]])</f>
        <v>$40</v>
      </c>
      <c r="O651" t="str">
        <f>TRIM(CLEAN(Table1[[#This Row],[Updated hourly_rate (USD)]]))</f>
        <v>$40</v>
      </c>
      <c r="P651" t="str">
        <f>SUBSTITUTE(SUBSTITUTE(Table1[[#This Row],[Formatted hourly rate]],"USD ",""),"$","")</f>
        <v>40</v>
      </c>
      <c r="R651">
        <f>IF(Table1[[#This Row],[rating]]="",2.6,Table1[[#This Row],[rating]])</f>
        <v>2.6</v>
      </c>
      <c r="S651" t="s">
        <v>31</v>
      </c>
      <c r="T651" t="str">
        <f>TRIM(CLEAN(Table1[[#This Row],[is_active]]))</f>
        <v>N</v>
      </c>
      <c r="U65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51" s="11" t="str">
        <f>TRIM(IF(Table1[[#This Row],[is_active3]]="Unknown","TRUE",Table1[[#This Row],[is_active3]]))</f>
        <v>FALSE</v>
      </c>
      <c r="W651">
        <v>60</v>
      </c>
      <c r="X651">
        <f>IF(Table1[[#This Row],[client_satisfaction]]&gt;1,Table1[[#This Row],[client_satisfaction]]/100,Table1[[#This Row],[client_satisfaction]])</f>
        <v>0.6</v>
      </c>
      <c r="Y651">
        <f>IF(Table1[[#This Row],[client_satisfaction2]]=0,0.75,Table1[[#This Row],[client_satisfaction2]])</f>
        <v>0.6</v>
      </c>
    </row>
    <row r="652" spans="1:25" x14ac:dyDescent="0.25">
      <c r="A652" t="s">
        <v>1382</v>
      </c>
      <c r="B652" t="s">
        <v>1383</v>
      </c>
      <c r="C652" t="str">
        <f>PROPER(TRIM(SUBSTITUTE(SUBSTITUTE(SUBSTITUTE(Table1[[#This Row],[name]],"Ms. ",""),"Mr. ",""),"Mrs. ","")))</f>
        <v>Zachary Ochoa</v>
      </c>
      <c r="D652" t="s">
        <v>61</v>
      </c>
      <c r="E6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52">
        <v>51</v>
      </c>
      <c r="G652" t="str">
        <f>TRIM(IF(Table1[[#This Row],[age]]="","Unknown",Table1[[#This Row],[age]]))</f>
        <v>51</v>
      </c>
      <c r="H652" t="s">
        <v>67</v>
      </c>
      <c r="I652" t="s">
        <v>22</v>
      </c>
      <c r="J652" t="s">
        <v>44</v>
      </c>
      <c r="K652">
        <v>12</v>
      </c>
      <c r="L652" s="10" t="str">
        <f>TRIM(IF(Table1[[#This Row],[years_of_experience]]="","Unknown",Table1[[#This Row],[years_of_experience]]))</f>
        <v>12</v>
      </c>
      <c r="M652">
        <v>20</v>
      </c>
      <c r="N652">
        <f>IF(Table1[[#This Row],[hourly_rate (USD)]]="",MEDIAN(Table1[hourly_rate (USD)]),Table1[[#This Row],[hourly_rate (USD)]])</f>
        <v>20</v>
      </c>
      <c r="O652" t="str">
        <f>TRIM(CLEAN(Table1[[#This Row],[Updated hourly_rate (USD)]]))</f>
        <v>20</v>
      </c>
      <c r="P652" t="str">
        <f>SUBSTITUTE(SUBSTITUTE(Table1[[#This Row],[Formatted hourly rate]],"USD ",""),"$","")</f>
        <v>20</v>
      </c>
      <c r="Q652">
        <v>4</v>
      </c>
      <c r="R652">
        <f>IF(Table1[[#This Row],[rating]]="",2.6,Table1[[#This Row],[rating]])</f>
        <v>4</v>
      </c>
      <c r="S652">
        <v>0</v>
      </c>
      <c r="T652" t="str">
        <f>TRIM(CLEAN(Table1[[#This Row],[is_active]]))</f>
        <v>0</v>
      </c>
      <c r="U65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52" s="11" t="str">
        <f>TRIM(IF(Table1[[#This Row],[is_active3]]="Unknown","TRUE",Table1[[#This Row],[is_active3]]))</f>
        <v>FALSE</v>
      </c>
      <c r="W652">
        <v>93</v>
      </c>
      <c r="X652">
        <f>IF(Table1[[#This Row],[client_satisfaction]]&gt;1,Table1[[#This Row],[client_satisfaction]]/100,Table1[[#This Row],[client_satisfaction]])</f>
        <v>0.93</v>
      </c>
      <c r="Y652">
        <f>IF(Table1[[#This Row],[client_satisfaction2]]=0,0.75,Table1[[#This Row],[client_satisfaction2]])</f>
        <v>0.93</v>
      </c>
    </row>
    <row r="653" spans="1:25" x14ac:dyDescent="0.25">
      <c r="A653" t="s">
        <v>1384</v>
      </c>
      <c r="B653" t="s">
        <v>1385</v>
      </c>
      <c r="C653" t="str">
        <f>PROPER(TRIM(SUBSTITUTE(SUBSTITUTE(SUBSTITUTE(Table1[[#This Row],[name]],"Ms. ",""),"Mr. ",""),"Mrs. ","")))</f>
        <v>John Arroyo</v>
      </c>
      <c r="D653" t="s">
        <v>48</v>
      </c>
      <c r="E6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53">
        <v>27</v>
      </c>
      <c r="G653" t="str">
        <f>TRIM(IF(Table1[[#This Row],[age]]="","Unknown",Table1[[#This Row],[age]]))</f>
        <v>27</v>
      </c>
      <c r="H653" t="s">
        <v>67</v>
      </c>
      <c r="I653" t="s">
        <v>22</v>
      </c>
      <c r="J653" t="s">
        <v>44</v>
      </c>
      <c r="K653">
        <v>3</v>
      </c>
      <c r="L653" s="10" t="str">
        <f>TRIM(IF(Table1[[#This Row],[years_of_experience]]="","Unknown",Table1[[#This Row],[years_of_experience]]))</f>
        <v>3</v>
      </c>
      <c r="M653" t="s">
        <v>98</v>
      </c>
      <c r="N653" t="str">
        <f>IF(Table1[[#This Row],[hourly_rate (USD)]]="",MEDIAN(Table1[hourly_rate (USD)]),Table1[[#This Row],[hourly_rate (USD)]])</f>
        <v>USD 50</v>
      </c>
      <c r="O653" t="str">
        <f>TRIM(CLEAN(Table1[[#This Row],[Updated hourly_rate (USD)]]))</f>
        <v>USD 50</v>
      </c>
      <c r="P653" t="str">
        <f>SUBSTITUTE(SUBSTITUTE(Table1[[#This Row],[Formatted hourly rate]],"USD ",""),"$","")</f>
        <v>50</v>
      </c>
      <c r="R653">
        <f>IF(Table1[[#This Row],[rating]]="",2.6,Table1[[#This Row],[rating]])</f>
        <v>2.6</v>
      </c>
      <c r="S653" t="b">
        <v>0</v>
      </c>
      <c r="T653" t="str">
        <f>TRIM(CLEAN(Table1[[#This Row],[is_active]]))</f>
        <v>FALSE</v>
      </c>
      <c r="U65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53" s="11" t="str">
        <f>TRIM(IF(Table1[[#This Row],[is_active3]]="Unknown","TRUE",Table1[[#This Row],[is_active3]]))</f>
        <v>TRUE</v>
      </c>
      <c r="X653">
        <f>IF(Table1[[#This Row],[client_satisfaction]]&gt;1,Table1[[#This Row],[client_satisfaction]]/100,Table1[[#This Row],[client_satisfaction]])</f>
        <v>0</v>
      </c>
      <c r="Y653">
        <f>IF(Table1[[#This Row],[client_satisfaction2]]=0,0.75,Table1[[#This Row],[client_satisfaction2]])</f>
        <v>0.75</v>
      </c>
    </row>
    <row r="654" spans="1:25" x14ac:dyDescent="0.25">
      <c r="A654" t="s">
        <v>1386</v>
      </c>
      <c r="B654" t="s">
        <v>1387</v>
      </c>
      <c r="C654" t="str">
        <f>PROPER(TRIM(SUBSTITUTE(SUBSTITUTE(SUBSTITUTE(Table1[[#This Row],[name]],"Ms. ",""),"Mr. ",""),"Mrs. ","")))</f>
        <v>Matthew Fernandez</v>
      </c>
      <c r="D654" t="s">
        <v>61</v>
      </c>
      <c r="E6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54">
        <v>42</v>
      </c>
      <c r="G654" t="str">
        <f>TRIM(IF(Table1[[#This Row],[age]]="","Unknown",Table1[[#This Row],[age]]))</f>
        <v>42</v>
      </c>
      <c r="H654" t="s">
        <v>190</v>
      </c>
      <c r="I654" t="s">
        <v>72</v>
      </c>
      <c r="J654" t="s">
        <v>35</v>
      </c>
      <c r="K654">
        <v>13</v>
      </c>
      <c r="L654" s="10" t="str">
        <f>TRIM(IF(Table1[[#This Row],[years_of_experience]]="","Unknown",Table1[[#This Row],[years_of_experience]]))</f>
        <v>13</v>
      </c>
      <c r="M654">
        <v>30</v>
      </c>
      <c r="N654">
        <f>IF(Table1[[#This Row],[hourly_rate (USD)]]="",MEDIAN(Table1[hourly_rate (USD)]),Table1[[#This Row],[hourly_rate (USD)]])</f>
        <v>30</v>
      </c>
      <c r="O654" t="str">
        <f>TRIM(CLEAN(Table1[[#This Row],[Updated hourly_rate (USD)]]))</f>
        <v>30</v>
      </c>
      <c r="P654" t="str">
        <f>SUBSTITUTE(SUBSTITUTE(Table1[[#This Row],[Formatted hourly rate]],"USD ",""),"$","")</f>
        <v>30</v>
      </c>
      <c r="Q654">
        <v>0</v>
      </c>
      <c r="R654">
        <f>IF(Table1[[#This Row],[rating]]="",2.6,Table1[[#This Row],[rating]])</f>
        <v>0</v>
      </c>
      <c r="S654" t="b">
        <v>0</v>
      </c>
      <c r="T654" t="str">
        <f>TRIM(CLEAN(Table1[[#This Row],[is_active]]))</f>
        <v>FALSE</v>
      </c>
      <c r="U65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54" s="11" t="str">
        <f>TRIM(IF(Table1[[#This Row],[is_active3]]="Unknown","TRUE",Table1[[#This Row],[is_active3]]))</f>
        <v>TRUE</v>
      </c>
      <c r="W654">
        <v>0.74</v>
      </c>
      <c r="X654">
        <f>IF(Table1[[#This Row],[client_satisfaction]]&gt;1,Table1[[#This Row],[client_satisfaction]]/100,Table1[[#This Row],[client_satisfaction]])</f>
        <v>0.74</v>
      </c>
      <c r="Y654">
        <f>IF(Table1[[#This Row],[client_satisfaction2]]=0,0.75,Table1[[#This Row],[client_satisfaction2]])</f>
        <v>0.74</v>
      </c>
    </row>
    <row r="655" spans="1:25" x14ac:dyDescent="0.25">
      <c r="A655" t="s">
        <v>1388</v>
      </c>
      <c r="B655" t="s">
        <v>1389</v>
      </c>
      <c r="C655" t="str">
        <f>PROPER(TRIM(SUBSTITUTE(SUBSTITUTE(SUBSTITUTE(Table1[[#This Row],[name]],"Ms. ",""),"Mr. ",""),"Mrs. ","")))</f>
        <v>Benjamin Stark</v>
      </c>
      <c r="D655" t="s">
        <v>61</v>
      </c>
      <c r="E6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55">
        <v>25</v>
      </c>
      <c r="G655" t="str">
        <f>TRIM(IF(Table1[[#This Row],[age]]="","Unknown",Table1[[#This Row],[age]]))</f>
        <v>25</v>
      </c>
      <c r="H655" t="s">
        <v>28</v>
      </c>
      <c r="I655" t="s">
        <v>29</v>
      </c>
      <c r="J655" t="s">
        <v>73</v>
      </c>
      <c r="K655">
        <v>4</v>
      </c>
      <c r="L655" s="10" t="str">
        <f>TRIM(IF(Table1[[#This Row],[years_of_experience]]="","Unknown",Table1[[#This Row],[years_of_experience]]))</f>
        <v>4</v>
      </c>
      <c r="M655" t="s">
        <v>36</v>
      </c>
      <c r="N655" t="str">
        <f>IF(Table1[[#This Row],[hourly_rate (USD)]]="",MEDIAN(Table1[hourly_rate (USD)]),Table1[[#This Row],[hourly_rate (USD)]])</f>
        <v>$40</v>
      </c>
      <c r="O655" t="str">
        <f>TRIM(CLEAN(Table1[[#This Row],[Updated hourly_rate (USD)]]))</f>
        <v>$40</v>
      </c>
      <c r="P655" t="str">
        <f>SUBSTITUTE(SUBSTITUTE(Table1[[#This Row],[Formatted hourly rate]],"USD ",""),"$","")</f>
        <v>40</v>
      </c>
      <c r="Q655">
        <v>2.2999999999999998</v>
      </c>
      <c r="R655">
        <f>IF(Table1[[#This Row],[rating]]="",2.6,Table1[[#This Row],[rating]])</f>
        <v>2.2999999999999998</v>
      </c>
      <c r="S655" t="s">
        <v>68</v>
      </c>
      <c r="T655" t="str">
        <f>TRIM(CLEAN(Table1[[#This Row],[is_active]]))</f>
        <v>yes</v>
      </c>
      <c r="U65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55" s="11" t="str">
        <f>TRIM(IF(Table1[[#This Row],[is_active3]]="Unknown","TRUE",Table1[[#This Row],[is_active3]]))</f>
        <v>TRUE</v>
      </c>
      <c r="W655">
        <v>73</v>
      </c>
      <c r="X655">
        <f>IF(Table1[[#This Row],[client_satisfaction]]&gt;1,Table1[[#This Row],[client_satisfaction]]/100,Table1[[#This Row],[client_satisfaction]])</f>
        <v>0.73</v>
      </c>
      <c r="Y655">
        <f>IF(Table1[[#This Row],[client_satisfaction2]]=0,0.75,Table1[[#This Row],[client_satisfaction2]])</f>
        <v>0.73</v>
      </c>
    </row>
    <row r="656" spans="1:25" x14ac:dyDescent="0.25">
      <c r="A656" t="s">
        <v>1390</v>
      </c>
      <c r="B656" t="s">
        <v>1391</v>
      </c>
      <c r="C656" t="str">
        <f>PROPER(TRIM(SUBSTITUTE(SUBSTITUTE(SUBSTITUTE(Table1[[#This Row],[name]],"Ms. ",""),"Mr. ",""),"Mrs. ","")))</f>
        <v>Tammy Greer</v>
      </c>
      <c r="D656" t="s">
        <v>77</v>
      </c>
      <c r="E6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56">
        <v>32</v>
      </c>
      <c r="G656" t="str">
        <f>TRIM(IF(Table1[[#This Row],[age]]="","Unknown",Table1[[#This Row],[age]]))</f>
        <v>32</v>
      </c>
      <c r="H656" t="s">
        <v>28</v>
      </c>
      <c r="I656" t="s">
        <v>29</v>
      </c>
      <c r="J656" t="s">
        <v>51</v>
      </c>
      <c r="K656">
        <v>9</v>
      </c>
      <c r="L656" s="10" t="str">
        <f>TRIM(IF(Table1[[#This Row],[years_of_experience]]="","Unknown",Table1[[#This Row],[years_of_experience]]))</f>
        <v>9</v>
      </c>
      <c r="M656">
        <v>75</v>
      </c>
      <c r="N656">
        <f>IF(Table1[[#This Row],[hourly_rate (USD)]]="",MEDIAN(Table1[hourly_rate (USD)]),Table1[[#This Row],[hourly_rate (USD)]])</f>
        <v>75</v>
      </c>
      <c r="O656" t="str">
        <f>TRIM(CLEAN(Table1[[#This Row],[Updated hourly_rate (USD)]]))</f>
        <v>75</v>
      </c>
      <c r="P656" t="str">
        <f>SUBSTITUTE(SUBSTITUTE(Table1[[#This Row],[Formatted hourly rate]],"USD ",""),"$","")</f>
        <v>75</v>
      </c>
      <c r="R656">
        <f>IF(Table1[[#This Row],[rating]]="",2.6,Table1[[#This Row],[rating]])</f>
        <v>2.6</v>
      </c>
      <c r="S656" t="s">
        <v>31</v>
      </c>
      <c r="T656" t="str">
        <f>TRIM(CLEAN(Table1[[#This Row],[is_active]]))</f>
        <v>N</v>
      </c>
      <c r="U65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56" s="11" t="str">
        <f>TRIM(IF(Table1[[#This Row],[is_active3]]="Unknown","TRUE",Table1[[#This Row],[is_active3]]))</f>
        <v>FALSE</v>
      </c>
      <c r="W656">
        <v>0.96</v>
      </c>
      <c r="X656">
        <f>IF(Table1[[#This Row],[client_satisfaction]]&gt;1,Table1[[#This Row],[client_satisfaction]]/100,Table1[[#This Row],[client_satisfaction]])</f>
        <v>0.96</v>
      </c>
      <c r="Y656">
        <f>IF(Table1[[#This Row],[client_satisfaction2]]=0,0.75,Table1[[#This Row],[client_satisfaction2]])</f>
        <v>0.96</v>
      </c>
    </row>
    <row r="657" spans="1:25" x14ac:dyDescent="0.25">
      <c r="A657" t="s">
        <v>1392</v>
      </c>
      <c r="B657" t="s">
        <v>1393</v>
      </c>
      <c r="C657" t="str">
        <f>PROPER(TRIM(SUBSTITUTE(SUBSTITUTE(SUBSTITUTE(Table1[[#This Row],[name]],"Ms. ",""),"Mr. ",""),"Mrs. ","")))</f>
        <v>Cynthia Mckinney</v>
      </c>
      <c r="D657" t="s">
        <v>39</v>
      </c>
      <c r="E6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57">
        <v>59</v>
      </c>
      <c r="G657" t="str">
        <f>TRIM(IF(Table1[[#This Row],[age]]="","Unknown",Table1[[#This Row],[age]]))</f>
        <v>59</v>
      </c>
      <c r="H657" t="s">
        <v>128</v>
      </c>
      <c r="I657" t="s">
        <v>22</v>
      </c>
      <c r="J657" t="s">
        <v>30</v>
      </c>
      <c r="K657">
        <v>14</v>
      </c>
      <c r="L657" s="10" t="str">
        <f>TRIM(IF(Table1[[#This Row],[years_of_experience]]="","Unknown",Table1[[#This Row],[years_of_experience]]))</f>
        <v>14</v>
      </c>
      <c r="M657">
        <v>30</v>
      </c>
      <c r="N657">
        <f>IF(Table1[[#This Row],[hourly_rate (USD)]]="",MEDIAN(Table1[hourly_rate (USD)]),Table1[[#This Row],[hourly_rate (USD)]])</f>
        <v>30</v>
      </c>
      <c r="O657" t="str">
        <f>TRIM(CLEAN(Table1[[#This Row],[Updated hourly_rate (USD)]]))</f>
        <v>30</v>
      </c>
      <c r="P657" t="str">
        <f>SUBSTITUTE(SUBSTITUTE(Table1[[#This Row],[Formatted hourly rate]],"USD ",""),"$","")</f>
        <v>30</v>
      </c>
      <c r="Q657">
        <v>3.8</v>
      </c>
      <c r="R657">
        <f>IF(Table1[[#This Row],[rating]]="",2.6,Table1[[#This Row],[rating]])</f>
        <v>3.8</v>
      </c>
      <c r="T657" t="str">
        <f>TRIM(CLEAN(Table1[[#This Row],[is_active]]))</f>
        <v/>
      </c>
      <c r="U65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57" s="11" t="str">
        <f>TRIM(IF(Table1[[#This Row],[is_active3]]="Unknown","TRUE",Table1[[#This Row],[is_active3]]))</f>
        <v>TRUE</v>
      </c>
      <c r="W657">
        <v>0.66</v>
      </c>
      <c r="X657">
        <f>IF(Table1[[#This Row],[client_satisfaction]]&gt;1,Table1[[#This Row],[client_satisfaction]]/100,Table1[[#This Row],[client_satisfaction]])</f>
        <v>0.66</v>
      </c>
      <c r="Y657">
        <f>IF(Table1[[#This Row],[client_satisfaction2]]=0,0.75,Table1[[#This Row],[client_satisfaction2]])</f>
        <v>0.66</v>
      </c>
    </row>
    <row r="658" spans="1:25" x14ac:dyDescent="0.25">
      <c r="A658" t="s">
        <v>1394</v>
      </c>
      <c r="B658" t="s">
        <v>1395</v>
      </c>
      <c r="C658" t="str">
        <f>PROPER(TRIM(SUBSTITUTE(SUBSTITUTE(SUBSTITUTE(Table1[[#This Row],[name]],"Ms. ",""),"Mr. ",""),"Mrs. ","")))</f>
        <v>Wendy Rice</v>
      </c>
      <c r="D658" t="s">
        <v>20</v>
      </c>
      <c r="E6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58">
        <v>59</v>
      </c>
      <c r="G658" t="str">
        <f>TRIM(IF(Table1[[#This Row],[age]]="","Unknown",Table1[[#This Row],[age]]))</f>
        <v>59</v>
      </c>
      <c r="H658" t="s">
        <v>135</v>
      </c>
      <c r="I658" t="s">
        <v>136</v>
      </c>
      <c r="J658" t="s">
        <v>78</v>
      </c>
      <c r="K658">
        <v>37</v>
      </c>
      <c r="L658" s="10" t="str">
        <f>TRIM(IF(Table1[[#This Row],[years_of_experience]]="","Unknown",Table1[[#This Row],[years_of_experience]]))</f>
        <v>37</v>
      </c>
      <c r="M658">
        <v>30</v>
      </c>
      <c r="N658">
        <f>IF(Table1[[#This Row],[hourly_rate (USD)]]="",MEDIAN(Table1[hourly_rate (USD)]),Table1[[#This Row],[hourly_rate (USD)]])</f>
        <v>30</v>
      </c>
      <c r="O658" t="str">
        <f>TRIM(CLEAN(Table1[[#This Row],[Updated hourly_rate (USD)]]))</f>
        <v>30</v>
      </c>
      <c r="P658" t="str">
        <f>SUBSTITUTE(SUBSTITUTE(Table1[[#This Row],[Formatted hourly rate]],"USD ",""),"$","")</f>
        <v>30</v>
      </c>
      <c r="Q658">
        <v>4</v>
      </c>
      <c r="R658">
        <f>IF(Table1[[#This Row],[rating]]="",2.6,Table1[[#This Row],[rating]])</f>
        <v>4</v>
      </c>
      <c r="S658" t="b">
        <v>0</v>
      </c>
      <c r="T658" t="str">
        <f>TRIM(CLEAN(Table1[[#This Row],[is_active]]))</f>
        <v>FALSE</v>
      </c>
      <c r="U65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58" s="11" t="str">
        <f>TRIM(IF(Table1[[#This Row],[is_active3]]="Unknown","TRUE",Table1[[#This Row],[is_active3]]))</f>
        <v>TRUE</v>
      </c>
      <c r="W658">
        <v>0.62</v>
      </c>
      <c r="X658">
        <f>IF(Table1[[#This Row],[client_satisfaction]]&gt;1,Table1[[#This Row],[client_satisfaction]]/100,Table1[[#This Row],[client_satisfaction]])</f>
        <v>0.62</v>
      </c>
      <c r="Y658">
        <f>IF(Table1[[#This Row],[client_satisfaction2]]=0,0.75,Table1[[#This Row],[client_satisfaction2]])</f>
        <v>0.62</v>
      </c>
    </row>
    <row r="659" spans="1:25" x14ac:dyDescent="0.25">
      <c r="A659" t="s">
        <v>1396</v>
      </c>
      <c r="B659" t="s">
        <v>1397</v>
      </c>
      <c r="C659" t="str">
        <f>PROPER(TRIM(SUBSTITUTE(SUBSTITUTE(SUBSTITUTE(Table1[[#This Row],[name]],"Ms. ",""),"Mr. ",""),"Mrs. ","")))</f>
        <v>Randy Bender</v>
      </c>
      <c r="D659" t="s">
        <v>97</v>
      </c>
      <c r="E6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59">
        <v>29</v>
      </c>
      <c r="G659" t="str">
        <f>TRIM(IF(Table1[[#This Row],[age]]="","Unknown",Table1[[#This Row],[age]]))</f>
        <v>29</v>
      </c>
      <c r="H659" t="s">
        <v>28</v>
      </c>
      <c r="I659" t="s">
        <v>29</v>
      </c>
      <c r="J659" t="s">
        <v>30</v>
      </c>
      <c r="K659">
        <v>2</v>
      </c>
      <c r="L659" s="10" t="str">
        <f>TRIM(IF(Table1[[#This Row],[years_of_experience]]="","Unknown",Table1[[#This Row],[years_of_experience]]))</f>
        <v>2</v>
      </c>
      <c r="M659" t="s">
        <v>52</v>
      </c>
      <c r="N659" t="str">
        <f>IF(Table1[[#This Row],[hourly_rate (USD)]]="",MEDIAN(Table1[hourly_rate (USD)]),Table1[[#This Row],[hourly_rate (USD)]])</f>
        <v>USD 75</v>
      </c>
      <c r="O659" t="str">
        <f>TRIM(CLEAN(Table1[[#This Row],[Updated hourly_rate (USD)]]))</f>
        <v>USD 75</v>
      </c>
      <c r="P659" t="str">
        <f>SUBSTITUTE(SUBSTITUTE(Table1[[#This Row],[Formatted hourly rate]],"USD ",""),"$","")</f>
        <v>75</v>
      </c>
      <c r="Q659">
        <v>2.2000000000000002</v>
      </c>
      <c r="R659">
        <f>IF(Table1[[#This Row],[rating]]="",2.6,Table1[[#This Row],[rating]])</f>
        <v>2.2000000000000002</v>
      </c>
      <c r="S659" t="s">
        <v>74</v>
      </c>
      <c r="T659" t="str">
        <f>TRIM(CLEAN(Table1[[#This Row],[is_active]]))</f>
        <v>Y</v>
      </c>
      <c r="U6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59" s="11" t="str">
        <f>TRIM(IF(Table1[[#This Row],[is_active3]]="Unknown","TRUE",Table1[[#This Row],[is_active3]]))</f>
        <v>TRUE</v>
      </c>
      <c r="W659">
        <v>0.85</v>
      </c>
      <c r="X659">
        <f>IF(Table1[[#This Row],[client_satisfaction]]&gt;1,Table1[[#This Row],[client_satisfaction]]/100,Table1[[#This Row],[client_satisfaction]])</f>
        <v>0.85</v>
      </c>
      <c r="Y659">
        <f>IF(Table1[[#This Row],[client_satisfaction2]]=0,0.75,Table1[[#This Row],[client_satisfaction2]])</f>
        <v>0.85</v>
      </c>
    </row>
    <row r="660" spans="1:25" x14ac:dyDescent="0.25">
      <c r="A660" t="s">
        <v>1398</v>
      </c>
      <c r="B660" t="s">
        <v>1399</v>
      </c>
      <c r="C660" t="str">
        <f>PROPER(TRIM(SUBSTITUTE(SUBSTITUTE(SUBSTITUTE(Table1[[#This Row],[name]],"Ms. ",""),"Mr. ",""),"Mrs. ","")))</f>
        <v>Richard Dominguez</v>
      </c>
      <c r="D660" t="s">
        <v>61</v>
      </c>
      <c r="E6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60">
        <v>58</v>
      </c>
      <c r="G660" t="str">
        <f>TRIM(IF(Table1[[#This Row],[age]]="","Unknown",Table1[[#This Row],[age]]))</f>
        <v>58</v>
      </c>
      <c r="H660" t="s">
        <v>175</v>
      </c>
      <c r="I660" t="s">
        <v>176</v>
      </c>
      <c r="J660" t="s">
        <v>44</v>
      </c>
      <c r="K660">
        <v>11</v>
      </c>
      <c r="L660" s="10" t="str">
        <f>TRIM(IF(Table1[[#This Row],[years_of_experience]]="","Unknown",Table1[[#This Row],[years_of_experience]]))</f>
        <v>11</v>
      </c>
      <c r="M660">
        <v>100</v>
      </c>
      <c r="N660">
        <f>IF(Table1[[#This Row],[hourly_rate (USD)]]="",MEDIAN(Table1[hourly_rate (USD)]),Table1[[#This Row],[hourly_rate (USD)]])</f>
        <v>100</v>
      </c>
      <c r="O660" t="str">
        <f>TRIM(CLEAN(Table1[[#This Row],[Updated hourly_rate (USD)]]))</f>
        <v>100</v>
      </c>
      <c r="P660" t="str">
        <f>SUBSTITUTE(SUBSTITUTE(Table1[[#This Row],[Formatted hourly rate]],"USD ",""),"$","")</f>
        <v>100</v>
      </c>
      <c r="Q660">
        <v>4.3</v>
      </c>
      <c r="R660">
        <f>IF(Table1[[#This Row],[rating]]="",2.6,Table1[[#This Row],[rating]])</f>
        <v>4.3</v>
      </c>
      <c r="S660">
        <v>0</v>
      </c>
      <c r="T660" t="str">
        <f>TRIM(CLEAN(Table1[[#This Row],[is_active]]))</f>
        <v>0</v>
      </c>
      <c r="U66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60" s="11" t="str">
        <f>TRIM(IF(Table1[[#This Row],[is_active3]]="Unknown","TRUE",Table1[[#This Row],[is_active3]]))</f>
        <v>FALSE</v>
      </c>
      <c r="W660">
        <v>0.66</v>
      </c>
      <c r="X660">
        <f>IF(Table1[[#This Row],[client_satisfaction]]&gt;1,Table1[[#This Row],[client_satisfaction]]/100,Table1[[#This Row],[client_satisfaction]])</f>
        <v>0.66</v>
      </c>
      <c r="Y660">
        <f>IF(Table1[[#This Row],[client_satisfaction2]]=0,0.75,Table1[[#This Row],[client_satisfaction2]])</f>
        <v>0.66</v>
      </c>
    </row>
    <row r="661" spans="1:25" x14ac:dyDescent="0.25">
      <c r="A661" t="s">
        <v>1400</v>
      </c>
      <c r="B661" t="s">
        <v>1401</v>
      </c>
      <c r="C661" t="str">
        <f>PROPER(TRIM(SUBSTITUTE(SUBSTITUTE(SUBSTITUTE(Table1[[#This Row],[name]],"Ms. ",""),"Mr. ",""),"Mrs. ","")))</f>
        <v>Melissa Maldonado</v>
      </c>
      <c r="D661" t="s">
        <v>14</v>
      </c>
      <c r="E6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61">
        <v>56</v>
      </c>
      <c r="G661" t="str">
        <f>TRIM(IF(Table1[[#This Row],[age]]="","Unknown",Table1[[#This Row],[age]]))</f>
        <v>56</v>
      </c>
      <c r="H661" t="s">
        <v>128</v>
      </c>
      <c r="I661" t="s">
        <v>22</v>
      </c>
      <c r="J661" t="s">
        <v>78</v>
      </c>
      <c r="K661">
        <v>19</v>
      </c>
      <c r="L661" s="10" t="str">
        <f>TRIM(IF(Table1[[#This Row],[years_of_experience]]="","Unknown",Table1[[#This Row],[years_of_experience]]))</f>
        <v>19</v>
      </c>
      <c r="M661">
        <v>20</v>
      </c>
      <c r="N661">
        <f>IF(Table1[[#This Row],[hourly_rate (USD)]]="",MEDIAN(Table1[hourly_rate (USD)]),Table1[[#This Row],[hourly_rate (USD)]])</f>
        <v>20</v>
      </c>
      <c r="O661" t="str">
        <f>TRIM(CLEAN(Table1[[#This Row],[Updated hourly_rate (USD)]]))</f>
        <v>20</v>
      </c>
      <c r="P661" t="str">
        <f>SUBSTITUTE(SUBSTITUTE(Table1[[#This Row],[Formatted hourly rate]],"USD ",""),"$","")</f>
        <v>20</v>
      </c>
      <c r="Q661">
        <v>0</v>
      </c>
      <c r="R661">
        <f>IF(Table1[[#This Row],[rating]]="",2.6,Table1[[#This Row],[rating]])</f>
        <v>0</v>
      </c>
      <c r="S661">
        <v>0</v>
      </c>
      <c r="T661" t="str">
        <f>TRIM(CLEAN(Table1[[#This Row],[is_active]]))</f>
        <v>0</v>
      </c>
      <c r="U66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61" s="11" t="str">
        <f>TRIM(IF(Table1[[#This Row],[is_active3]]="Unknown","TRUE",Table1[[#This Row],[is_active3]]))</f>
        <v>FALSE</v>
      </c>
      <c r="W661">
        <v>0.87</v>
      </c>
      <c r="X661">
        <f>IF(Table1[[#This Row],[client_satisfaction]]&gt;1,Table1[[#This Row],[client_satisfaction]]/100,Table1[[#This Row],[client_satisfaction]])</f>
        <v>0.87</v>
      </c>
      <c r="Y661">
        <f>IF(Table1[[#This Row],[client_satisfaction2]]=0,0.75,Table1[[#This Row],[client_satisfaction2]])</f>
        <v>0.87</v>
      </c>
    </row>
    <row r="662" spans="1:25" x14ac:dyDescent="0.25">
      <c r="A662" t="s">
        <v>1402</v>
      </c>
      <c r="B662" t="s">
        <v>1403</v>
      </c>
      <c r="C662" t="str">
        <f>PROPER(TRIM(SUBSTITUTE(SUBSTITUTE(SUBSTITUTE(Table1[[#This Row],[name]],"Ms. ",""),"Mr. ",""),"Mrs. ","")))</f>
        <v>Leah Harris</v>
      </c>
      <c r="D662" t="s">
        <v>34</v>
      </c>
      <c r="E6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62">
        <v>36</v>
      </c>
      <c r="G662" t="str">
        <f>TRIM(IF(Table1[[#This Row],[age]]="","Unknown",Table1[[#This Row],[age]]))</f>
        <v>36</v>
      </c>
      <c r="H662" t="s">
        <v>58</v>
      </c>
      <c r="I662" t="s">
        <v>22</v>
      </c>
      <c r="J662" t="s">
        <v>114</v>
      </c>
      <c r="K662">
        <v>9</v>
      </c>
      <c r="L662" s="10" t="str">
        <f>TRIM(IF(Table1[[#This Row],[years_of_experience]]="","Unknown",Table1[[#This Row],[years_of_experience]]))</f>
        <v>9</v>
      </c>
      <c r="M662">
        <v>20</v>
      </c>
      <c r="N662">
        <f>IF(Table1[[#This Row],[hourly_rate (USD)]]="",MEDIAN(Table1[hourly_rate (USD)]),Table1[[#This Row],[hourly_rate (USD)]])</f>
        <v>20</v>
      </c>
      <c r="O662" t="str">
        <f>TRIM(CLEAN(Table1[[#This Row],[Updated hourly_rate (USD)]]))</f>
        <v>20</v>
      </c>
      <c r="P662" t="str">
        <f>SUBSTITUTE(SUBSTITUTE(Table1[[#This Row],[Formatted hourly rate]],"USD ",""),"$","")</f>
        <v>20</v>
      </c>
      <c r="Q662">
        <v>0</v>
      </c>
      <c r="R662">
        <f>IF(Table1[[#This Row],[rating]]="",2.6,Table1[[#This Row],[rating]])</f>
        <v>0</v>
      </c>
      <c r="S662">
        <v>1</v>
      </c>
      <c r="T662" t="str">
        <f>TRIM(CLEAN(Table1[[#This Row],[is_active]]))</f>
        <v>1</v>
      </c>
      <c r="U66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62" s="11" t="str">
        <f>TRIM(IF(Table1[[#This Row],[is_active3]]="Unknown","TRUE",Table1[[#This Row],[is_active3]]))</f>
        <v>TRUE</v>
      </c>
      <c r="W662">
        <v>68</v>
      </c>
      <c r="X662">
        <f>IF(Table1[[#This Row],[client_satisfaction]]&gt;1,Table1[[#This Row],[client_satisfaction]]/100,Table1[[#This Row],[client_satisfaction]])</f>
        <v>0.68</v>
      </c>
      <c r="Y662">
        <f>IF(Table1[[#This Row],[client_satisfaction2]]=0,0.75,Table1[[#This Row],[client_satisfaction2]])</f>
        <v>0.68</v>
      </c>
    </row>
    <row r="663" spans="1:25" x14ac:dyDescent="0.25">
      <c r="A663" t="s">
        <v>1404</v>
      </c>
      <c r="B663" t="s">
        <v>1405</v>
      </c>
      <c r="C663" t="str">
        <f>PROPER(TRIM(SUBSTITUTE(SUBSTITUTE(SUBSTITUTE(Table1[[#This Row],[name]],"Ms. ",""),"Mr. ",""),"Mrs. ","")))</f>
        <v>Lynn French</v>
      </c>
      <c r="D663" t="s">
        <v>77</v>
      </c>
      <c r="E6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63">
        <v>52</v>
      </c>
      <c r="G663" t="str">
        <f>TRIM(IF(Table1[[#This Row],[age]]="","Unknown",Table1[[#This Row],[age]]))</f>
        <v>52</v>
      </c>
      <c r="H663" t="s">
        <v>128</v>
      </c>
      <c r="I663" t="s">
        <v>22</v>
      </c>
      <c r="J663" t="s">
        <v>73</v>
      </c>
      <c r="K663">
        <v>16</v>
      </c>
      <c r="L663" s="10" t="str">
        <f>TRIM(IF(Table1[[#This Row],[years_of_experience]]="","Unknown",Table1[[#This Row],[years_of_experience]]))</f>
        <v>16</v>
      </c>
      <c r="M663">
        <v>100</v>
      </c>
      <c r="N663">
        <f>IF(Table1[[#This Row],[hourly_rate (USD)]]="",MEDIAN(Table1[hourly_rate (USD)]),Table1[[#This Row],[hourly_rate (USD)]])</f>
        <v>100</v>
      </c>
      <c r="O663" t="str">
        <f>TRIM(CLEAN(Table1[[#This Row],[Updated hourly_rate (USD)]]))</f>
        <v>100</v>
      </c>
      <c r="P663" t="str">
        <f>SUBSTITUTE(SUBSTITUTE(Table1[[#This Row],[Formatted hourly rate]],"USD ",""),"$","")</f>
        <v>100</v>
      </c>
      <c r="Q663">
        <v>4</v>
      </c>
      <c r="R663">
        <f>IF(Table1[[#This Row],[rating]]="",2.6,Table1[[#This Row],[rating]])</f>
        <v>4</v>
      </c>
      <c r="S663">
        <v>1</v>
      </c>
      <c r="T663" t="str">
        <f>TRIM(CLEAN(Table1[[#This Row],[is_active]]))</f>
        <v>1</v>
      </c>
      <c r="U6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63" s="11" t="str">
        <f>TRIM(IF(Table1[[#This Row],[is_active3]]="Unknown","TRUE",Table1[[#This Row],[is_active3]]))</f>
        <v>TRUE</v>
      </c>
      <c r="X663">
        <f>IF(Table1[[#This Row],[client_satisfaction]]&gt;1,Table1[[#This Row],[client_satisfaction]]/100,Table1[[#This Row],[client_satisfaction]])</f>
        <v>0</v>
      </c>
      <c r="Y663">
        <f>IF(Table1[[#This Row],[client_satisfaction2]]=0,0.75,Table1[[#This Row],[client_satisfaction2]])</f>
        <v>0.75</v>
      </c>
    </row>
    <row r="664" spans="1:25" x14ac:dyDescent="0.25">
      <c r="A664" t="s">
        <v>1406</v>
      </c>
      <c r="B664" t="s">
        <v>1407</v>
      </c>
      <c r="C664" t="str">
        <f>PROPER(TRIM(SUBSTITUTE(SUBSTITUTE(SUBSTITUTE(Table1[[#This Row],[name]],"Ms. ",""),"Mr. ",""),"Mrs. ","")))</f>
        <v>Angela Johnson</v>
      </c>
      <c r="D664" t="s">
        <v>77</v>
      </c>
      <c r="E6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64">
        <v>42</v>
      </c>
      <c r="G664" t="str">
        <f>TRIM(IF(Table1[[#This Row],[age]]="","Unknown",Table1[[#This Row],[age]]))</f>
        <v>42</v>
      </c>
      <c r="H664" t="s">
        <v>42</v>
      </c>
      <c r="I664" t="s">
        <v>43</v>
      </c>
      <c r="J664" t="s">
        <v>23</v>
      </c>
      <c r="K664">
        <v>8</v>
      </c>
      <c r="L664" s="10" t="str">
        <f>TRIM(IF(Table1[[#This Row],[years_of_experience]]="","Unknown",Table1[[#This Row],[years_of_experience]]))</f>
        <v>8</v>
      </c>
      <c r="M664" t="s">
        <v>98</v>
      </c>
      <c r="N664" t="str">
        <f>IF(Table1[[#This Row],[hourly_rate (USD)]]="",MEDIAN(Table1[hourly_rate (USD)]),Table1[[#This Row],[hourly_rate (USD)]])</f>
        <v>USD 50</v>
      </c>
      <c r="O664" t="str">
        <f>TRIM(CLEAN(Table1[[#This Row],[Updated hourly_rate (USD)]]))</f>
        <v>USD 50</v>
      </c>
      <c r="P664" t="str">
        <f>SUBSTITUTE(SUBSTITUTE(Table1[[#This Row],[Formatted hourly rate]],"USD ",""),"$","")</f>
        <v>50</v>
      </c>
      <c r="R664">
        <f>IF(Table1[[#This Row],[rating]]="",2.6,Table1[[#This Row],[rating]])</f>
        <v>2.6</v>
      </c>
      <c r="T664" t="str">
        <f>TRIM(CLEAN(Table1[[#This Row],[is_active]]))</f>
        <v/>
      </c>
      <c r="U66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64" s="11" t="str">
        <f>TRIM(IF(Table1[[#This Row],[is_active3]]="Unknown","TRUE",Table1[[#This Row],[is_active3]]))</f>
        <v>TRUE</v>
      </c>
      <c r="X664">
        <f>IF(Table1[[#This Row],[client_satisfaction]]&gt;1,Table1[[#This Row],[client_satisfaction]]/100,Table1[[#This Row],[client_satisfaction]])</f>
        <v>0</v>
      </c>
      <c r="Y664">
        <f>IF(Table1[[#This Row],[client_satisfaction2]]=0,0.75,Table1[[#This Row],[client_satisfaction2]])</f>
        <v>0.75</v>
      </c>
    </row>
    <row r="665" spans="1:25" x14ac:dyDescent="0.25">
      <c r="A665" t="s">
        <v>1408</v>
      </c>
      <c r="B665" t="s">
        <v>1409</v>
      </c>
      <c r="C665" t="str">
        <f>PROPER(TRIM(SUBSTITUTE(SUBSTITUTE(SUBSTITUTE(Table1[[#This Row],[name]],"Ms. ",""),"Mr. ",""),"Mrs. ","")))</f>
        <v>Sarah Edwards</v>
      </c>
      <c r="D665" t="s">
        <v>20</v>
      </c>
      <c r="E6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65">
        <v>59</v>
      </c>
      <c r="G665" t="str">
        <f>TRIM(IF(Table1[[#This Row],[age]]="","Unknown",Table1[[#This Row],[age]]))</f>
        <v>59</v>
      </c>
      <c r="H665" t="s">
        <v>93</v>
      </c>
      <c r="I665" t="s">
        <v>94</v>
      </c>
      <c r="J665" t="s">
        <v>23</v>
      </c>
      <c r="K665">
        <v>34</v>
      </c>
      <c r="L665" s="10" t="str">
        <f>TRIM(IF(Table1[[#This Row],[years_of_experience]]="","Unknown",Table1[[#This Row],[years_of_experience]]))</f>
        <v>34</v>
      </c>
      <c r="M665">
        <v>100</v>
      </c>
      <c r="N665">
        <f>IF(Table1[[#This Row],[hourly_rate (USD)]]="",MEDIAN(Table1[hourly_rate (USD)]),Table1[[#This Row],[hourly_rate (USD)]])</f>
        <v>100</v>
      </c>
      <c r="O665" t="str">
        <f>TRIM(CLEAN(Table1[[#This Row],[Updated hourly_rate (USD)]]))</f>
        <v>100</v>
      </c>
      <c r="P665" t="str">
        <f>SUBSTITUTE(SUBSTITUTE(Table1[[#This Row],[Formatted hourly rate]],"USD ",""),"$","")</f>
        <v>100</v>
      </c>
      <c r="Q665">
        <v>2</v>
      </c>
      <c r="R665">
        <f>IF(Table1[[#This Row],[rating]]="",2.6,Table1[[#This Row],[rating]])</f>
        <v>2</v>
      </c>
      <c r="S665">
        <v>1</v>
      </c>
      <c r="T665" t="str">
        <f>TRIM(CLEAN(Table1[[#This Row],[is_active]]))</f>
        <v>1</v>
      </c>
      <c r="U6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65" s="11" t="str">
        <f>TRIM(IF(Table1[[#This Row],[is_active3]]="Unknown","TRUE",Table1[[#This Row],[is_active3]]))</f>
        <v>TRUE</v>
      </c>
      <c r="W665">
        <v>0.79</v>
      </c>
      <c r="X665">
        <f>IF(Table1[[#This Row],[client_satisfaction]]&gt;1,Table1[[#This Row],[client_satisfaction]]/100,Table1[[#This Row],[client_satisfaction]])</f>
        <v>0.79</v>
      </c>
      <c r="Y665">
        <f>IF(Table1[[#This Row],[client_satisfaction2]]=0,0.75,Table1[[#This Row],[client_satisfaction2]])</f>
        <v>0.79</v>
      </c>
    </row>
    <row r="666" spans="1:25" x14ac:dyDescent="0.25">
      <c r="A666" t="s">
        <v>1410</v>
      </c>
      <c r="B666" t="s">
        <v>1411</v>
      </c>
      <c r="C666" t="str">
        <f>PROPER(TRIM(SUBSTITUTE(SUBSTITUTE(SUBSTITUTE(Table1[[#This Row],[name]],"Ms. ",""),"Mr. ",""),"Mrs. ","")))</f>
        <v>Roy Collins</v>
      </c>
      <c r="D666" t="s">
        <v>27</v>
      </c>
      <c r="E6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66">
        <v>33</v>
      </c>
      <c r="G666" t="str">
        <f>TRIM(IF(Table1[[#This Row],[age]]="","Unknown",Table1[[#This Row],[age]]))</f>
        <v>33</v>
      </c>
      <c r="H666" t="s">
        <v>42</v>
      </c>
      <c r="I666" t="s">
        <v>43</v>
      </c>
      <c r="J666" t="s">
        <v>23</v>
      </c>
      <c r="K666">
        <v>5</v>
      </c>
      <c r="L666" s="10" t="str">
        <f>TRIM(IF(Table1[[#This Row],[years_of_experience]]="","Unknown",Table1[[#This Row],[years_of_experience]]))</f>
        <v>5</v>
      </c>
      <c r="M666" t="s">
        <v>64</v>
      </c>
      <c r="N666" t="str">
        <f>IF(Table1[[#This Row],[hourly_rate (USD)]]="",MEDIAN(Table1[hourly_rate (USD)]),Table1[[#This Row],[hourly_rate (USD)]])</f>
        <v>$50</v>
      </c>
      <c r="O666" t="str">
        <f>TRIM(CLEAN(Table1[[#This Row],[Updated hourly_rate (USD)]]))</f>
        <v>$50</v>
      </c>
      <c r="P666" t="str">
        <f>SUBSTITUTE(SUBSTITUTE(Table1[[#This Row],[Formatted hourly rate]],"USD ",""),"$","")</f>
        <v>50</v>
      </c>
      <c r="Q666">
        <v>4.7</v>
      </c>
      <c r="R666">
        <f>IF(Table1[[#This Row],[rating]]="",2.6,Table1[[#This Row],[rating]])</f>
        <v>4.7</v>
      </c>
      <c r="S666">
        <v>1</v>
      </c>
      <c r="T666" t="str">
        <f>TRIM(CLEAN(Table1[[#This Row],[is_active]]))</f>
        <v>1</v>
      </c>
      <c r="U66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66" s="11" t="str">
        <f>TRIM(IF(Table1[[#This Row],[is_active3]]="Unknown","TRUE",Table1[[#This Row],[is_active3]]))</f>
        <v>TRUE</v>
      </c>
      <c r="W666">
        <v>0.88</v>
      </c>
      <c r="X666">
        <f>IF(Table1[[#This Row],[client_satisfaction]]&gt;1,Table1[[#This Row],[client_satisfaction]]/100,Table1[[#This Row],[client_satisfaction]])</f>
        <v>0.88</v>
      </c>
      <c r="Y666">
        <f>IF(Table1[[#This Row],[client_satisfaction2]]=0,0.75,Table1[[#This Row],[client_satisfaction2]])</f>
        <v>0.88</v>
      </c>
    </row>
    <row r="667" spans="1:25" x14ac:dyDescent="0.25">
      <c r="A667" t="s">
        <v>1412</v>
      </c>
      <c r="B667" t="s">
        <v>1413</v>
      </c>
      <c r="C667" t="str">
        <f>PROPER(TRIM(SUBSTITUTE(SUBSTITUTE(SUBSTITUTE(Table1[[#This Row],[name]],"Ms. ",""),"Mr. ",""),"Mrs. ","")))</f>
        <v>Samantha Porter</v>
      </c>
      <c r="D667" t="s">
        <v>34</v>
      </c>
      <c r="E6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67">
        <v>55</v>
      </c>
      <c r="G667" t="str">
        <f>TRIM(IF(Table1[[#This Row],[age]]="","Unknown",Table1[[#This Row],[age]]))</f>
        <v>55</v>
      </c>
      <c r="H667" t="s">
        <v>128</v>
      </c>
      <c r="I667" t="s">
        <v>22</v>
      </c>
      <c r="J667" t="s">
        <v>35</v>
      </c>
      <c r="K667">
        <v>14</v>
      </c>
      <c r="L667" s="10" t="str">
        <f>TRIM(IF(Table1[[#This Row],[years_of_experience]]="","Unknown",Table1[[#This Row],[years_of_experience]]))</f>
        <v>14</v>
      </c>
      <c r="M667" t="s">
        <v>98</v>
      </c>
      <c r="N667" t="str">
        <f>IF(Table1[[#This Row],[hourly_rate (USD)]]="",MEDIAN(Table1[hourly_rate (USD)]),Table1[[#This Row],[hourly_rate (USD)]])</f>
        <v>USD 50</v>
      </c>
      <c r="O667" t="str">
        <f>TRIM(CLEAN(Table1[[#This Row],[Updated hourly_rate (USD)]]))</f>
        <v>USD 50</v>
      </c>
      <c r="P667" t="str">
        <f>SUBSTITUTE(SUBSTITUTE(Table1[[#This Row],[Formatted hourly rate]],"USD ",""),"$","")</f>
        <v>50</v>
      </c>
      <c r="Q667">
        <v>3.6</v>
      </c>
      <c r="R667">
        <f>IF(Table1[[#This Row],[rating]]="",2.6,Table1[[#This Row],[rating]])</f>
        <v>3.6</v>
      </c>
      <c r="S667">
        <v>1</v>
      </c>
      <c r="T667" t="str">
        <f>TRIM(CLEAN(Table1[[#This Row],[is_active]]))</f>
        <v>1</v>
      </c>
      <c r="U66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67" s="11" t="str">
        <f>TRIM(IF(Table1[[#This Row],[is_active3]]="Unknown","TRUE",Table1[[#This Row],[is_active3]]))</f>
        <v>TRUE</v>
      </c>
      <c r="W667">
        <v>0.81</v>
      </c>
      <c r="X667">
        <f>IF(Table1[[#This Row],[client_satisfaction]]&gt;1,Table1[[#This Row],[client_satisfaction]]/100,Table1[[#This Row],[client_satisfaction]])</f>
        <v>0.81</v>
      </c>
      <c r="Y667">
        <f>IF(Table1[[#This Row],[client_satisfaction2]]=0,0.75,Table1[[#This Row],[client_satisfaction2]])</f>
        <v>0.81</v>
      </c>
    </row>
    <row r="668" spans="1:25" x14ac:dyDescent="0.25">
      <c r="A668" t="s">
        <v>1414</v>
      </c>
      <c r="B668" t="s">
        <v>1415</v>
      </c>
      <c r="C668" t="str">
        <f>PROPER(TRIM(SUBSTITUTE(SUBSTITUTE(SUBSTITUTE(Table1[[#This Row],[name]],"Ms. ",""),"Mr. ",""),"Mrs. ","")))</f>
        <v>Juan Elliott</v>
      </c>
      <c r="D668" t="s">
        <v>27</v>
      </c>
      <c r="E6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68">
        <v>47</v>
      </c>
      <c r="G668" t="str">
        <f>TRIM(IF(Table1[[#This Row],[age]]="","Unknown",Table1[[#This Row],[age]]))</f>
        <v>47</v>
      </c>
      <c r="H668" t="s">
        <v>112</v>
      </c>
      <c r="I668" t="s">
        <v>113</v>
      </c>
      <c r="J668" t="s">
        <v>73</v>
      </c>
      <c r="K668">
        <v>17</v>
      </c>
      <c r="L668" s="10" t="str">
        <f>TRIM(IF(Table1[[#This Row],[years_of_experience]]="","Unknown",Table1[[#This Row],[years_of_experience]]))</f>
        <v>17</v>
      </c>
      <c r="M668">
        <v>50</v>
      </c>
      <c r="N668">
        <f>IF(Table1[[#This Row],[hourly_rate (USD)]]="",MEDIAN(Table1[hourly_rate (USD)]),Table1[[#This Row],[hourly_rate (USD)]])</f>
        <v>50</v>
      </c>
      <c r="O668" t="str">
        <f>TRIM(CLEAN(Table1[[#This Row],[Updated hourly_rate (USD)]]))</f>
        <v>50</v>
      </c>
      <c r="P668" t="str">
        <f>SUBSTITUTE(SUBSTITUTE(Table1[[#This Row],[Formatted hourly rate]],"USD ",""),"$","")</f>
        <v>50</v>
      </c>
      <c r="Q668">
        <v>1.2</v>
      </c>
      <c r="R668">
        <f>IF(Table1[[#This Row],[rating]]="",2.6,Table1[[#This Row],[rating]])</f>
        <v>1.2</v>
      </c>
      <c r="S668" t="s">
        <v>31</v>
      </c>
      <c r="T668" t="str">
        <f>TRIM(CLEAN(Table1[[#This Row],[is_active]]))</f>
        <v>N</v>
      </c>
      <c r="U66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68" s="11" t="str">
        <f>TRIM(IF(Table1[[#This Row],[is_active3]]="Unknown","TRUE",Table1[[#This Row],[is_active3]]))</f>
        <v>FALSE</v>
      </c>
      <c r="X668">
        <f>IF(Table1[[#This Row],[client_satisfaction]]&gt;1,Table1[[#This Row],[client_satisfaction]]/100,Table1[[#This Row],[client_satisfaction]])</f>
        <v>0</v>
      </c>
      <c r="Y668">
        <f>IF(Table1[[#This Row],[client_satisfaction2]]=0,0.75,Table1[[#This Row],[client_satisfaction2]])</f>
        <v>0.75</v>
      </c>
    </row>
    <row r="669" spans="1:25" x14ac:dyDescent="0.25">
      <c r="A669" t="s">
        <v>1416</v>
      </c>
      <c r="B669" t="s">
        <v>1417</v>
      </c>
      <c r="C669" t="str">
        <f>PROPER(TRIM(SUBSTITUTE(SUBSTITUTE(SUBSTITUTE(Table1[[#This Row],[name]],"Ms. ",""),"Mr. ",""),"Mrs. ","")))</f>
        <v>Elizabeth Phillips</v>
      </c>
      <c r="D669" t="s">
        <v>20</v>
      </c>
      <c r="E6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69">
        <v>29</v>
      </c>
      <c r="G669" t="str">
        <f>TRIM(IF(Table1[[#This Row],[age]]="","Unknown",Table1[[#This Row],[age]]))</f>
        <v>29</v>
      </c>
      <c r="H669" t="s">
        <v>179</v>
      </c>
      <c r="I669" t="s">
        <v>72</v>
      </c>
      <c r="J669" t="s">
        <v>44</v>
      </c>
      <c r="K669">
        <v>10</v>
      </c>
      <c r="L669" s="10" t="str">
        <f>TRIM(IF(Table1[[#This Row],[years_of_experience]]="","Unknown",Table1[[#This Row],[years_of_experience]]))</f>
        <v>10</v>
      </c>
      <c r="N669">
        <f>IF(Table1[[#This Row],[hourly_rate (USD)]]="",MEDIAN(Table1[hourly_rate (USD)]),Table1[[#This Row],[hourly_rate (USD)]])</f>
        <v>50</v>
      </c>
      <c r="O669" t="str">
        <f>TRIM(CLEAN(Table1[[#This Row],[Updated hourly_rate (USD)]]))</f>
        <v>50</v>
      </c>
      <c r="P669" t="str">
        <f>SUBSTITUTE(SUBSTITUTE(Table1[[#This Row],[Formatted hourly rate]],"USD ",""),"$","")</f>
        <v>50</v>
      </c>
      <c r="Q669">
        <v>4.4000000000000004</v>
      </c>
      <c r="R669">
        <f>IF(Table1[[#This Row],[rating]]="",2.6,Table1[[#This Row],[rating]])</f>
        <v>4.4000000000000004</v>
      </c>
      <c r="S669" t="s">
        <v>74</v>
      </c>
      <c r="T669" t="str">
        <f>TRIM(CLEAN(Table1[[#This Row],[is_active]]))</f>
        <v>Y</v>
      </c>
      <c r="U66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69" s="11" t="str">
        <f>TRIM(IF(Table1[[#This Row],[is_active3]]="Unknown","TRUE",Table1[[#This Row],[is_active3]]))</f>
        <v>TRUE</v>
      </c>
      <c r="W669">
        <v>0.67</v>
      </c>
      <c r="X669">
        <f>IF(Table1[[#This Row],[client_satisfaction]]&gt;1,Table1[[#This Row],[client_satisfaction]]/100,Table1[[#This Row],[client_satisfaction]])</f>
        <v>0.67</v>
      </c>
      <c r="Y669">
        <f>IF(Table1[[#This Row],[client_satisfaction2]]=0,0.75,Table1[[#This Row],[client_satisfaction2]])</f>
        <v>0.67</v>
      </c>
    </row>
    <row r="670" spans="1:25" x14ac:dyDescent="0.25">
      <c r="A670" t="s">
        <v>1418</v>
      </c>
      <c r="B670" t="s">
        <v>1419</v>
      </c>
      <c r="C670" t="str">
        <f>PROPER(TRIM(SUBSTITUTE(SUBSTITUTE(SUBSTITUTE(Table1[[#This Row],[name]],"Ms. ",""),"Mr. ",""),"Mrs. ","")))</f>
        <v>Laura Evans</v>
      </c>
      <c r="D670" t="s">
        <v>77</v>
      </c>
      <c r="E6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70">
        <v>30</v>
      </c>
      <c r="G670" t="str">
        <f>TRIM(IF(Table1[[#This Row],[age]]="","Unknown",Table1[[#This Row],[age]]))</f>
        <v>30</v>
      </c>
      <c r="H670" t="s">
        <v>67</v>
      </c>
      <c r="I670" t="s">
        <v>22</v>
      </c>
      <c r="J670" t="s">
        <v>89</v>
      </c>
      <c r="K670">
        <v>8</v>
      </c>
      <c r="L670" s="10" t="str">
        <f>TRIM(IF(Table1[[#This Row],[years_of_experience]]="","Unknown",Table1[[#This Row],[years_of_experience]]))</f>
        <v>8</v>
      </c>
      <c r="M670">
        <v>100</v>
      </c>
      <c r="N670">
        <f>IF(Table1[[#This Row],[hourly_rate (USD)]]="",MEDIAN(Table1[hourly_rate (USD)]),Table1[[#This Row],[hourly_rate (USD)]])</f>
        <v>100</v>
      </c>
      <c r="O670" t="str">
        <f>TRIM(CLEAN(Table1[[#This Row],[Updated hourly_rate (USD)]]))</f>
        <v>100</v>
      </c>
      <c r="P670" t="str">
        <f>SUBSTITUTE(SUBSTITUTE(Table1[[#This Row],[Formatted hourly rate]],"USD ",""),"$","")</f>
        <v>100</v>
      </c>
      <c r="Q670">
        <v>1.4</v>
      </c>
      <c r="R670">
        <f>IF(Table1[[#This Row],[rating]]="",2.6,Table1[[#This Row],[rating]])</f>
        <v>1.4</v>
      </c>
      <c r="S670" t="s">
        <v>68</v>
      </c>
      <c r="T670" t="str">
        <f>TRIM(CLEAN(Table1[[#This Row],[is_active]]))</f>
        <v>yes</v>
      </c>
      <c r="U67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70" s="11" t="str">
        <f>TRIM(IF(Table1[[#This Row],[is_active3]]="Unknown","TRUE",Table1[[#This Row],[is_active3]]))</f>
        <v>TRUE</v>
      </c>
      <c r="W670">
        <v>62</v>
      </c>
      <c r="X670">
        <f>IF(Table1[[#This Row],[client_satisfaction]]&gt;1,Table1[[#This Row],[client_satisfaction]]/100,Table1[[#This Row],[client_satisfaction]])</f>
        <v>0.62</v>
      </c>
      <c r="Y670">
        <f>IF(Table1[[#This Row],[client_satisfaction2]]=0,0.75,Table1[[#This Row],[client_satisfaction2]])</f>
        <v>0.62</v>
      </c>
    </row>
    <row r="671" spans="1:25" x14ac:dyDescent="0.25">
      <c r="A671" t="s">
        <v>1420</v>
      </c>
      <c r="B671" t="s">
        <v>1421</v>
      </c>
      <c r="C671" t="str">
        <f>PROPER(TRIM(SUBSTITUTE(SUBSTITUTE(SUBSTITUTE(Table1[[#This Row],[name]],"Ms. ",""),"Mr. ",""),"Mrs. ","")))</f>
        <v>Amanda Mitchell</v>
      </c>
      <c r="D671" t="s">
        <v>20</v>
      </c>
      <c r="E6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71">
        <v>25</v>
      </c>
      <c r="G671" t="str">
        <f>TRIM(IF(Table1[[#This Row],[age]]="","Unknown",Table1[[#This Row],[age]]))</f>
        <v>25</v>
      </c>
      <c r="H671" t="s">
        <v>128</v>
      </c>
      <c r="I671" t="s">
        <v>22</v>
      </c>
      <c r="J671" t="s">
        <v>89</v>
      </c>
      <c r="K671">
        <v>1</v>
      </c>
      <c r="L671" s="10" t="str">
        <f>TRIM(IF(Table1[[#This Row],[years_of_experience]]="","Unknown",Table1[[#This Row],[years_of_experience]]))</f>
        <v>1</v>
      </c>
      <c r="M671" t="s">
        <v>109</v>
      </c>
      <c r="N671" t="str">
        <f>IF(Table1[[#This Row],[hourly_rate (USD)]]="",MEDIAN(Table1[hourly_rate (USD)]),Table1[[#This Row],[hourly_rate (USD)]])</f>
        <v>USD 30</v>
      </c>
      <c r="O671" t="str">
        <f>TRIM(CLEAN(Table1[[#This Row],[Updated hourly_rate (USD)]]))</f>
        <v>USD 30</v>
      </c>
      <c r="P671" t="str">
        <f>SUBSTITUTE(SUBSTITUTE(Table1[[#This Row],[Formatted hourly rate]],"USD ",""),"$","")</f>
        <v>30</v>
      </c>
      <c r="Q671">
        <v>3.2</v>
      </c>
      <c r="R671">
        <f>IF(Table1[[#This Row],[rating]]="",2.6,Table1[[#This Row],[rating]])</f>
        <v>3.2</v>
      </c>
      <c r="S671">
        <v>0</v>
      </c>
      <c r="T671" t="str">
        <f>TRIM(CLEAN(Table1[[#This Row],[is_active]]))</f>
        <v>0</v>
      </c>
      <c r="U6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71" s="11" t="str">
        <f>TRIM(IF(Table1[[#This Row],[is_active3]]="Unknown","TRUE",Table1[[#This Row],[is_active3]]))</f>
        <v>FALSE</v>
      </c>
      <c r="W671">
        <v>0.87</v>
      </c>
      <c r="X671">
        <f>IF(Table1[[#This Row],[client_satisfaction]]&gt;1,Table1[[#This Row],[client_satisfaction]]/100,Table1[[#This Row],[client_satisfaction]])</f>
        <v>0.87</v>
      </c>
      <c r="Y671">
        <f>IF(Table1[[#This Row],[client_satisfaction2]]=0,0.75,Table1[[#This Row],[client_satisfaction2]])</f>
        <v>0.87</v>
      </c>
    </row>
    <row r="672" spans="1:25" x14ac:dyDescent="0.25">
      <c r="A672" t="s">
        <v>1422</v>
      </c>
      <c r="B672" t="s">
        <v>1423</v>
      </c>
      <c r="C672" t="str">
        <f>PROPER(TRIM(SUBSTITUTE(SUBSTITUTE(SUBSTITUTE(Table1[[#This Row],[name]],"Ms. ",""),"Mr. ",""),"Mrs. ","")))</f>
        <v>Sandra Williams</v>
      </c>
      <c r="D672" t="s">
        <v>39</v>
      </c>
      <c r="E6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72">
        <v>28</v>
      </c>
      <c r="G672" t="str">
        <f>TRIM(IF(Table1[[#This Row],[age]]="","Unknown",Table1[[#This Row],[age]]))</f>
        <v>28</v>
      </c>
      <c r="H672" t="s">
        <v>139</v>
      </c>
      <c r="I672" t="s">
        <v>140</v>
      </c>
      <c r="J672" t="s">
        <v>78</v>
      </c>
      <c r="K672">
        <v>10</v>
      </c>
      <c r="L672" s="10" t="str">
        <f>TRIM(IF(Table1[[#This Row],[years_of_experience]]="","Unknown",Table1[[#This Row],[years_of_experience]]))</f>
        <v>10</v>
      </c>
      <c r="N672">
        <f>IF(Table1[[#This Row],[hourly_rate (USD)]]="",MEDIAN(Table1[hourly_rate (USD)]),Table1[[#This Row],[hourly_rate (USD)]])</f>
        <v>50</v>
      </c>
      <c r="O672" t="str">
        <f>TRIM(CLEAN(Table1[[#This Row],[Updated hourly_rate (USD)]]))</f>
        <v>50</v>
      </c>
      <c r="P672" t="str">
        <f>SUBSTITUTE(SUBSTITUTE(Table1[[#This Row],[Formatted hourly rate]],"USD ",""),"$","")</f>
        <v>50</v>
      </c>
      <c r="Q672">
        <v>3.8</v>
      </c>
      <c r="R672">
        <f>IF(Table1[[#This Row],[rating]]="",2.6,Table1[[#This Row],[rating]])</f>
        <v>3.8</v>
      </c>
      <c r="S672" t="s">
        <v>68</v>
      </c>
      <c r="T672" t="str">
        <f>TRIM(CLEAN(Table1[[#This Row],[is_active]]))</f>
        <v>yes</v>
      </c>
      <c r="U67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72" s="11" t="str">
        <f>TRIM(IF(Table1[[#This Row],[is_active3]]="Unknown","TRUE",Table1[[#This Row],[is_active3]]))</f>
        <v>TRUE</v>
      </c>
      <c r="W672">
        <v>0.98</v>
      </c>
      <c r="X672">
        <f>IF(Table1[[#This Row],[client_satisfaction]]&gt;1,Table1[[#This Row],[client_satisfaction]]/100,Table1[[#This Row],[client_satisfaction]])</f>
        <v>0.98</v>
      </c>
      <c r="Y672">
        <f>IF(Table1[[#This Row],[client_satisfaction2]]=0,0.75,Table1[[#This Row],[client_satisfaction2]])</f>
        <v>0.98</v>
      </c>
    </row>
    <row r="673" spans="1:25" x14ac:dyDescent="0.25">
      <c r="A673" t="s">
        <v>1424</v>
      </c>
      <c r="B673" t="s">
        <v>1425</v>
      </c>
      <c r="C673" t="str">
        <f>PROPER(TRIM(SUBSTITUTE(SUBSTITUTE(SUBSTITUTE(Table1[[#This Row],[name]],"Ms. ",""),"Mr. ",""),"Mrs. ","")))</f>
        <v>Eric Johnson</v>
      </c>
      <c r="D673" t="s">
        <v>27</v>
      </c>
      <c r="E6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73">
        <v>29</v>
      </c>
      <c r="G673" t="str">
        <f>TRIM(IF(Table1[[#This Row],[age]]="","Unknown",Table1[[#This Row],[age]]))</f>
        <v>29</v>
      </c>
      <c r="H673" t="s">
        <v>112</v>
      </c>
      <c r="I673" t="s">
        <v>113</v>
      </c>
      <c r="J673" t="s">
        <v>17</v>
      </c>
      <c r="K673">
        <v>0</v>
      </c>
      <c r="L673" s="10" t="str">
        <f>TRIM(IF(Table1[[#This Row],[years_of_experience]]="","Unknown",Table1[[#This Row],[years_of_experience]]))</f>
        <v>0</v>
      </c>
      <c r="M673" t="s">
        <v>170</v>
      </c>
      <c r="N673" t="str">
        <f>IF(Table1[[#This Row],[hourly_rate (USD)]]="",MEDIAN(Table1[hourly_rate (USD)]),Table1[[#This Row],[hourly_rate (USD)]])</f>
        <v>$75</v>
      </c>
      <c r="O673" t="str">
        <f>TRIM(CLEAN(Table1[[#This Row],[Updated hourly_rate (USD)]]))</f>
        <v>$75</v>
      </c>
      <c r="P673" t="str">
        <f>SUBSTITUTE(SUBSTITUTE(Table1[[#This Row],[Formatted hourly rate]],"USD ",""),"$","")</f>
        <v>75</v>
      </c>
      <c r="Q673">
        <v>1.5</v>
      </c>
      <c r="R673">
        <f>IF(Table1[[#This Row],[rating]]="",2.6,Table1[[#This Row],[rating]])</f>
        <v>1.5</v>
      </c>
      <c r="S673" t="b">
        <v>1</v>
      </c>
      <c r="T673" t="str">
        <f>TRIM(CLEAN(Table1[[#This Row],[is_active]]))</f>
        <v>TRUE</v>
      </c>
      <c r="U67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73" s="11" t="str">
        <f>TRIM(IF(Table1[[#This Row],[is_active3]]="Unknown","TRUE",Table1[[#This Row],[is_active3]]))</f>
        <v>TRUE</v>
      </c>
      <c r="W673">
        <v>0.64</v>
      </c>
      <c r="X673">
        <f>IF(Table1[[#This Row],[client_satisfaction]]&gt;1,Table1[[#This Row],[client_satisfaction]]/100,Table1[[#This Row],[client_satisfaction]])</f>
        <v>0.64</v>
      </c>
      <c r="Y673">
        <f>IF(Table1[[#This Row],[client_satisfaction2]]=0,0.75,Table1[[#This Row],[client_satisfaction2]])</f>
        <v>0.64</v>
      </c>
    </row>
    <row r="674" spans="1:25" x14ac:dyDescent="0.25">
      <c r="A674" t="s">
        <v>1426</v>
      </c>
      <c r="B674" t="s">
        <v>1427</v>
      </c>
      <c r="C674" t="str">
        <f>PROPER(TRIM(SUBSTITUTE(SUBSTITUTE(SUBSTITUTE(Table1[[#This Row],[name]],"Ms. ",""),"Mr. ",""),"Mrs. ","")))</f>
        <v>Javier Hobbs</v>
      </c>
      <c r="D674" t="s">
        <v>97</v>
      </c>
      <c r="E6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74">
        <v>30</v>
      </c>
      <c r="G674" t="str">
        <f>TRIM(IF(Table1[[#This Row],[age]]="","Unknown",Table1[[#This Row],[age]]))</f>
        <v>30</v>
      </c>
      <c r="H674" t="s">
        <v>190</v>
      </c>
      <c r="I674" t="s">
        <v>72</v>
      </c>
      <c r="J674" t="s">
        <v>30</v>
      </c>
      <c r="K674">
        <v>4</v>
      </c>
      <c r="L674" s="10" t="str">
        <f>TRIM(IF(Table1[[#This Row],[years_of_experience]]="","Unknown",Table1[[#This Row],[years_of_experience]]))</f>
        <v>4</v>
      </c>
      <c r="N674">
        <f>IF(Table1[[#This Row],[hourly_rate (USD)]]="",MEDIAN(Table1[hourly_rate (USD)]),Table1[[#This Row],[hourly_rate (USD)]])</f>
        <v>50</v>
      </c>
      <c r="O674" t="str">
        <f>TRIM(CLEAN(Table1[[#This Row],[Updated hourly_rate (USD)]]))</f>
        <v>50</v>
      </c>
      <c r="P674" t="str">
        <f>SUBSTITUTE(SUBSTITUTE(Table1[[#This Row],[Formatted hourly rate]],"USD ",""),"$","")</f>
        <v>50</v>
      </c>
      <c r="Q674">
        <v>2.8</v>
      </c>
      <c r="R674">
        <f>IF(Table1[[#This Row],[rating]]="",2.6,Table1[[#This Row],[rating]])</f>
        <v>2.8</v>
      </c>
      <c r="S674">
        <v>1</v>
      </c>
      <c r="T674" t="str">
        <f>TRIM(CLEAN(Table1[[#This Row],[is_active]]))</f>
        <v>1</v>
      </c>
      <c r="U67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74" s="11" t="str">
        <f>TRIM(IF(Table1[[#This Row],[is_active3]]="Unknown","TRUE",Table1[[#This Row],[is_active3]]))</f>
        <v>TRUE</v>
      </c>
      <c r="W674">
        <v>0.71</v>
      </c>
      <c r="X674">
        <f>IF(Table1[[#This Row],[client_satisfaction]]&gt;1,Table1[[#This Row],[client_satisfaction]]/100,Table1[[#This Row],[client_satisfaction]])</f>
        <v>0.71</v>
      </c>
      <c r="Y674">
        <f>IF(Table1[[#This Row],[client_satisfaction2]]=0,0.75,Table1[[#This Row],[client_satisfaction2]])</f>
        <v>0.71</v>
      </c>
    </row>
    <row r="675" spans="1:25" x14ac:dyDescent="0.25">
      <c r="A675" t="s">
        <v>1428</v>
      </c>
      <c r="B675" t="s">
        <v>1429</v>
      </c>
      <c r="C675" t="str">
        <f>PROPER(TRIM(SUBSTITUTE(SUBSTITUTE(SUBSTITUTE(Table1[[#This Row],[name]],"Ms. ",""),"Mr. ",""),"Mrs. ","")))</f>
        <v>Jacob Jones</v>
      </c>
      <c r="D675" t="s">
        <v>27</v>
      </c>
      <c r="E6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75">
        <v>47</v>
      </c>
      <c r="G675" t="str">
        <f>TRIM(IF(Table1[[#This Row],[age]]="","Unknown",Table1[[#This Row],[age]]))</f>
        <v>47</v>
      </c>
      <c r="H675" t="s">
        <v>139</v>
      </c>
      <c r="I675" t="s">
        <v>140</v>
      </c>
      <c r="J675" t="s">
        <v>44</v>
      </c>
      <c r="K675">
        <v>2</v>
      </c>
      <c r="L675" s="10" t="str">
        <f>TRIM(IF(Table1[[#This Row],[years_of_experience]]="","Unknown",Table1[[#This Row],[years_of_experience]]))</f>
        <v>2</v>
      </c>
      <c r="M675">
        <v>50</v>
      </c>
      <c r="N675">
        <f>IF(Table1[[#This Row],[hourly_rate (USD)]]="",MEDIAN(Table1[hourly_rate (USD)]),Table1[[#This Row],[hourly_rate (USD)]])</f>
        <v>50</v>
      </c>
      <c r="O675" t="str">
        <f>TRIM(CLEAN(Table1[[#This Row],[Updated hourly_rate (USD)]]))</f>
        <v>50</v>
      </c>
      <c r="P675" t="str">
        <f>SUBSTITUTE(SUBSTITUTE(Table1[[#This Row],[Formatted hourly rate]],"USD ",""),"$","")</f>
        <v>50</v>
      </c>
      <c r="Q675">
        <v>2.7</v>
      </c>
      <c r="R675">
        <f>IF(Table1[[#This Row],[rating]]="",2.6,Table1[[#This Row],[rating]])</f>
        <v>2.7</v>
      </c>
      <c r="S675" t="s">
        <v>159</v>
      </c>
      <c r="T675" t="str">
        <f>TRIM(CLEAN(Table1[[#This Row],[is_active]]))</f>
        <v>no</v>
      </c>
      <c r="U67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75" s="11" t="str">
        <f>TRIM(IF(Table1[[#This Row],[is_active3]]="Unknown","TRUE",Table1[[#This Row],[is_active3]]))</f>
        <v>FALSE</v>
      </c>
      <c r="W675">
        <v>96</v>
      </c>
      <c r="X675">
        <f>IF(Table1[[#This Row],[client_satisfaction]]&gt;1,Table1[[#This Row],[client_satisfaction]]/100,Table1[[#This Row],[client_satisfaction]])</f>
        <v>0.96</v>
      </c>
      <c r="Y675">
        <f>IF(Table1[[#This Row],[client_satisfaction2]]=0,0.75,Table1[[#This Row],[client_satisfaction2]])</f>
        <v>0.96</v>
      </c>
    </row>
    <row r="676" spans="1:25" x14ac:dyDescent="0.25">
      <c r="A676" t="s">
        <v>1430</v>
      </c>
      <c r="B676" t="s">
        <v>1431</v>
      </c>
      <c r="C676" t="str">
        <f>PROPER(TRIM(SUBSTITUTE(SUBSTITUTE(SUBSTITUTE(Table1[[#This Row],[name]],"Ms. ",""),"Mr. ",""),"Mrs. ","")))</f>
        <v>Zachary Murphy</v>
      </c>
      <c r="D676" t="s">
        <v>61</v>
      </c>
      <c r="E6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76">
        <v>34</v>
      </c>
      <c r="G676" t="str">
        <f>TRIM(IF(Table1[[#This Row],[age]]="","Unknown",Table1[[#This Row],[age]]))</f>
        <v>34</v>
      </c>
      <c r="H676" t="s">
        <v>21</v>
      </c>
      <c r="I676" t="s">
        <v>22</v>
      </c>
      <c r="J676" t="s">
        <v>17</v>
      </c>
      <c r="K676">
        <v>10</v>
      </c>
      <c r="L676" s="10" t="str">
        <f>TRIM(IF(Table1[[#This Row],[years_of_experience]]="","Unknown",Table1[[#This Row],[years_of_experience]]))</f>
        <v>10</v>
      </c>
      <c r="M676" t="s">
        <v>45</v>
      </c>
      <c r="N676" t="str">
        <f>IF(Table1[[#This Row],[hourly_rate (USD)]]="",MEDIAN(Table1[hourly_rate (USD)]),Table1[[#This Row],[hourly_rate (USD)]])</f>
        <v>$30</v>
      </c>
      <c r="O676" t="str">
        <f>TRIM(CLEAN(Table1[[#This Row],[Updated hourly_rate (USD)]]))</f>
        <v>$30</v>
      </c>
      <c r="P676" t="str">
        <f>SUBSTITUTE(SUBSTITUTE(Table1[[#This Row],[Formatted hourly rate]],"USD ",""),"$","")</f>
        <v>30</v>
      </c>
      <c r="Q676">
        <v>3.9</v>
      </c>
      <c r="R676">
        <f>IF(Table1[[#This Row],[rating]]="",2.6,Table1[[#This Row],[rating]])</f>
        <v>3.9</v>
      </c>
      <c r="T676" t="str">
        <f>TRIM(CLEAN(Table1[[#This Row],[is_active]]))</f>
        <v/>
      </c>
      <c r="U67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76" s="11" t="str">
        <f>TRIM(IF(Table1[[#This Row],[is_active3]]="Unknown","TRUE",Table1[[#This Row],[is_active3]]))</f>
        <v>TRUE</v>
      </c>
      <c r="X676">
        <f>IF(Table1[[#This Row],[client_satisfaction]]&gt;1,Table1[[#This Row],[client_satisfaction]]/100,Table1[[#This Row],[client_satisfaction]])</f>
        <v>0</v>
      </c>
      <c r="Y676">
        <f>IF(Table1[[#This Row],[client_satisfaction2]]=0,0.75,Table1[[#This Row],[client_satisfaction2]])</f>
        <v>0.75</v>
      </c>
    </row>
    <row r="677" spans="1:25" x14ac:dyDescent="0.25">
      <c r="A677" t="s">
        <v>1432</v>
      </c>
      <c r="B677" t="s">
        <v>1433</v>
      </c>
      <c r="C677" t="str">
        <f>PROPER(TRIM(SUBSTITUTE(SUBSTITUTE(SUBSTITUTE(Table1[[#This Row],[name]],"Ms. ",""),"Mr. ",""),"Mrs. ","")))</f>
        <v>Joshua Owens</v>
      </c>
      <c r="D677" t="s">
        <v>92</v>
      </c>
      <c r="E6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77">
        <v>45</v>
      </c>
      <c r="G677" t="str">
        <f>TRIM(IF(Table1[[#This Row],[age]]="","Unknown",Table1[[#This Row],[age]]))</f>
        <v>45</v>
      </c>
      <c r="H677" t="s">
        <v>58</v>
      </c>
      <c r="I677" t="s">
        <v>22</v>
      </c>
      <c r="J677" t="s">
        <v>30</v>
      </c>
      <c r="K677">
        <v>16</v>
      </c>
      <c r="L677" s="10" t="str">
        <f>TRIM(IF(Table1[[#This Row],[years_of_experience]]="","Unknown",Table1[[#This Row],[years_of_experience]]))</f>
        <v>16</v>
      </c>
      <c r="M677">
        <v>100</v>
      </c>
      <c r="N677">
        <f>IF(Table1[[#This Row],[hourly_rate (USD)]]="",MEDIAN(Table1[hourly_rate (USD)]),Table1[[#This Row],[hourly_rate (USD)]])</f>
        <v>100</v>
      </c>
      <c r="O677" t="str">
        <f>TRIM(CLEAN(Table1[[#This Row],[Updated hourly_rate (USD)]]))</f>
        <v>100</v>
      </c>
      <c r="P677" t="str">
        <f>SUBSTITUTE(SUBSTITUTE(Table1[[#This Row],[Formatted hourly rate]],"USD ",""),"$","")</f>
        <v>100</v>
      </c>
      <c r="Q677">
        <v>4.5999999999999996</v>
      </c>
      <c r="R677">
        <f>IF(Table1[[#This Row],[rating]]="",2.6,Table1[[#This Row],[rating]])</f>
        <v>4.5999999999999996</v>
      </c>
      <c r="S677" t="s">
        <v>31</v>
      </c>
      <c r="T677" t="str">
        <f>TRIM(CLEAN(Table1[[#This Row],[is_active]]))</f>
        <v>N</v>
      </c>
      <c r="U67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77" s="11" t="str">
        <f>TRIM(IF(Table1[[#This Row],[is_active3]]="Unknown","TRUE",Table1[[#This Row],[is_active3]]))</f>
        <v>FALSE</v>
      </c>
      <c r="W677">
        <v>0.78</v>
      </c>
      <c r="X677">
        <f>IF(Table1[[#This Row],[client_satisfaction]]&gt;1,Table1[[#This Row],[client_satisfaction]]/100,Table1[[#This Row],[client_satisfaction]])</f>
        <v>0.78</v>
      </c>
      <c r="Y677">
        <f>IF(Table1[[#This Row],[client_satisfaction2]]=0,0.75,Table1[[#This Row],[client_satisfaction2]])</f>
        <v>0.78</v>
      </c>
    </row>
    <row r="678" spans="1:25" x14ac:dyDescent="0.25">
      <c r="A678" t="s">
        <v>1434</v>
      </c>
      <c r="B678" t="s">
        <v>1435</v>
      </c>
      <c r="C678" t="str">
        <f>PROPER(TRIM(SUBSTITUTE(SUBSTITUTE(SUBSTITUTE(Table1[[#This Row],[name]],"Ms. ",""),"Mr. ",""),"Mrs. ","")))</f>
        <v>Dawn Mitchell</v>
      </c>
      <c r="D678" t="s">
        <v>34</v>
      </c>
      <c r="E6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78">
        <v>56</v>
      </c>
      <c r="G678" t="str">
        <f>TRIM(IF(Table1[[#This Row],[age]]="","Unknown",Table1[[#This Row],[age]]))</f>
        <v>56</v>
      </c>
      <c r="H678" t="s">
        <v>190</v>
      </c>
      <c r="I678" t="s">
        <v>72</v>
      </c>
      <c r="J678" t="s">
        <v>78</v>
      </c>
      <c r="K678">
        <v>27</v>
      </c>
      <c r="L678" s="10" t="str">
        <f>TRIM(IF(Table1[[#This Row],[years_of_experience]]="","Unknown",Table1[[#This Row],[years_of_experience]]))</f>
        <v>27</v>
      </c>
      <c r="M678" t="s">
        <v>121</v>
      </c>
      <c r="N678" t="str">
        <f>IF(Table1[[#This Row],[hourly_rate (USD)]]="",MEDIAN(Table1[hourly_rate (USD)]),Table1[[#This Row],[hourly_rate (USD)]])</f>
        <v>$20</v>
      </c>
      <c r="O678" t="str">
        <f>TRIM(CLEAN(Table1[[#This Row],[Updated hourly_rate (USD)]]))</f>
        <v>$20</v>
      </c>
      <c r="P678" t="str">
        <f>SUBSTITUTE(SUBSTITUTE(Table1[[#This Row],[Formatted hourly rate]],"USD ",""),"$","")</f>
        <v>20</v>
      </c>
      <c r="Q678">
        <v>2.2000000000000002</v>
      </c>
      <c r="R678">
        <f>IF(Table1[[#This Row],[rating]]="",2.6,Table1[[#This Row],[rating]])</f>
        <v>2.2000000000000002</v>
      </c>
      <c r="S678" t="b">
        <v>0</v>
      </c>
      <c r="T678" t="str">
        <f>TRIM(CLEAN(Table1[[#This Row],[is_active]]))</f>
        <v>FALSE</v>
      </c>
      <c r="U67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78" s="11" t="str">
        <f>TRIM(IF(Table1[[#This Row],[is_active3]]="Unknown","TRUE",Table1[[#This Row],[is_active3]]))</f>
        <v>TRUE</v>
      </c>
      <c r="W678">
        <v>0.7</v>
      </c>
      <c r="X678">
        <f>IF(Table1[[#This Row],[client_satisfaction]]&gt;1,Table1[[#This Row],[client_satisfaction]]/100,Table1[[#This Row],[client_satisfaction]])</f>
        <v>0.7</v>
      </c>
      <c r="Y678">
        <f>IF(Table1[[#This Row],[client_satisfaction2]]=0,0.75,Table1[[#This Row],[client_satisfaction2]])</f>
        <v>0.7</v>
      </c>
    </row>
    <row r="679" spans="1:25" x14ac:dyDescent="0.25">
      <c r="A679" t="s">
        <v>1436</v>
      </c>
      <c r="B679" t="s">
        <v>1437</v>
      </c>
      <c r="C679" t="str">
        <f>PROPER(TRIM(SUBSTITUTE(SUBSTITUTE(SUBSTITUTE(Table1[[#This Row],[name]],"Ms. ",""),"Mr. ",""),"Mrs. ","")))</f>
        <v>Regina Dunn</v>
      </c>
      <c r="D679" t="s">
        <v>39</v>
      </c>
      <c r="E6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79">
        <v>49</v>
      </c>
      <c r="G679" t="str">
        <f>TRIM(IF(Table1[[#This Row],[age]]="","Unknown",Table1[[#This Row],[age]]))</f>
        <v>49</v>
      </c>
      <c r="H679" t="s">
        <v>175</v>
      </c>
      <c r="I679" t="s">
        <v>176</v>
      </c>
      <c r="J679" t="s">
        <v>89</v>
      </c>
      <c r="K679">
        <v>20</v>
      </c>
      <c r="L679" s="10" t="str">
        <f>TRIM(IF(Table1[[#This Row],[years_of_experience]]="","Unknown",Table1[[#This Row],[years_of_experience]]))</f>
        <v>20</v>
      </c>
      <c r="M679">
        <v>50</v>
      </c>
      <c r="N679">
        <f>IF(Table1[[#This Row],[hourly_rate (USD)]]="",MEDIAN(Table1[hourly_rate (USD)]),Table1[[#This Row],[hourly_rate (USD)]])</f>
        <v>50</v>
      </c>
      <c r="O679" t="str">
        <f>TRIM(CLEAN(Table1[[#This Row],[Updated hourly_rate (USD)]]))</f>
        <v>50</v>
      </c>
      <c r="P679" t="str">
        <f>SUBSTITUTE(SUBSTITUTE(Table1[[#This Row],[Formatted hourly rate]],"USD ",""),"$","")</f>
        <v>50</v>
      </c>
      <c r="Q679">
        <v>2.5</v>
      </c>
      <c r="R679">
        <f>IF(Table1[[#This Row],[rating]]="",2.6,Table1[[#This Row],[rating]])</f>
        <v>2.5</v>
      </c>
      <c r="S679">
        <v>0</v>
      </c>
      <c r="T679" t="str">
        <f>TRIM(CLEAN(Table1[[#This Row],[is_active]]))</f>
        <v>0</v>
      </c>
      <c r="U67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79" s="11" t="str">
        <f>TRIM(IF(Table1[[#This Row],[is_active3]]="Unknown","TRUE",Table1[[#This Row],[is_active3]]))</f>
        <v>FALSE</v>
      </c>
      <c r="W679">
        <v>0.82</v>
      </c>
      <c r="X679">
        <f>IF(Table1[[#This Row],[client_satisfaction]]&gt;1,Table1[[#This Row],[client_satisfaction]]/100,Table1[[#This Row],[client_satisfaction]])</f>
        <v>0.82</v>
      </c>
      <c r="Y679">
        <f>IF(Table1[[#This Row],[client_satisfaction2]]=0,0.75,Table1[[#This Row],[client_satisfaction2]])</f>
        <v>0.82</v>
      </c>
    </row>
    <row r="680" spans="1:25" x14ac:dyDescent="0.25">
      <c r="A680" t="s">
        <v>1438</v>
      </c>
      <c r="B680" t="s">
        <v>1439</v>
      </c>
      <c r="C680" t="str">
        <f>PROPER(TRIM(SUBSTITUTE(SUBSTITUTE(SUBSTITUTE(Table1[[#This Row],[name]],"Ms. ",""),"Mr. ",""),"Mrs. ","")))</f>
        <v>Ernest Cole</v>
      </c>
      <c r="D680" t="s">
        <v>61</v>
      </c>
      <c r="E6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80">
        <v>48</v>
      </c>
      <c r="G680" t="str">
        <f>TRIM(IF(Table1[[#This Row],[age]]="","Unknown",Table1[[#This Row],[age]]))</f>
        <v>48</v>
      </c>
      <c r="H680" t="s">
        <v>135</v>
      </c>
      <c r="I680" t="s">
        <v>136</v>
      </c>
      <c r="J680" t="s">
        <v>44</v>
      </c>
      <c r="K680">
        <v>10</v>
      </c>
      <c r="L680" s="10" t="str">
        <f>TRIM(IF(Table1[[#This Row],[years_of_experience]]="","Unknown",Table1[[#This Row],[years_of_experience]]))</f>
        <v>10</v>
      </c>
      <c r="N680">
        <f>IF(Table1[[#This Row],[hourly_rate (USD)]]="",MEDIAN(Table1[hourly_rate (USD)]),Table1[[#This Row],[hourly_rate (USD)]])</f>
        <v>50</v>
      </c>
      <c r="O680" t="str">
        <f>TRIM(CLEAN(Table1[[#This Row],[Updated hourly_rate (USD)]]))</f>
        <v>50</v>
      </c>
      <c r="P680" t="str">
        <f>SUBSTITUTE(SUBSTITUTE(Table1[[#This Row],[Formatted hourly rate]],"USD ",""),"$","")</f>
        <v>50</v>
      </c>
      <c r="Q680">
        <v>3.1</v>
      </c>
      <c r="R680">
        <f>IF(Table1[[#This Row],[rating]]="",2.6,Table1[[#This Row],[rating]])</f>
        <v>3.1</v>
      </c>
      <c r="S680" t="b">
        <v>0</v>
      </c>
      <c r="T680" t="str">
        <f>TRIM(CLEAN(Table1[[#This Row],[is_active]]))</f>
        <v>FALSE</v>
      </c>
      <c r="U68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80" s="11" t="str">
        <f>TRIM(IF(Table1[[#This Row],[is_active3]]="Unknown","TRUE",Table1[[#This Row],[is_active3]]))</f>
        <v>TRUE</v>
      </c>
      <c r="X680">
        <f>IF(Table1[[#This Row],[client_satisfaction]]&gt;1,Table1[[#This Row],[client_satisfaction]]/100,Table1[[#This Row],[client_satisfaction]])</f>
        <v>0</v>
      </c>
      <c r="Y680">
        <f>IF(Table1[[#This Row],[client_satisfaction2]]=0,0.75,Table1[[#This Row],[client_satisfaction2]])</f>
        <v>0.75</v>
      </c>
    </row>
    <row r="681" spans="1:25" x14ac:dyDescent="0.25">
      <c r="A681" t="s">
        <v>1440</v>
      </c>
      <c r="B681" t="s">
        <v>1441</v>
      </c>
      <c r="C681" t="str">
        <f>PROPER(TRIM(SUBSTITUTE(SUBSTITUTE(SUBSTITUTE(Table1[[#This Row],[name]],"Ms. ",""),"Mr. ",""),"Mrs. ","")))</f>
        <v>Hannah Sanders</v>
      </c>
      <c r="D681" t="s">
        <v>39</v>
      </c>
      <c r="E6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81">
        <v>29</v>
      </c>
      <c r="G681" t="str">
        <f>TRIM(IF(Table1[[#This Row],[age]]="","Unknown",Table1[[#This Row],[age]]))</f>
        <v>29</v>
      </c>
      <c r="H681" t="s">
        <v>112</v>
      </c>
      <c r="I681" t="s">
        <v>113</v>
      </c>
      <c r="J681" t="s">
        <v>30</v>
      </c>
      <c r="K681">
        <v>0</v>
      </c>
      <c r="L681" s="10" t="str">
        <f>TRIM(IF(Table1[[#This Row],[years_of_experience]]="","Unknown",Table1[[#This Row],[years_of_experience]]))</f>
        <v>0</v>
      </c>
      <c r="M681" t="s">
        <v>121</v>
      </c>
      <c r="N681" t="str">
        <f>IF(Table1[[#This Row],[hourly_rate (USD)]]="",MEDIAN(Table1[hourly_rate (USD)]),Table1[[#This Row],[hourly_rate (USD)]])</f>
        <v>$20</v>
      </c>
      <c r="O681" t="str">
        <f>TRIM(CLEAN(Table1[[#This Row],[Updated hourly_rate (USD)]]))</f>
        <v>$20</v>
      </c>
      <c r="P681" t="str">
        <f>SUBSTITUTE(SUBSTITUTE(Table1[[#This Row],[Formatted hourly rate]],"USD ",""),"$","")</f>
        <v>20</v>
      </c>
      <c r="R681">
        <f>IF(Table1[[#This Row],[rating]]="",2.6,Table1[[#This Row],[rating]])</f>
        <v>2.6</v>
      </c>
      <c r="S681">
        <v>1</v>
      </c>
      <c r="T681" t="str">
        <f>TRIM(CLEAN(Table1[[#This Row],[is_active]]))</f>
        <v>1</v>
      </c>
      <c r="U68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81" s="11" t="str">
        <f>TRIM(IF(Table1[[#This Row],[is_active3]]="Unknown","TRUE",Table1[[#This Row],[is_active3]]))</f>
        <v>TRUE</v>
      </c>
      <c r="W681">
        <v>0.99</v>
      </c>
      <c r="X681">
        <f>IF(Table1[[#This Row],[client_satisfaction]]&gt;1,Table1[[#This Row],[client_satisfaction]]/100,Table1[[#This Row],[client_satisfaction]])</f>
        <v>0.99</v>
      </c>
      <c r="Y681">
        <f>IF(Table1[[#This Row],[client_satisfaction2]]=0,0.75,Table1[[#This Row],[client_satisfaction2]])</f>
        <v>0.99</v>
      </c>
    </row>
    <row r="682" spans="1:25" x14ac:dyDescent="0.25">
      <c r="A682" t="s">
        <v>1442</v>
      </c>
      <c r="B682" t="s">
        <v>1443</v>
      </c>
      <c r="C682" t="str">
        <f>PROPER(TRIM(SUBSTITUTE(SUBSTITUTE(SUBSTITUTE(Table1[[#This Row],[name]],"Ms. ",""),"Mr. ",""),"Mrs. ","")))</f>
        <v>Ellen Bowman</v>
      </c>
      <c r="D682" t="s">
        <v>77</v>
      </c>
      <c r="E6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82">
        <v>49</v>
      </c>
      <c r="G682" t="str">
        <f>TRIM(IF(Table1[[#This Row],[age]]="","Unknown",Table1[[#This Row],[age]]))</f>
        <v>49</v>
      </c>
      <c r="H682" t="s">
        <v>42</v>
      </c>
      <c r="I682" t="s">
        <v>43</v>
      </c>
      <c r="J682" t="s">
        <v>35</v>
      </c>
      <c r="K682">
        <v>11</v>
      </c>
      <c r="L682" s="10" t="str">
        <f>TRIM(IF(Table1[[#This Row],[years_of_experience]]="","Unknown",Table1[[#This Row],[years_of_experience]]))</f>
        <v>11</v>
      </c>
      <c r="M682">
        <v>75</v>
      </c>
      <c r="N682">
        <f>IF(Table1[[#This Row],[hourly_rate (USD)]]="",MEDIAN(Table1[hourly_rate (USD)]),Table1[[#This Row],[hourly_rate (USD)]])</f>
        <v>75</v>
      </c>
      <c r="O682" t="str">
        <f>TRIM(CLEAN(Table1[[#This Row],[Updated hourly_rate (USD)]]))</f>
        <v>75</v>
      </c>
      <c r="P682" t="str">
        <f>SUBSTITUTE(SUBSTITUTE(Table1[[#This Row],[Formatted hourly rate]],"USD ",""),"$","")</f>
        <v>75</v>
      </c>
      <c r="Q682">
        <v>3.8</v>
      </c>
      <c r="R682">
        <f>IF(Table1[[#This Row],[rating]]="",2.6,Table1[[#This Row],[rating]])</f>
        <v>3.8</v>
      </c>
      <c r="S682" t="s">
        <v>74</v>
      </c>
      <c r="T682" t="str">
        <f>TRIM(CLEAN(Table1[[#This Row],[is_active]]))</f>
        <v>Y</v>
      </c>
      <c r="U68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82" s="11" t="str">
        <f>TRIM(IF(Table1[[#This Row],[is_active3]]="Unknown","TRUE",Table1[[#This Row],[is_active3]]))</f>
        <v>TRUE</v>
      </c>
      <c r="W682">
        <v>0.93</v>
      </c>
      <c r="X682">
        <f>IF(Table1[[#This Row],[client_satisfaction]]&gt;1,Table1[[#This Row],[client_satisfaction]]/100,Table1[[#This Row],[client_satisfaction]])</f>
        <v>0.93</v>
      </c>
      <c r="Y682">
        <f>IF(Table1[[#This Row],[client_satisfaction2]]=0,0.75,Table1[[#This Row],[client_satisfaction2]])</f>
        <v>0.93</v>
      </c>
    </row>
    <row r="683" spans="1:25" x14ac:dyDescent="0.25">
      <c r="A683" t="s">
        <v>1444</v>
      </c>
      <c r="B683" t="s">
        <v>1445</v>
      </c>
      <c r="C683" t="str">
        <f>PROPER(TRIM(SUBSTITUTE(SUBSTITUTE(SUBSTITUTE(Table1[[#This Row],[name]],"Ms. ",""),"Mr. ",""),"Mrs. ","")))</f>
        <v>Nancy Moore</v>
      </c>
      <c r="D683" t="s">
        <v>20</v>
      </c>
      <c r="E6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83">
        <v>22</v>
      </c>
      <c r="G683" t="str">
        <f>TRIM(IF(Table1[[#This Row],[age]]="","Unknown",Table1[[#This Row],[age]]))</f>
        <v>22</v>
      </c>
      <c r="H683" t="s">
        <v>175</v>
      </c>
      <c r="I683" t="s">
        <v>176</v>
      </c>
      <c r="J683" t="s">
        <v>17</v>
      </c>
      <c r="K683">
        <v>1</v>
      </c>
      <c r="L683" s="10" t="str">
        <f>TRIM(IF(Table1[[#This Row],[years_of_experience]]="","Unknown",Table1[[#This Row],[years_of_experience]]))</f>
        <v>1</v>
      </c>
      <c r="M683">
        <v>100</v>
      </c>
      <c r="N683">
        <f>IF(Table1[[#This Row],[hourly_rate (USD)]]="",MEDIAN(Table1[hourly_rate (USD)]),Table1[[#This Row],[hourly_rate (USD)]])</f>
        <v>100</v>
      </c>
      <c r="O683" t="str">
        <f>TRIM(CLEAN(Table1[[#This Row],[Updated hourly_rate (USD)]]))</f>
        <v>100</v>
      </c>
      <c r="P683" t="str">
        <f>SUBSTITUTE(SUBSTITUTE(Table1[[#This Row],[Formatted hourly rate]],"USD ",""),"$","")</f>
        <v>100</v>
      </c>
      <c r="Q683">
        <v>4.8</v>
      </c>
      <c r="R683">
        <f>IF(Table1[[#This Row],[rating]]="",2.6,Table1[[#This Row],[rating]])</f>
        <v>4.8</v>
      </c>
      <c r="S683" t="s">
        <v>74</v>
      </c>
      <c r="T683" t="str">
        <f>TRIM(CLEAN(Table1[[#This Row],[is_active]]))</f>
        <v>Y</v>
      </c>
      <c r="U6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83" s="11" t="str">
        <f>TRIM(IF(Table1[[#This Row],[is_active3]]="Unknown","TRUE",Table1[[#This Row],[is_active3]]))</f>
        <v>TRUE</v>
      </c>
      <c r="W683">
        <v>0.75</v>
      </c>
      <c r="X683">
        <f>IF(Table1[[#This Row],[client_satisfaction]]&gt;1,Table1[[#This Row],[client_satisfaction]]/100,Table1[[#This Row],[client_satisfaction]])</f>
        <v>0.75</v>
      </c>
      <c r="Y683">
        <f>IF(Table1[[#This Row],[client_satisfaction2]]=0,0.75,Table1[[#This Row],[client_satisfaction2]])</f>
        <v>0.75</v>
      </c>
    </row>
    <row r="684" spans="1:25" x14ac:dyDescent="0.25">
      <c r="A684" t="s">
        <v>1446</v>
      </c>
      <c r="B684" t="s">
        <v>1447</v>
      </c>
      <c r="C684" t="str">
        <f>PROPER(TRIM(SUBSTITUTE(SUBSTITUTE(SUBSTITUTE(Table1[[#This Row],[name]],"Ms. ",""),"Mr. ",""),"Mrs. ","")))</f>
        <v>Joseph Wood</v>
      </c>
      <c r="D684" t="s">
        <v>48</v>
      </c>
      <c r="E6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84">
        <v>52</v>
      </c>
      <c r="G684" t="str">
        <f>TRIM(IF(Table1[[#This Row],[age]]="","Unknown",Table1[[#This Row],[age]]))</f>
        <v>52</v>
      </c>
      <c r="H684" t="s">
        <v>179</v>
      </c>
      <c r="I684" t="s">
        <v>72</v>
      </c>
      <c r="J684" t="s">
        <v>30</v>
      </c>
      <c r="K684">
        <v>30</v>
      </c>
      <c r="L684" s="10" t="str">
        <f>TRIM(IF(Table1[[#This Row],[years_of_experience]]="","Unknown",Table1[[#This Row],[years_of_experience]]))</f>
        <v>30</v>
      </c>
      <c r="M684" t="s">
        <v>24</v>
      </c>
      <c r="N684" t="str">
        <f>IF(Table1[[#This Row],[hourly_rate (USD)]]="",MEDIAN(Table1[hourly_rate (USD)]),Table1[[#This Row],[hourly_rate (USD)]])</f>
        <v>USD 100</v>
      </c>
      <c r="O684" t="str">
        <f>TRIM(CLEAN(Table1[[#This Row],[Updated hourly_rate (USD)]]))</f>
        <v>USD 100</v>
      </c>
      <c r="P684" t="str">
        <f>SUBSTITUTE(SUBSTITUTE(Table1[[#This Row],[Formatted hourly rate]],"USD ",""),"$","")</f>
        <v>100</v>
      </c>
      <c r="Q684">
        <v>2.5</v>
      </c>
      <c r="R684">
        <f>IF(Table1[[#This Row],[rating]]="",2.6,Table1[[#This Row],[rating]])</f>
        <v>2.5</v>
      </c>
      <c r="T684" t="str">
        <f>TRIM(CLEAN(Table1[[#This Row],[is_active]]))</f>
        <v/>
      </c>
      <c r="U68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84" s="11" t="str">
        <f>TRIM(IF(Table1[[#This Row],[is_active3]]="Unknown","TRUE",Table1[[#This Row],[is_active3]]))</f>
        <v>TRUE</v>
      </c>
      <c r="W684">
        <v>61</v>
      </c>
      <c r="X684">
        <f>IF(Table1[[#This Row],[client_satisfaction]]&gt;1,Table1[[#This Row],[client_satisfaction]]/100,Table1[[#This Row],[client_satisfaction]])</f>
        <v>0.61</v>
      </c>
      <c r="Y684">
        <f>IF(Table1[[#This Row],[client_satisfaction2]]=0,0.75,Table1[[#This Row],[client_satisfaction2]])</f>
        <v>0.61</v>
      </c>
    </row>
    <row r="685" spans="1:25" x14ac:dyDescent="0.25">
      <c r="A685" t="s">
        <v>1448</v>
      </c>
      <c r="B685" t="s">
        <v>1449</v>
      </c>
      <c r="C685" t="str">
        <f>PROPER(TRIM(SUBSTITUTE(SUBSTITUTE(SUBSTITUTE(Table1[[#This Row],[name]],"Ms. ",""),"Mr. ",""),"Mrs. ","")))</f>
        <v>Michael Harrell</v>
      </c>
      <c r="D685" t="s">
        <v>61</v>
      </c>
      <c r="E6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85">
        <v>60</v>
      </c>
      <c r="G685" t="str">
        <f>TRIM(IF(Table1[[#This Row],[age]]="","Unknown",Table1[[#This Row],[age]]))</f>
        <v>60</v>
      </c>
      <c r="H685" t="s">
        <v>128</v>
      </c>
      <c r="I685" t="s">
        <v>22</v>
      </c>
      <c r="J685" t="s">
        <v>17</v>
      </c>
      <c r="K685">
        <v>7</v>
      </c>
      <c r="L685" s="10" t="str">
        <f>TRIM(IF(Table1[[#This Row],[years_of_experience]]="","Unknown",Table1[[#This Row],[years_of_experience]]))</f>
        <v>7</v>
      </c>
      <c r="M685" t="s">
        <v>109</v>
      </c>
      <c r="N685" t="str">
        <f>IF(Table1[[#This Row],[hourly_rate (USD)]]="",MEDIAN(Table1[hourly_rate (USD)]),Table1[[#This Row],[hourly_rate (USD)]])</f>
        <v>USD 30</v>
      </c>
      <c r="O685" t="str">
        <f>TRIM(CLEAN(Table1[[#This Row],[Updated hourly_rate (USD)]]))</f>
        <v>USD 30</v>
      </c>
      <c r="P685" t="str">
        <f>SUBSTITUTE(SUBSTITUTE(Table1[[#This Row],[Formatted hourly rate]],"USD ",""),"$","")</f>
        <v>30</v>
      </c>
      <c r="Q685">
        <v>0</v>
      </c>
      <c r="R685">
        <f>IF(Table1[[#This Row],[rating]]="",2.6,Table1[[#This Row],[rating]])</f>
        <v>0</v>
      </c>
      <c r="S685" t="s">
        <v>159</v>
      </c>
      <c r="T685" t="str">
        <f>TRIM(CLEAN(Table1[[#This Row],[is_active]]))</f>
        <v>no</v>
      </c>
      <c r="U68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85" s="11" t="str">
        <f>TRIM(IF(Table1[[#This Row],[is_active3]]="Unknown","TRUE",Table1[[#This Row],[is_active3]]))</f>
        <v>FALSE</v>
      </c>
      <c r="W685">
        <v>0.97</v>
      </c>
      <c r="X685">
        <f>IF(Table1[[#This Row],[client_satisfaction]]&gt;1,Table1[[#This Row],[client_satisfaction]]/100,Table1[[#This Row],[client_satisfaction]])</f>
        <v>0.97</v>
      </c>
      <c r="Y685">
        <f>IF(Table1[[#This Row],[client_satisfaction2]]=0,0.75,Table1[[#This Row],[client_satisfaction2]])</f>
        <v>0.97</v>
      </c>
    </row>
    <row r="686" spans="1:25" x14ac:dyDescent="0.25">
      <c r="A686" t="s">
        <v>1450</v>
      </c>
      <c r="B686" t="s">
        <v>1451</v>
      </c>
      <c r="C686" t="str">
        <f>PROPER(TRIM(SUBSTITUTE(SUBSTITUTE(SUBSTITUTE(Table1[[#This Row],[name]],"Ms. ",""),"Mr. ",""),"Mrs. ","")))</f>
        <v>Connie Mcclain</v>
      </c>
      <c r="D686" t="s">
        <v>34</v>
      </c>
      <c r="E6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86">
        <v>33</v>
      </c>
      <c r="G686" t="str">
        <f>TRIM(IF(Table1[[#This Row],[age]]="","Unknown",Table1[[#This Row],[age]]))</f>
        <v>33</v>
      </c>
      <c r="H686" t="s">
        <v>85</v>
      </c>
      <c r="I686" t="s">
        <v>86</v>
      </c>
      <c r="J686" t="s">
        <v>73</v>
      </c>
      <c r="K686">
        <v>0</v>
      </c>
      <c r="L686" s="10" t="str">
        <f>TRIM(IF(Table1[[#This Row],[years_of_experience]]="","Unknown",Table1[[#This Row],[years_of_experience]]))</f>
        <v>0</v>
      </c>
      <c r="M686" t="s">
        <v>229</v>
      </c>
      <c r="N686" t="str">
        <f>IF(Table1[[#This Row],[hourly_rate (USD)]]="",MEDIAN(Table1[hourly_rate (USD)]),Table1[[#This Row],[hourly_rate (USD)]])</f>
        <v>$100</v>
      </c>
      <c r="O686" t="str">
        <f>TRIM(CLEAN(Table1[[#This Row],[Updated hourly_rate (USD)]]))</f>
        <v>$100</v>
      </c>
      <c r="P686" t="str">
        <f>SUBSTITUTE(SUBSTITUTE(Table1[[#This Row],[Formatted hourly rate]],"USD ",""),"$","")</f>
        <v>100</v>
      </c>
      <c r="Q686">
        <v>1.7</v>
      </c>
      <c r="R686">
        <f>IF(Table1[[#This Row],[rating]]="",2.6,Table1[[#This Row],[rating]])</f>
        <v>1.7</v>
      </c>
      <c r="S686">
        <v>1</v>
      </c>
      <c r="T686" t="str">
        <f>TRIM(CLEAN(Table1[[#This Row],[is_active]]))</f>
        <v>1</v>
      </c>
      <c r="U68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86" s="11" t="str">
        <f>TRIM(IF(Table1[[#This Row],[is_active3]]="Unknown","TRUE",Table1[[#This Row],[is_active3]]))</f>
        <v>TRUE</v>
      </c>
      <c r="W686">
        <v>95</v>
      </c>
      <c r="X686">
        <f>IF(Table1[[#This Row],[client_satisfaction]]&gt;1,Table1[[#This Row],[client_satisfaction]]/100,Table1[[#This Row],[client_satisfaction]])</f>
        <v>0.95</v>
      </c>
      <c r="Y686">
        <f>IF(Table1[[#This Row],[client_satisfaction2]]=0,0.75,Table1[[#This Row],[client_satisfaction2]])</f>
        <v>0.95</v>
      </c>
    </row>
    <row r="687" spans="1:25" x14ac:dyDescent="0.25">
      <c r="A687" t="s">
        <v>1452</v>
      </c>
      <c r="B687" t="s">
        <v>1453</v>
      </c>
      <c r="C687" t="str">
        <f>PROPER(TRIM(SUBSTITUTE(SUBSTITUTE(SUBSTITUTE(Table1[[#This Row],[name]],"Ms. ",""),"Mr. ",""),"Mrs. ","")))</f>
        <v>Matthew Baldwin</v>
      </c>
      <c r="D687" t="s">
        <v>92</v>
      </c>
      <c r="E6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87">
        <v>52</v>
      </c>
      <c r="G687" t="str">
        <f>TRIM(IF(Table1[[#This Row],[age]]="","Unknown",Table1[[#This Row],[age]]))</f>
        <v>52</v>
      </c>
      <c r="H687" t="s">
        <v>112</v>
      </c>
      <c r="I687" t="s">
        <v>113</v>
      </c>
      <c r="J687" t="s">
        <v>30</v>
      </c>
      <c r="K687">
        <v>21</v>
      </c>
      <c r="L687" s="10" t="str">
        <f>TRIM(IF(Table1[[#This Row],[years_of_experience]]="","Unknown",Table1[[#This Row],[years_of_experience]]))</f>
        <v>21</v>
      </c>
      <c r="M687" t="s">
        <v>55</v>
      </c>
      <c r="N687" t="str">
        <f>IF(Table1[[#This Row],[hourly_rate (USD)]]="",MEDIAN(Table1[hourly_rate (USD)]),Table1[[#This Row],[hourly_rate (USD)]])</f>
        <v>USD 40</v>
      </c>
      <c r="O687" t="str">
        <f>TRIM(CLEAN(Table1[[#This Row],[Updated hourly_rate (USD)]]))</f>
        <v>USD 40</v>
      </c>
      <c r="P687" t="str">
        <f>SUBSTITUTE(SUBSTITUTE(Table1[[#This Row],[Formatted hourly rate]],"USD ",""),"$","")</f>
        <v>40</v>
      </c>
      <c r="Q687">
        <v>4</v>
      </c>
      <c r="R687">
        <f>IF(Table1[[#This Row],[rating]]="",2.6,Table1[[#This Row],[rating]])</f>
        <v>4</v>
      </c>
      <c r="T687" t="str">
        <f>TRIM(CLEAN(Table1[[#This Row],[is_active]]))</f>
        <v/>
      </c>
      <c r="U68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87" s="11" t="str">
        <f>TRIM(IF(Table1[[#This Row],[is_active3]]="Unknown","TRUE",Table1[[#This Row],[is_active3]]))</f>
        <v>TRUE</v>
      </c>
      <c r="W687">
        <v>0.69</v>
      </c>
      <c r="X687">
        <f>IF(Table1[[#This Row],[client_satisfaction]]&gt;1,Table1[[#This Row],[client_satisfaction]]/100,Table1[[#This Row],[client_satisfaction]])</f>
        <v>0.69</v>
      </c>
      <c r="Y687">
        <f>IF(Table1[[#This Row],[client_satisfaction2]]=0,0.75,Table1[[#This Row],[client_satisfaction2]])</f>
        <v>0.69</v>
      </c>
    </row>
    <row r="688" spans="1:25" x14ac:dyDescent="0.25">
      <c r="A688" t="s">
        <v>1454</v>
      </c>
      <c r="B688" t="s">
        <v>1455</v>
      </c>
      <c r="C688" t="str">
        <f>PROPER(TRIM(SUBSTITUTE(SUBSTITUTE(SUBSTITUTE(Table1[[#This Row],[name]],"Ms. ",""),"Mr. ",""),"Mrs. ","")))</f>
        <v>Danielle Nelson</v>
      </c>
      <c r="D688" t="s">
        <v>14</v>
      </c>
      <c r="E6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88">
        <v>25</v>
      </c>
      <c r="G688" t="str">
        <f>TRIM(IF(Table1[[#This Row],[age]]="","Unknown",Table1[[#This Row],[age]]))</f>
        <v>25</v>
      </c>
      <c r="H688" t="s">
        <v>28</v>
      </c>
      <c r="I688" t="s">
        <v>29</v>
      </c>
      <c r="J688" t="s">
        <v>89</v>
      </c>
      <c r="K688">
        <v>7</v>
      </c>
      <c r="L688" s="10" t="str">
        <f>TRIM(IF(Table1[[#This Row],[years_of_experience]]="","Unknown",Table1[[#This Row],[years_of_experience]]))</f>
        <v>7</v>
      </c>
      <c r="M688" t="s">
        <v>24</v>
      </c>
      <c r="N688" t="str">
        <f>IF(Table1[[#This Row],[hourly_rate (USD)]]="",MEDIAN(Table1[hourly_rate (USD)]),Table1[[#This Row],[hourly_rate (USD)]])</f>
        <v>USD 100</v>
      </c>
      <c r="O688" t="str">
        <f>TRIM(CLEAN(Table1[[#This Row],[Updated hourly_rate (USD)]]))</f>
        <v>USD 100</v>
      </c>
      <c r="P688" t="str">
        <f>SUBSTITUTE(SUBSTITUTE(Table1[[#This Row],[Formatted hourly rate]],"USD ",""),"$","")</f>
        <v>100</v>
      </c>
      <c r="Q688">
        <v>1.9</v>
      </c>
      <c r="R688">
        <f>IF(Table1[[#This Row],[rating]]="",2.6,Table1[[#This Row],[rating]])</f>
        <v>1.9</v>
      </c>
      <c r="S688" t="b">
        <v>0</v>
      </c>
      <c r="T688" t="str">
        <f>TRIM(CLEAN(Table1[[#This Row],[is_active]]))</f>
        <v>FALSE</v>
      </c>
      <c r="U68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88" s="11" t="str">
        <f>TRIM(IF(Table1[[#This Row],[is_active3]]="Unknown","TRUE",Table1[[#This Row],[is_active3]]))</f>
        <v>TRUE</v>
      </c>
      <c r="W688">
        <v>0.63</v>
      </c>
      <c r="X688">
        <f>IF(Table1[[#This Row],[client_satisfaction]]&gt;1,Table1[[#This Row],[client_satisfaction]]/100,Table1[[#This Row],[client_satisfaction]])</f>
        <v>0.63</v>
      </c>
      <c r="Y688">
        <f>IF(Table1[[#This Row],[client_satisfaction2]]=0,0.75,Table1[[#This Row],[client_satisfaction2]])</f>
        <v>0.63</v>
      </c>
    </row>
    <row r="689" spans="1:25" x14ac:dyDescent="0.25">
      <c r="A689" t="s">
        <v>1456</v>
      </c>
      <c r="B689" t="s">
        <v>1457</v>
      </c>
      <c r="C689" t="str">
        <f>PROPER(TRIM(SUBSTITUTE(SUBSTITUTE(SUBSTITUTE(Table1[[#This Row],[name]],"Ms. ",""),"Mr. ",""),"Mrs. ","")))</f>
        <v>Steven Moore</v>
      </c>
      <c r="D689" t="s">
        <v>92</v>
      </c>
      <c r="E6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89">
        <v>33</v>
      </c>
      <c r="G689" t="str">
        <f>TRIM(IF(Table1[[#This Row],[age]]="","Unknown",Table1[[#This Row],[age]]))</f>
        <v>33</v>
      </c>
      <c r="H689" t="s">
        <v>85</v>
      </c>
      <c r="I689" t="s">
        <v>86</v>
      </c>
      <c r="J689" t="s">
        <v>78</v>
      </c>
      <c r="L689" s="10" t="str">
        <f>TRIM(IF(Table1[[#This Row],[years_of_experience]]="","Unknown",Table1[[#This Row],[years_of_experience]]))</f>
        <v>Unknown</v>
      </c>
      <c r="M689" t="s">
        <v>109</v>
      </c>
      <c r="N689" t="str">
        <f>IF(Table1[[#This Row],[hourly_rate (USD)]]="",MEDIAN(Table1[hourly_rate (USD)]),Table1[[#This Row],[hourly_rate (USD)]])</f>
        <v>USD 30</v>
      </c>
      <c r="O689" t="str">
        <f>TRIM(CLEAN(Table1[[#This Row],[Updated hourly_rate (USD)]]))</f>
        <v>USD 30</v>
      </c>
      <c r="P689" t="str">
        <f>SUBSTITUTE(SUBSTITUTE(Table1[[#This Row],[Formatted hourly rate]],"USD ",""),"$","")</f>
        <v>30</v>
      </c>
      <c r="Q689">
        <v>4.4000000000000004</v>
      </c>
      <c r="R689">
        <f>IF(Table1[[#This Row],[rating]]="",2.6,Table1[[#This Row],[rating]])</f>
        <v>4.4000000000000004</v>
      </c>
      <c r="S689" t="b">
        <v>1</v>
      </c>
      <c r="T689" t="str">
        <f>TRIM(CLEAN(Table1[[#This Row],[is_active]]))</f>
        <v>TRUE</v>
      </c>
      <c r="U68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89" s="11" t="str">
        <f>TRIM(IF(Table1[[#This Row],[is_active3]]="Unknown","TRUE",Table1[[#This Row],[is_active3]]))</f>
        <v>TRUE</v>
      </c>
      <c r="W689">
        <v>0.65</v>
      </c>
      <c r="X689">
        <f>IF(Table1[[#This Row],[client_satisfaction]]&gt;1,Table1[[#This Row],[client_satisfaction]]/100,Table1[[#This Row],[client_satisfaction]])</f>
        <v>0.65</v>
      </c>
      <c r="Y689">
        <f>IF(Table1[[#This Row],[client_satisfaction2]]=0,0.75,Table1[[#This Row],[client_satisfaction2]])</f>
        <v>0.65</v>
      </c>
    </row>
    <row r="690" spans="1:25" x14ac:dyDescent="0.25">
      <c r="A690" t="s">
        <v>1458</v>
      </c>
      <c r="B690" t="s">
        <v>1459</v>
      </c>
      <c r="C690" t="str">
        <f>PROPER(TRIM(SUBSTITUTE(SUBSTITUTE(SUBSTITUTE(Table1[[#This Row],[name]],"Ms. ",""),"Mr. ",""),"Mrs. ","")))</f>
        <v>Megan Hudson</v>
      </c>
      <c r="D690" t="s">
        <v>14</v>
      </c>
      <c r="E6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90">
        <v>33</v>
      </c>
      <c r="G690" t="str">
        <f>TRIM(IF(Table1[[#This Row],[age]]="","Unknown",Table1[[#This Row],[age]]))</f>
        <v>33</v>
      </c>
      <c r="H690" t="s">
        <v>175</v>
      </c>
      <c r="I690" t="s">
        <v>176</v>
      </c>
      <c r="J690" t="s">
        <v>23</v>
      </c>
      <c r="L690" s="10" t="str">
        <f>TRIM(IF(Table1[[#This Row],[years_of_experience]]="","Unknown",Table1[[#This Row],[years_of_experience]]))</f>
        <v>Unknown</v>
      </c>
      <c r="N690">
        <f>IF(Table1[[#This Row],[hourly_rate (USD)]]="",MEDIAN(Table1[hourly_rate (USD)]),Table1[[#This Row],[hourly_rate (USD)]])</f>
        <v>50</v>
      </c>
      <c r="O690" t="str">
        <f>TRIM(CLEAN(Table1[[#This Row],[Updated hourly_rate (USD)]]))</f>
        <v>50</v>
      </c>
      <c r="P690" t="str">
        <f>SUBSTITUTE(SUBSTITUTE(Table1[[#This Row],[Formatted hourly rate]],"USD ",""),"$","")</f>
        <v>50</v>
      </c>
      <c r="Q690">
        <v>4.2</v>
      </c>
      <c r="R690">
        <f>IF(Table1[[#This Row],[rating]]="",2.6,Table1[[#This Row],[rating]])</f>
        <v>4.2</v>
      </c>
      <c r="S690" t="s">
        <v>74</v>
      </c>
      <c r="T690" t="str">
        <f>TRIM(CLEAN(Table1[[#This Row],[is_active]]))</f>
        <v>Y</v>
      </c>
      <c r="U69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90" s="11" t="str">
        <f>TRIM(IF(Table1[[#This Row],[is_active3]]="Unknown","TRUE",Table1[[#This Row],[is_active3]]))</f>
        <v>TRUE</v>
      </c>
      <c r="W690">
        <v>0.9</v>
      </c>
      <c r="X690">
        <f>IF(Table1[[#This Row],[client_satisfaction]]&gt;1,Table1[[#This Row],[client_satisfaction]]/100,Table1[[#This Row],[client_satisfaction]])</f>
        <v>0.9</v>
      </c>
      <c r="Y690">
        <f>IF(Table1[[#This Row],[client_satisfaction2]]=0,0.75,Table1[[#This Row],[client_satisfaction2]])</f>
        <v>0.9</v>
      </c>
    </row>
    <row r="691" spans="1:25" x14ac:dyDescent="0.25">
      <c r="A691" t="s">
        <v>1460</v>
      </c>
      <c r="B691" t="s">
        <v>41</v>
      </c>
      <c r="C691" t="str">
        <f>PROPER(TRIM(SUBSTITUTE(SUBSTITUTE(SUBSTITUTE(Table1[[#This Row],[name]],"Ms. ",""),"Mr. ",""),"Mrs. ","")))</f>
        <v>Lisa Johnson</v>
      </c>
      <c r="D691" t="s">
        <v>77</v>
      </c>
      <c r="E6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91">
        <v>52</v>
      </c>
      <c r="G691" t="str">
        <f>TRIM(IF(Table1[[#This Row],[age]]="","Unknown",Table1[[#This Row],[age]]))</f>
        <v>52</v>
      </c>
      <c r="H691" t="s">
        <v>128</v>
      </c>
      <c r="I691" t="s">
        <v>22</v>
      </c>
      <c r="J691" t="s">
        <v>73</v>
      </c>
      <c r="K691">
        <v>25</v>
      </c>
      <c r="L691" s="10" t="str">
        <f>TRIM(IF(Table1[[#This Row],[years_of_experience]]="","Unknown",Table1[[#This Row],[years_of_experience]]))</f>
        <v>25</v>
      </c>
      <c r="M691">
        <v>100</v>
      </c>
      <c r="N691">
        <f>IF(Table1[[#This Row],[hourly_rate (USD)]]="",MEDIAN(Table1[hourly_rate (USD)]),Table1[[#This Row],[hourly_rate (USD)]])</f>
        <v>100</v>
      </c>
      <c r="O691" t="str">
        <f>TRIM(CLEAN(Table1[[#This Row],[Updated hourly_rate (USD)]]))</f>
        <v>100</v>
      </c>
      <c r="P691" t="str">
        <f>SUBSTITUTE(SUBSTITUTE(Table1[[#This Row],[Formatted hourly rate]],"USD ",""),"$","")</f>
        <v>100</v>
      </c>
      <c r="Q691">
        <v>4.8</v>
      </c>
      <c r="R691">
        <f>IF(Table1[[#This Row],[rating]]="",2.6,Table1[[#This Row],[rating]])</f>
        <v>4.8</v>
      </c>
      <c r="S691" t="s">
        <v>31</v>
      </c>
      <c r="T691" t="str">
        <f>TRIM(CLEAN(Table1[[#This Row],[is_active]]))</f>
        <v>N</v>
      </c>
      <c r="U69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91" s="11" t="str">
        <f>TRIM(IF(Table1[[#This Row],[is_active3]]="Unknown","TRUE",Table1[[#This Row],[is_active3]]))</f>
        <v>FALSE</v>
      </c>
      <c r="X691">
        <f>IF(Table1[[#This Row],[client_satisfaction]]&gt;1,Table1[[#This Row],[client_satisfaction]]/100,Table1[[#This Row],[client_satisfaction]])</f>
        <v>0</v>
      </c>
      <c r="Y691">
        <f>IF(Table1[[#This Row],[client_satisfaction2]]=0,0.75,Table1[[#This Row],[client_satisfaction2]])</f>
        <v>0.75</v>
      </c>
    </row>
    <row r="692" spans="1:25" x14ac:dyDescent="0.25">
      <c r="A692" t="s">
        <v>1461</v>
      </c>
      <c r="B692" t="s">
        <v>1462</v>
      </c>
      <c r="C692" t="str">
        <f>PROPER(TRIM(SUBSTITUTE(SUBSTITUTE(SUBSTITUTE(Table1[[#This Row],[name]],"Ms. ",""),"Mr. ",""),"Mrs. ","")))</f>
        <v>Tracy White</v>
      </c>
      <c r="D692" t="s">
        <v>14</v>
      </c>
      <c r="E6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92">
        <v>20</v>
      </c>
      <c r="G692" t="str">
        <f>TRIM(IF(Table1[[#This Row],[age]]="","Unknown",Table1[[#This Row],[age]]))</f>
        <v>20</v>
      </c>
      <c r="H692" t="s">
        <v>49</v>
      </c>
      <c r="I692" t="s">
        <v>50</v>
      </c>
      <c r="J692" t="s">
        <v>35</v>
      </c>
      <c r="K692">
        <v>1</v>
      </c>
      <c r="L692" s="10" t="str">
        <f>TRIM(IF(Table1[[#This Row],[years_of_experience]]="","Unknown",Table1[[#This Row],[years_of_experience]]))</f>
        <v>1</v>
      </c>
      <c r="M692" t="s">
        <v>109</v>
      </c>
      <c r="N692" t="str">
        <f>IF(Table1[[#This Row],[hourly_rate (USD)]]="",MEDIAN(Table1[hourly_rate (USD)]),Table1[[#This Row],[hourly_rate (USD)]])</f>
        <v>USD 30</v>
      </c>
      <c r="O692" t="str">
        <f>TRIM(CLEAN(Table1[[#This Row],[Updated hourly_rate (USD)]]))</f>
        <v>USD 30</v>
      </c>
      <c r="P692" t="str">
        <f>SUBSTITUTE(SUBSTITUTE(Table1[[#This Row],[Formatted hourly rate]],"USD ",""),"$","")</f>
        <v>30</v>
      </c>
      <c r="Q692">
        <v>2</v>
      </c>
      <c r="R692">
        <f>IF(Table1[[#This Row],[rating]]="",2.6,Table1[[#This Row],[rating]])</f>
        <v>2</v>
      </c>
      <c r="S692" t="s">
        <v>159</v>
      </c>
      <c r="T692" t="str">
        <f>TRIM(CLEAN(Table1[[#This Row],[is_active]]))</f>
        <v>no</v>
      </c>
      <c r="U69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92" s="11" t="str">
        <f>TRIM(IF(Table1[[#This Row],[is_active3]]="Unknown","TRUE",Table1[[#This Row],[is_active3]]))</f>
        <v>FALSE</v>
      </c>
      <c r="W692">
        <v>0.89</v>
      </c>
      <c r="X692">
        <f>IF(Table1[[#This Row],[client_satisfaction]]&gt;1,Table1[[#This Row],[client_satisfaction]]/100,Table1[[#This Row],[client_satisfaction]])</f>
        <v>0.89</v>
      </c>
      <c r="Y692">
        <f>IF(Table1[[#This Row],[client_satisfaction2]]=0,0.75,Table1[[#This Row],[client_satisfaction2]])</f>
        <v>0.89</v>
      </c>
    </row>
    <row r="693" spans="1:25" x14ac:dyDescent="0.25">
      <c r="A693" t="s">
        <v>1463</v>
      </c>
      <c r="B693" t="s">
        <v>1464</v>
      </c>
      <c r="C693" t="str">
        <f>PROPER(TRIM(SUBSTITUTE(SUBSTITUTE(SUBSTITUTE(Table1[[#This Row],[name]],"Ms. ",""),"Mr. ",""),"Mrs. ","")))</f>
        <v>Natalie Diaz</v>
      </c>
      <c r="D693" t="s">
        <v>20</v>
      </c>
      <c r="E6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93">
        <v>43</v>
      </c>
      <c r="G693" t="str">
        <f>TRIM(IF(Table1[[#This Row],[age]]="","Unknown",Table1[[#This Row],[age]]))</f>
        <v>43</v>
      </c>
      <c r="H693" t="s">
        <v>124</v>
      </c>
      <c r="I693" t="s">
        <v>125</v>
      </c>
      <c r="J693" t="s">
        <v>51</v>
      </c>
      <c r="K693">
        <v>7</v>
      </c>
      <c r="L693" s="10" t="str">
        <f>TRIM(IF(Table1[[#This Row],[years_of_experience]]="","Unknown",Table1[[#This Row],[years_of_experience]]))</f>
        <v>7</v>
      </c>
      <c r="M693" t="s">
        <v>98</v>
      </c>
      <c r="N693" t="str">
        <f>IF(Table1[[#This Row],[hourly_rate (USD)]]="",MEDIAN(Table1[hourly_rate (USD)]),Table1[[#This Row],[hourly_rate (USD)]])</f>
        <v>USD 50</v>
      </c>
      <c r="O693" t="str">
        <f>TRIM(CLEAN(Table1[[#This Row],[Updated hourly_rate (USD)]]))</f>
        <v>USD 50</v>
      </c>
      <c r="P693" t="str">
        <f>SUBSTITUTE(SUBSTITUTE(Table1[[#This Row],[Formatted hourly rate]],"USD ",""),"$","")</f>
        <v>50</v>
      </c>
      <c r="R693">
        <f>IF(Table1[[#This Row],[rating]]="",2.6,Table1[[#This Row],[rating]])</f>
        <v>2.6</v>
      </c>
      <c r="S693">
        <v>1</v>
      </c>
      <c r="T693" t="str">
        <f>TRIM(CLEAN(Table1[[#This Row],[is_active]]))</f>
        <v>1</v>
      </c>
      <c r="U6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93" s="11" t="str">
        <f>TRIM(IF(Table1[[#This Row],[is_active3]]="Unknown","TRUE",Table1[[#This Row],[is_active3]]))</f>
        <v>TRUE</v>
      </c>
      <c r="W693">
        <v>0.8</v>
      </c>
      <c r="X693">
        <f>IF(Table1[[#This Row],[client_satisfaction]]&gt;1,Table1[[#This Row],[client_satisfaction]]/100,Table1[[#This Row],[client_satisfaction]])</f>
        <v>0.8</v>
      </c>
      <c r="Y693">
        <f>IF(Table1[[#This Row],[client_satisfaction2]]=0,0.75,Table1[[#This Row],[client_satisfaction2]])</f>
        <v>0.8</v>
      </c>
    </row>
    <row r="694" spans="1:25" x14ac:dyDescent="0.25">
      <c r="A694" t="s">
        <v>1465</v>
      </c>
      <c r="B694" t="s">
        <v>1421</v>
      </c>
      <c r="C694" t="str">
        <f>PROPER(TRIM(SUBSTITUTE(SUBSTITUTE(SUBSTITUTE(Table1[[#This Row],[name]],"Ms. ",""),"Mr. ",""),"Mrs. ","")))</f>
        <v>Amanda Mitchell</v>
      </c>
      <c r="D694" t="s">
        <v>39</v>
      </c>
      <c r="E6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94">
        <v>31</v>
      </c>
      <c r="G694" t="str">
        <f>TRIM(IF(Table1[[#This Row],[age]]="","Unknown",Table1[[#This Row],[age]]))</f>
        <v>31</v>
      </c>
      <c r="H694" t="s">
        <v>135</v>
      </c>
      <c r="I694" t="s">
        <v>136</v>
      </c>
      <c r="J694" t="s">
        <v>23</v>
      </c>
      <c r="L694" s="10" t="str">
        <f>TRIM(IF(Table1[[#This Row],[years_of_experience]]="","Unknown",Table1[[#This Row],[years_of_experience]]))</f>
        <v>Unknown</v>
      </c>
      <c r="M694">
        <v>50</v>
      </c>
      <c r="N694">
        <f>IF(Table1[[#This Row],[hourly_rate (USD)]]="",MEDIAN(Table1[hourly_rate (USD)]),Table1[[#This Row],[hourly_rate (USD)]])</f>
        <v>50</v>
      </c>
      <c r="O694" t="str">
        <f>TRIM(CLEAN(Table1[[#This Row],[Updated hourly_rate (USD)]]))</f>
        <v>50</v>
      </c>
      <c r="P694" t="str">
        <f>SUBSTITUTE(SUBSTITUTE(Table1[[#This Row],[Formatted hourly rate]],"USD ",""),"$","")</f>
        <v>50</v>
      </c>
      <c r="Q694">
        <v>1.4</v>
      </c>
      <c r="R694">
        <f>IF(Table1[[#This Row],[rating]]="",2.6,Table1[[#This Row],[rating]])</f>
        <v>1.4</v>
      </c>
      <c r="S694" t="s">
        <v>159</v>
      </c>
      <c r="T694" t="str">
        <f>TRIM(CLEAN(Table1[[#This Row],[is_active]]))</f>
        <v>no</v>
      </c>
      <c r="U69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94" s="11" t="str">
        <f>TRIM(IF(Table1[[#This Row],[is_active3]]="Unknown","TRUE",Table1[[#This Row],[is_active3]]))</f>
        <v>FALSE</v>
      </c>
      <c r="W694">
        <v>0.8</v>
      </c>
      <c r="X694">
        <f>IF(Table1[[#This Row],[client_satisfaction]]&gt;1,Table1[[#This Row],[client_satisfaction]]/100,Table1[[#This Row],[client_satisfaction]])</f>
        <v>0.8</v>
      </c>
      <c r="Y694">
        <f>IF(Table1[[#This Row],[client_satisfaction2]]=0,0.75,Table1[[#This Row],[client_satisfaction2]])</f>
        <v>0.8</v>
      </c>
    </row>
    <row r="695" spans="1:25" x14ac:dyDescent="0.25">
      <c r="A695" t="s">
        <v>1466</v>
      </c>
      <c r="B695" t="s">
        <v>1467</v>
      </c>
      <c r="C695" t="str">
        <f>PROPER(TRIM(SUBSTITUTE(SUBSTITUTE(SUBSTITUTE(Table1[[#This Row],[name]],"Ms. ",""),"Mr. ",""),"Mrs. ","")))</f>
        <v>Karen Scott</v>
      </c>
      <c r="D695" t="s">
        <v>20</v>
      </c>
      <c r="E6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95">
        <v>29</v>
      </c>
      <c r="G695" t="str">
        <f>TRIM(IF(Table1[[#This Row],[age]]="","Unknown",Table1[[#This Row],[age]]))</f>
        <v>29</v>
      </c>
      <c r="H695" t="s">
        <v>28</v>
      </c>
      <c r="I695" t="s">
        <v>29</v>
      </c>
      <c r="J695" t="s">
        <v>51</v>
      </c>
      <c r="K695">
        <v>6</v>
      </c>
      <c r="L695" s="10" t="str">
        <f>TRIM(IF(Table1[[#This Row],[years_of_experience]]="","Unknown",Table1[[#This Row],[years_of_experience]]))</f>
        <v>6</v>
      </c>
      <c r="M695">
        <v>100</v>
      </c>
      <c r="N695">
        <f>IF(Table1[[#This Row],[hourly_rate (USD)]]="",MEDIAN(Table1[hourly_rate (USD)]),Table1[[#This Row],[hourly_rate (USD)]])</f>
        <v>100</v>
      </c>
      <c r="O695" t="str">
        <f>TRIM(CLEAN(Table1[[#This Row],[Updated hourly_rate (USD)]]))</f>
        <v>100</v>
      </c>
      <c r="P695" t="str">
        <f>SUBSTITUTE(SUBSTITUTE(Table1[[#This Row],[Formatted hourly rate]],"USD ",""),"$","")</f>
        <v>100</v>
      </c>
      <c r="Q695">
        <v>1.8</v>
      </c>
      <c r="R695">
        <f>IF(Table1[[#This Row],[rating]]="",2.6,Table1[[#This Row],[rating]])</f>
        <v>1.8</v>
      </c>
      <c r="S695" t="s">
        <v>31</v>
      </c>
      <c r="T695" t="str">
        <f>TRIM(CLEAN(Table1[[#This Row],[is_active]]))</f>
        <v>N</v>
      </c>
      <c r="U69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95" s="11" t="str">
        <f>TRIM(IF(Table1[[#This Row],[is_active3]]="Unknown","TRUE",Table1[[#This Row],[is_active3]]))</f>
        <v>FALSE</v>
      </c>
      <c r="X695">
        <f>IF(Table1[[#This Row],[client_satisfaction]]&gt;1,Table1[[#This Row],[client_satisfaction]]/100,Table1[[#This Row],[client_satisfaction]])</f>
        <v>0</v>
      </c>
      <c r="Y695">
        <f>IF(Table1[[#This Row],[client_satisfaction2]]=0,0.75,Table1[[#This Row],[client_satisfaction2]])</f>
        <v>0.75</v>
      </c>
    </row>
    <row r="696" spans="1:25" x14ac:dyDescent="0.25">
      <c r="A696" t="s">
        <v>1468</v>
      </c>
      <c r="B696" t="s">
        <v>839</v>
      </c>
      <c r="C696" t="str">
        <f>PROPER(TRIM(SUBSTITUTE(SUBSTITUTE(SUBSTITUTE(Table1[[#This Row],[name]],"Ms. ",""),"Mr. ",""),"Mrs. ","")))</f>
        <v>Mary Brown</v>
      </c>
      <c r="D696" t="s">
        <v>20</v>
      </c>
      <c r="E6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696">
        <v>53</v>
      </c>
      <c r="G696" t="str">
        <f>TRIM(IF(Table1[[#This Row],[age]]="","Unknown",Table1[[#This Row],[age]]))</f>
        <v>53</v>
      </c>
      <c r="H696" t="s">
        <v>153</v>
      </c>
      <c r="I696" t="s">
        <v>154</v>
      </c>
      <c r="J696" t="s">
        <v>30</v>
      </c>
      <c r="K696">
        <v>35</v>
      </c>
      <c r="L696" s="10" t="str">
        <f>TRIM(IF(Table1[[#This Row],[years_of_experience]]="","Unknown",Table1[[#This Row],[years_of_experience]]))</f>
        <v>35</v>
      </c>
      <c r="N696">
        <f>IF(Table1[[#This Row],[hourly_rate (USD)]]="",MEDIAN(Table1[hourly_rate (USD)]),Table1[[#This Row],[hourly_rate (USD)]])</f>
        <v>50</v>
      </c>
      <c r="O696" t="str">
        <f>TRIM(CLEAN(Table1[[#This Row],[Updated hourly_rate (USD)]]))</f>
        <v>50</v>
      </c>
      <c r="P696" t="str">
        <f>SUBSTITUTE(SUBSTITUTE(Table1[[#This Row],[Formatted hourly rate]],"USD ",""),"$","")</f>
        <v>50</v>
      </c>
      <c r="Q696">
        <v>0</v>
      </c>
      <c r="R696">
        <f>IF(Table1[[#This Row],[rating]]="",2.6,Table1[[#This Row],[rating]])</f>
        <v>0</v>
      </c>
      <c r="S696">
        <v>1</v>
      </c>
      <c r="T696" t="str">
        <f>TRIM(CLEAN(Table1[[#This Row],[is_active]]))</f>
        <v>1</v>
      </c>
      <c r="U6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696" s="11" t="str">
        <f>TRIM(IF(Table1[[#This Row],[is_active3]]="Unknown","TRUE",Table1[[#This Row],[is_active3]]))</f>
        <v>TRUE</v>
      </c>
      <c r="W696">
        <v>0.67</v>
      </c>
      <c r="X696">
        <f>IF(Table1[[#This Row],[client_satisfaction]]&gt;1,Table1[[#This Row],[client_satisfaction]]/100,Table1[[#This Row],[client_satisfaction]])</f>
        <v>0.67</v>
      </c>
      <c r="Y696">
        <f>IF(Table1[[#This Row],[client_satisfaction2]]=0,0.75,Table1[[#This Row],[client_satisfaction2]])</f>
        <v>0.67</v>
      </c>
    </row>
    <row r="697" spans="1:25" x14ac:dyDescent="0.25">
      <c r="A697" t="s">
        <v>1469</v>
      </c>
      <c r="B697" t="s">
        <v>1470</v>
      </c>
      <c r="C697" t="str">
        <f>PROPER(TRIM(SUBSTITUTE(SUBSTITUTE(SUBSTITUTE(Table1[[#This Row],[name]],"Ms. ",""),"Mr. ",""),"Mrs. ","")))</f>
        <v>Jon Jones</v>
      </c>
      <c r="D697" t="s">
        <v>27</v>
      </c>
      <c r="E6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97">
        <v>38</v>
      </c>
      <c r="G697" t="str">
        <f>TRIM(IF(Table1[[#This Row],[age]]="","Unknown",Table1[[#This Row],[age]]))</f>
        <v>38</v>
      </c>
      <c r="H697" t="s">
        <v>93</v>
      </c>
      <c r="I697" t="s">
        <v>94</v>
      </c>
      <c r="J697" t="s">
        <v>23</v>
      </c>
      <c r="K697">
        <v>1</v>
      </c>
      <c r="L697" s="10" t="str">
        <f>TRIM(IF(Table1[[#This Row],[years_of_experience]]="","Unknown",Table1[[#This Row],[years_of_experience]]))</f>
        <v>1</v>
      </c>
      <c r="M697" t="s">
        <v>55</v>
      </c>
      <c r="N697" t="str">
        <f>IF(Table1[[#This Row],[hourly_rate (USD)]]="",MEDIAN(Table1[hourly_rate (USD)]),Table1[[#This Row],[hourly_rate (USD)]])</f>
        <v>USD 40</v>
      </c>
      <c r="O697" t="str">
        <f>TRIM(CLEAN(Table1[[#This Row],[Updated hourly_rate (USD)]]))</f>
        <v>USD 40</v>
      </c>
      <c r="P697" t="str">
        <f>SUBSTITUTE(SUBSTITUTE(Table1[[#This Row],[Formatted hourly rate]],"USD ",""),"$","")</f>
        <v>40</v>
      </c>
      <c r="Q697">
        <v>0</v>
      </c>
      <c r="R697">
        <f>IF(Table1[[#This Row],[rating]]="",2.6,Table1[[#This Row],[rating]])</f>
        <v>0</v>
      </c>
      <c r="S697">
        <v>0</v>
      </c>
      <c r="T697" t="str">
        <f>TRIM(CLEAN(Table1[[#This Row],[is_active]]))</f>
        <v>0</v>
      </c>
      <c r="U69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97" s="11" t="str">
        <f>TRIM(IF(Table1[[#This Row],[is_active3]]="Unknown","TRUE",Table1[[#This Row],[is_active3]]))</f>
        <v>FALSE</v>
      </c>
      <c r="W697">
        <v>0.96</v>
      </c>
      <c r="X697">
        <f>IF(Table1[[#This Row],[client_satisfaction]]&gt;1,Table1[[#This Row],[client_satisfaction]]/100,Table1[[#This Row],[client_satisfaction]])</f>
        <v>0.96</v>
      </c>
      <c r="Y697">
        <f>IF(Table1[[#This Row],[client_satisfaction2]]=0,0.75,Table1[[#This Row],[client_satisfaction2]])</f>
        <v>0.96</v>
      </c>
    </row>
    <row r="698" spans="1:25" x14ac:dyDescent="0.25">
      <c r="A698" t="s">
        <v>1471</v>
      </c>
      <c r="B698" t="s">
        <v>1472</v>
      </c>
      <c r="C698" t="str">
        <f>PROPER(TRIM(SUBSTITUTE(SUBSTITUTE(SUBSTITUTE(Table1[[#This Row],[name]],"Ms. ",""),"Mr. ",""),"Mrs. ","")))</f>
        <v>Jason Phillips</v>
      </c>
      <c r="D698" t="s">
        <v>97</v>
      </c>
      <c r="E6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98">
        <v>29</v>
      </c>
      <c r="G698" t="str">
        <f>TRIM(IF(Table1[[#This Row],[age]]="","Unknown",Table1[[#This Row],[age]]))</f>
        <v>29</v>
      </c>
      <c r="H698" t="s">
        <v>190</v>
      </c>
      <c r="I698" t="s">
        <v>72</v>
      </c>
      <c r="J698" t="s">
        <v>30</v>
      </c>
      <c r="L698" s="10" t="str">
        <f>TRIM(IF(Table1[[#This Row],[years_of_experience]]="","Unknown",Table1[[#This Row],[years_of_experience]]))</f>
        <v>Unknown</v>
      </c>
      <c r="M698">
        <v>20</v>
      </c>
      <c r="N698">
        <f>IF(Table1[[#This Row],[hourly_rate (USD)]]="",MEDIAN(Table1[hourly_rate (USD)]),Table1[[#This Row],[hourly_rate (USD)]])</f>
        <v>20</v>
      </c>
      <c r="O698" t="str">
        <f>TRIM(CLEAN(Table1[[#This Row],[Updated hourly_rate (USD)]]))</f>
        <v>20</v>
      </c>
      <c r="P698" t="str">
        <f>SUBSTITUTE(SUBSTITUTE(Table1[[#This Row],[Formatted hourly rate]],"USD ",""),"$","")</f>
        <v>20</v>
      </c>
      <c r="Q698">
        <v>0</v>
      </c>
      <c r="R698">
        <f>IF(Table1[[#This Row],[rating]]="",2.6,Table1[[#This Row],[rating]])</f>
        <v>0</v>
      </c>
      <c r="S698">
        <v>0</v>
      </c>
      <c r="T698" t="str">
        <f>TRIM(CLEAN(Table1[[#This Row],[is_active]]))</f>
        <v>0</v>
      </c>
      <c r="U69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698" s="11" t="str">
        <f>TRIM(IF(Table1[[#This Row],[is_active3]]="Unknown","TRUE",Table1[[#This Row],[is_active3]]))</f>
        <v>FALSE</v>
      </c>
      <c r="W698">
        <v>0.9</v>
      </c>
      <c r="X698">
        <f>IF(Table1[[#This Row],[client_satisfaction]]&gt;1,Table1[[#This Row],[client_satisfaction]]/100,Table1[[#This Row],[client_satisfaction]])</f>
        <v>0.9</v>
      </c>
      <c r="Y698">
        <f>IF(Table1[[#This Row],[client_satisfaction2]]=0,0.75,Table1[[#This Row],[client_satisfaction2]])</f>
        <v>0.9</v>
      </c>
    </row>
    <row r="699" spans="1:25" x14ac:dyDescent="0.25">
      <c r="A699" t="s">
        <v>1473</v>
      </c>
      <c r="B699" t="s">
        <v>1474</v>
      </c>
      <c r="C699" t="str">
        <f>PROPER(TRIM(SUBSTITUTE(SUBSTITUTE(SUBSTITUTE(Table1[[#This Row],[name]],"Ms. ",""),"Mr. ",""),"Mrs. ","")))</f>
        <v>Eric Walsh</v>
      </c>
      <c r="D699" t="s">
        <v>92</v>
      </c>
      <c r="E6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699">
        <v>42</v>
      </c>
      <c r="G699" t="str">
        <f>TRIM(IF(Table1[[#This Row],[age]]="","Unknown",Table1[[#This Row],[age]]))</f>
        <v>42</v>
      </c>
      <c r="H699" t="s">
        <v>112</v>
      </c>
      <c r="I699" t="s">
        <v>113</v>
      </c>
      <c r="J699" t="s">
        <v>73</v>
      </c>
      <c r="K699">
        <v>0</v>
      </c>
      <c r="L699" s="10" t="str">
        <f>TRIM(IF(Table1[[#This Row],[years_of_experience]]="","Unknown",Table1[[#This Row],[years_of_experience]]))</f>
        <v>0</v>
      </c>
      <c r="N699">
        <f>IF(Table1[[#This Row],[hourly_rate (USD)]]="",MEDIAN(Table1[hourly_rate (USD)]),Table1[[#This Row],[hourly_rate (USD)]])</f>
        <v>50</v>
      </c>
      <c r="O699" t="str">
        <f>TRIM(CLEAN(Table1[[#This Row],[Updated hourly_rate (USD)]]))</f>
        <v>50</v>
      </c>
      <c r="P699" t="str">
        <f>SUBSTITUTE(SUBSTITUTE(Table1[[#This Row],[Formatted hourly rate]],"USD ",""),"$","")</f>
        <v>50</v>
      </c>
      <c r="Q699">
        <v>3.9</v>
      </c>
      <c r="R699">
        <f>IF(Table1[[#This Row],[rating]]="",2.6,Table1[[#This Row],[rating]])</f>
        <v>3.9</v>
      </c>
      <c r="S699" t="b">
        <v>0</v>
      </c>
      <c r="T699" t="str">
        <f>TRIM(CLEAN(Table1[[#This Row],[is_active]]))</f>
        <v>FALSE</v>
      </c>
      <c r="U69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699" s="11" t="str">
        <f>TRIM(IF(Table1[[#This Row],[is_active3]]="Unknown","TRUE",Table1[[#This Row],[is_active3]]))</f>
        <v>TRUE</v>
      </c>
      <c r="W699">
        <v>0.62</v>
      </c>
      <c r="X699">
        <f>IF(Table1[[#This Row],[client_satisfaction]]&gt;1,Table1[[#This Row],[client_satisfaction]]/100,Table1[[#This Row],[client_satisfaction]])</f>
        <v>0.62</v>
      </c>
      <c r="Y699">
        <f>IF(Table1[[#This Row],[client_satisfaction2]]=0,0.75,Table1[[#This Row],[client_satisfaction2]])</f>
        <v>0.62</v>
      </c>
    </row>
    <row r="700" spans="1:25" x14ac:dyDescent="0.25">
      <c r="A700" t="s">
        <v>1475</v>
      </c>
      <c r="B700" t="s">
        <v>1476</v>
      </c>
      <c r="C700" t="str">
        <f>PROPER(TRIM(SUBSTITUTE(SUBSTITUTE(SUBSTITUTE(Table1[[#This Row],[name]],"Ms. ",""),"Mr. ",""),"Mrs. ","")))</f>
        <v>Carol Schneider</v>
      </c>
      <c r="D700" t="s">
        <v>14</v>
      </c>
      <c r="E7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00">
        <v>54</v>
      </c>
      <c r="G700" t="str">
        <f>TRIM(IF(Table1[[#This Row],[age]]="","Unknown",Table1[[#This Row],[age]]))</f>
        <v>54</v>
      </c>
      <c r="H700" t="s">
        <v>58</v>
      </c>
      <c r="I700" t="s">
        <v>22</v>
      </c>
      <c r="J700" t="s">
        <v>114</v>
      </c>
      <c r="K700">
        <v>9</v>
      </c>
      <c r="L700" s="10" t="str">
        <f>TRIM(IF(Table1[[#This Row],[years_of_experience]]="","Unknown",Table1[[#This Row],[years_of_experience]]))</f>
        <v>9</v>
      </c>
      <c r="M700">
        <v>100</v>
      </c>
      <c r="N700">
        <f>IF(Table1[[#This Row],[hourly_rate (USD)]]="",MEDIAN(Table1[hourly_rate (USD)]),Table1[[#This Row],[hourly_rate (USD)]])</f>
        <v>100</v>
      </c>
      <c r="O700" t="str">
        <f>TRIM(CLEAN(Table1[[#This Row],[Updated hourly_rate (USD)]]))</f>
        <v>100</v>
      </c>
      <c r="P700" t="str">
        <f>SUBSTITUTE(SUBSTITUTE(Table1[[#This Row],[Formatted hourly rate]],"USD ",""),"$","")</f>
        <v>100</v>
      </c>
      <c r="R700">
        <f>IF(Table1[[#This Row],[rating]]="",2.6,Table1[[#This Row],[rating]])</f>
        <v>2.6</v>
      </c>
      <c r="S700" t="s">
        <v>31</v>
      </c>
      <c r="T700" t="str">
        <f>TRIM(CLEAN(Table1[[#This Row],[is_active]]))</f>
        <v>N</v>
      </c>
      <c r="U7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00" s="11" t="str">
        <f>TRIM(IF(Table1[[#This Row],[is_active3]]="Unknown","TRUE",Table1[[#This Row],[is_active3]]))</f>
        <v>FALSE</v>
      </c>
      <c r="W700">
        <v>0.72</v>
      </c>
      <c r="X700">
        <f>IF(Table1[[#This Row],[client_satisfaction]]&gt;1,Table1[[#This Row],[client_satisfaction]]/100,Table1[[#This Row],[client_satisfaction]])</f>
        <v>0.72</v>
      </c>
      <c r="Y700">
        <f>IF(Table1[[#This Row],[client_satisfaction2]]=0,0.75,Table1[[#This Row],[client_satisfaction2]])</f>
        <v>0.72</v>
      </c>
    </row>
    <row r="701" spans="1:25" x14ac:dyDescent="0.25">
      <c r="A701" t="s">
        <v>1477</v>
      </c>
      <c r="B701" t="s">
        <v>1478</v>
      </c>
      <c r="C701" t="str">
        <f>PROPER(TRIM(SUBSTITUTE(SUBSTITUTE(SUBSTITUTE(Table1[[#This Row],[name]],"Ms. ",""),"Mr. ",""),"Mrs. ","")))</f>
        <v>Juan Hines</v>
      </c>
      <c r="D701" t="s">
        <v>61</v>
      </c>
      <c r="E7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01">
        <v>56</v>
      </c>
      <c r="G701" t="str">
        <f>TRIM(IF(Table1[[#This Row],[age]]="","Unknown",Table1[[#This Row],[age]]))</f>
        <v>56</v>
      </c>
      <c r="H701" t="s">
        <v>175</v>
      </c>
      <c r="I701" t="s">
        <v>176</v>
      </c>
      <c r="J701" t="s">
        <v>73</v>
      </c>
      <c r="K701">
        <v>18</v>
      </c>
      <c r="L701" s="10" t="str">
        <f>TRIM(IF(Table1[[#This Row],[years_of_experience]]="","Unknown",Table1[[#This Row],[years_of_experience]]))</f>
        <v>18</v>
      </c>
      <c r="M701" t="s">
        <v>98</v>
      </c>
      <c r="N701" t="str">
        <f>IF(Table1[[#This Row],[hourly_rate (USD)]]="",MEDIAN(Table1[hourly_rate (USD)]),Table1[[#This Row],[hourly_rate (USD)]])</f>
        <v>USD 50</v>
      </c>
      <c r="O701" t="str">
        <f>TRIM(CLEAN(Table1[[#This Row],[Updated hourly_rate (USD)]]))</f>
        <v>USD 50</v>
      </c>
      <c r="P701" t="str">
        <f>SUBSTITUTE(SUBSTITUTE(Table1[[#This Row],[Formatted hourly rate]],"USD ",""),"$","")</f>
        <v>50</v>
      </c>
      <c r="Q701">
        <v>4.4000000000000004</v>
      </c>
      <c r="R701">
        <f>IF(Table1[[#This Row],[rating]]="",2.6,Table1[[#This Row],[rating]])</f>
        <v>4.4000000000000004</v>
      </c>
      <c r="S701" t="s">
        <v>74</v>
      </c>
      <c r="T701" t="str">
        <f>TRIM(CLEAN(Table1[[#This Row],[is_active]]))</f>
        <v>Y</v>
      </c>
      <c r="U70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01" s="11" t="str">
        <f>TRIM(IF(Table1[[#This Row],[is_active3]]="Unknown","TRUE",Table1[[#This Row],[is_active3]]))</f>
        <v>TRUE</v>
      </c>
      <c r="W701">
        <v>0.83</v>
      </c>
      <c r="X701">
        <f>IF(Table1[[#This Row],[client_satisfaction]]&gt;1,Table1[[#This Row],[client_satisfaction]]/100,Table1[[#This Row],[client_satisfaction]])</f>
        <v>0.83</v>
      </c>
      <c r="Y701">
        <f>IF(Table1[[#This Row],[client_satisfaction2]]=0,0.75,Table1[[#This Row],[client_satisfaction2]])</f>
        <v>0.83</v>
      </c>
    </row>
    <row r="702" spans="1:25" x14ac:dyDescent="0.25">
      <c r="A702" t="s">
        <v>1479</v>
      </c>
      <c r="B702" t="s">
        <v>1480</v>
      </c>
      <c r="C702" t="str">
        <f>PROPER(TRIM(SUBSTITUTE(SUBSTITUTE(SUBSTITUTE(Table1[[#This Row],[name]],"Ms. ",""),"Mr. ",""),"Mrs. ","")))</f>
        <v>Martha Sweeney</v>
      </c>
      <c r="D702" t="s">
        <v>14</v>
      </c>
      <c r="E7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02">
        <v>47</v>
      </c>
      <c r="G702" t="str">
        <f>TRIM(IF(Table1[[#This Row],[age]]="","Unknown",Table1[[#This Row],[age]]))</f>
        <v>47</v>
      </c>
      <c r="H702" t="s">
        <v>62</v>
      </c>
      <c r="I702" t="s">
        <v>63</v>
      </c>
      <c r="J702" t="s">
        <v>30</v>
      </c>
      <c r="K702">
        <v>22</v>
      </c>
      <c r="L702" s="10" t="str">
        <f>TRIM(IF(Table1[[#This Row],[years_of_experience]]="","Unknown",Table1[[#This Row],[years_of_experience]]))</f>
        <v>22</v>
      </c>
      <c r="M702">
        <v>100</v>
      </c>
      <c r="N702">
        <f>IF(Table1[[#This Row],[hourly_rate (USD)]]="",MEDIAN(Table1[hourly_rate (USD)]),Table1[[#This Row],[hourly_rate (USD)]])</f>
        <v>100</v>
      </c>
      <c r="O702" t="str">
        <f>TRIM(CLEAN(Table1[[#This Row],[Updated hourly_rate (USD)]]))</f>
        <v>100</v>
      </c>
      <c r="P702" t="str">
        <f>SUBSTITUTE(SUBSTITUTE(Table1[[#This Row],[Formatted hourly rate]],"USD ",""),"$","")</f>
        <v>100</v>
      </c>
      <c r="Q702">
        <v>4.4000000000000004</v>
      </c>
      <c r="R702">
        <f>IF(Table1[[#This Row],[rating]]="",2.6,Table1[[#This Row],[rating]])</f>
        <v>4.4000000000000004</v>
      </c>
      <c r="S702" t="s">
        <v>159</v>
      </c>
      <c r="T702" t="str">
        <f>TRIM(CLEAN(Table1[[#This Row],[is_active]]))</f>
        <v>no</v>
      </c>
      <c r="U70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02" s="11" t="str">
        <f>TRIM(IF(Table1[[#This Row],[is_active3]]="Unknown","TRUE",Table1[[#This Row],[is_active3]]))</f>
        <v>FALSE</v>
      </c>
      <c r="W702">
        <v>0.7</v>
      </c>
      <c r="X702">
        <f>IF(Table1[[#This Row],[client_satisfaction]]&gt;1,Table1[[#This Row],[client_satisfaction]]/100,Table1[[#This Row],[client_satisfaction]])</f>
        <v>0.7</v>
      </c>
      <c r="Y702">
        <f>IF(Table1[[#This Row],[client_satisfaction2]]=0,0.75,Table1[[#This Row],[client_satisfaction2]])</f>
        <v>0.7</v>
      </c>
    </row>
    <row r="703" spans="1:25" x14ac:dyDescent="0.25">
      <c r="A703" t="s">
        <v>1481</v>
      </c>
      <c r="B703" t="s">
        <v>1482</v>
      </c>
      <c r="C703" t="str">
        <f>PROPER(TRIM(SUBSTITUTE(SUBSTITUTE(SUBSTITUTE(Table1[[#This Row],[name]],"Ms. ",""),"Mr. ",""),"Mrs. ","")))</f>
        <v>Jason Weaver</v>
      </c>
      <c r="D703" t="s">
        <v>48</v>
      </c>
      <c r="E7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03">
        <v>45</v>
      </c>
      <c r="G703" t="str">
        <f>TRIM(IF(Table1[[#This Row],[age]]="","Unknown",Table1[[#This Row],[age]]))</f>
        <v>45</v>
      </c>
      <c r="H703" t="s">
        <v>124</v>
      </c>
      <c r="I703" t="s">
        <v>125</v>
      </c>
      <c r="J703" t="s">
        <v>17</v>
      </c>
      <c r="K703">
        <v>25</v>
      </c>
      <c r="L703" s="10" t="str">
        <f>TRIM(IF(Table1[[#This Row],[years_of_experience]]="","Unknown",Table1[[#This Row],[years_of_experience]]))</f>
        <v>25</v>
      </c>
      <c r="M703">
        <v>50</v>
      </c>
      <c r="N703">
        <f>IF(Table1[[#This Row],[hourly_rate (USD)]]="",MEDIAN(Table1[hourly_rate (USD)]),Table1[[#This Row],[hourly_rate (USD)]])</f>
        <v>50</v>
      </c>
      <c r="O703" t="str">
        <f>TRIM(CLEAN(Table1[[#This Row],[Updated hourly_rate (USD)]]))</f>
        <v>50</v>
      </c>
      <c r="P703" t="str">
        <f>SUBSTITUTE(SUBSTITUTE(Table1[[#This Row],[Formatted hourly rate]],"USD ",""),"$","")</f>
        <v>50</v>
      </c>
      <c r="Q703">
        <v>0</v>
      </c>
      <c r="R703">
        <f>IF(Table1[[#This Row],[rating]]="",2.6,Table1[[#This Row],[rating]])</f>
        <v>0</v>
      </c>
      <c r="S703" t="s">
        <v>159</v>
      </c>
      <c r="T703" t="str">
        <f>TRIM(CLEAN(Table1[[#This Row],[is_active]]))</f>
        <v>no</v>
      </c>
      <c r="U70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03" s="11" t="str">
        <f>TRIM(IF(Table1[[#This Row],[is_active3]]="Unknown","TRUE",Table1[[#This Row],[is_active3]]))</f>
        <v>FALSE</v>
      </c>
      <c r="W703">
        <v>99</v>
      </c>
      <c r="X703">
        <f>IF(Table1[[#This Row],[client_satisfaction]]&gt;1,Table1[[#This Row],[client_satisfaction]]/100,Table1[[#This Row],[client_satisfaction]])</f>
        <v>0.99</v>
      </c>
      <c r="Y703">
        <f>IF(Table1[[#This Row],[client_satisfaction2]]=0,0.75,Table1[[#This Row],[client_satisfaction2]])</f>
        <v>0.99</v>
      </c>
    </row>
    <row r="704" spans="1:25" x14ac:dyDescent="0.25">
      <c r="A704" t="s">
        <v>1483</v>
      </c>
      <c r="B704" t="s">
        <v>1484</v>
      </c>
      <c r="C704" t="str">
        <f>PROPER(TRIM(SUBSTITUTE(SUBSTITUTE(SUBSTITUTE(Table1[[#This Row],[name]],"Ms. ",""),"Mr. ",""),"Mrs. ","")))</f>
        <v>Benjamin Stevens</v>
      </c>
      <c r="D704" t="s">
        <v>92</v>
      </c>
      <c r="E7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04">
        <v>45</v>
      </c>
      <c r="G704" t="str">
        <f>TRIM(IF(Table1[[#This Row],[age]]="","Unknown",Table1[[#This Row],[age]]))</f>
        <v>45</v>
      </c>
      <c r="H704" t="s">
        <v>175</v>
      </c>
      <c r="I704" t="s">
        <v>176</v>
      </c>
      <c r="J704" t="s">
        <v>51</v>
      </c>
      <c r="K704">
        <v>6</v>
      </c>
      <c r="L704" s="10" t="str">
        <f>TRIM(IF(Table1[[#This Row],[years_of_experience]]="","Unknown",Table1[[#This Row],[years_of_experience]]))</f>
        <v>6</v>
      </c>
      <c r="M704">
        <v>50</v>
      </c>
      <c r="N704">
        <f>IF(Table1[[#This Row],[hourly_rate (USD)]]="",MEDIAN(Table1[hourly_rate (USD)]),Table1[[#This Row],[hourly_rate (USD)]])</f>
        <v>50</v>
      </c>
      <c r="O704" t="str">
        <f>TRIM(CLEAN(Table1[[#This Row],[Updated hourly_rate (USD)]]))</f>
        <v>50</v>
      </c>
      <c r="P704" t="str">
        <f>SUBSTITUTE(SUBSTITUTE(Table1[[#This Row],[Formatted hourly rate]],"USD ",""),"$","")</f>
        <v>50</v>
      </c>
      <c r="Q704">
        <v>1.4</v>
      </c>
      <c r="R704">
        <f>IF(Table1[[#This Row],[rating]]="",2.6,Table1[[#This Row],[rating]])</f>
        <v>1.4</v>
      </c>
      <c r="T704" t="str">
        <f>TRIM(CLEAN(Table1[[#This Row],[is_active]]))</f>
        <v/>
      </c>
      <c r="U70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04" s="11" t="str">
        <f>TRIM(IF(Table1[[#This Row],[is_active3]]="Unknown","TRUE",Table1[[#This Row],[is_active3]]))</f>
        <v>TRUE</v>
      </c>
      <c r="W704">
        <v>97</v>
      </c>
      <c r="X704">
        <f>IF(Table1[[#This Row],[client_satisfaction]]&gt;1,Table1[[#This Row],[client_satisfaction]]/100,Table1[[#This Row],[client_satisfaction]])</f>
        <v>0.97</v>
      </c>
      <c r="Y704">
        <f>IF(Table1[[#This Row],[client_satisfaction2]]=0,0.75,Table1[[#This Row],[client_satisfaction2]])</f>
        <v>0.97</v>
      </c>
    </row>
    <row r="705" spans="1:25" x14ac:dyDescent="0.25">
      <c r="A705" t="s">
        <v>1485</v>
      </c>
      <c r="B705" t="s">
        <v>1486</v>
      </c>
      <c r="C705" t="str">
        <f>PROPER(TRIM(SUBSTITUTE(SUBSTITUTE(SUBSTITUTE(Table1[[#This Row],[name]],"Ms. ",""),"Mr. ",""),"Mrs. ","")))</f>
        <v>Daniel Lopez</v>
      </c>
      <c r="D705" t="s">
        <v>92</v>
      </c>
      <c r="E7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05">
        <v>35</v>
      </c>
      <c r="G705" t="str">
        <f>TRIM(IF(Table1[[#This Row],[age]]="","Unknown",Table1[[#This Row],[age]]))</f>
        <v>35</v>
      </c>
      <c r="H705" t="s">
        <v>128</v>
      </c>
      <c r="I705" t="s">
        <v>22</v>
      </c>
      <c r="J705" t="s">
        <v>114</v>
      </c>
      <c r="K705">
        <v>10</v>
      </c>
      <c r="L705" s="10" t="str">
        <f>TRIM(IF(Table1[[#This Row],[years_of_experience]]="","Unknown",Table1[[#This Row],[years_of_experience]]))</f>
        <v>10</v>
      </c>
      <c r="M705">
        <v>20</v>
      </c>
      <c r="N705">
        <f>IF(Table1[[#This Row],[hourly_rate (USD)]]="",MEDIAN(Table1[hourly_rate (USD)]),Table1[[#This Row],[hourly_rate (USD)]])</f>
        <v>20</v>
      </c>
      <c r="O705" t="str">
        <f>TRIM(CLEAN(Table1[[#This Row],[Updated hourly_rate (USD)]]))</f>
        <v>20</v>
      </c>
      <c r="P705" t="str">
        <f>SUBSTITUTE(SUBSTITUTE(Table1[[#This Row],[Formatted hourly rate]],"USD ",""),"$","")</f>
        <v>20</v>
      </c>
      <c r="Q705">
        <v>3.2</v>
      </c>
      <c r="R705">
        <f>IF(Table1[[#This Row],[rating]]="",2.6,Table1[[#This Row],[rating]])</f>
        <v>3.2</v>
      </c>
      <c r="S705" t="b">
        <v>1</v>
      </c>
      <c r="T705" t="str">
        <f>TRIM(CLEAN(Table1[[#This Row],[is_active]]))</f>
        <v>TRUE</v>
      </c>
      <c r="U70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05" s="11" t="str">
        <f>TRIM(IF(Table1[[#This Row],[is_active3]]="Unknown","TRUE",Table1[[#This Row],[is_active3]]))</f>
        <v>TRUE</v>
      </c>
      <c r="W705">
        <v>0.77</v>
      </c>
      <c r="X705">
        <f>IF(Table1[[#This Row],[client_satisfaction]]&gt;1,Table1[[#This Row],[client_satisfaction]]/100,Table1[[#This Row],[client_satisfaction]])</f>
        <v>0.77</v>
      </c>
      <c r="Y705">
        <f>IF(Table1[[#This Row],[client_satisfaction2]]=0,0.75,Table1[[#This Row],[client_satisfaction2]])</f>
        <v>0.77</v>
      </c>
    </row>
    <row r="706" spans="1:25" x14ac:dyDescent="0.25">
      <c r="A706" t="s">
        <v>1487</v>
      </c>
      <c r="B706" t="s">
        <v>1488</v>
      </c>
      <c r="C706" t="str">
        <f>PROPER(TRIM(SUBSTITUTE(SUBSTITUTE(SUBSTITUTE(Table1[[#This Row],[name]],"Ms. ",""),"Mr. ",""),"Mrs. ","")))</f>
        <v>John Simpson</v>
      </c>
      <c r="D706" t="s">
        <v>27</v>
      </c>
      <c r="E7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06">
        <v>51</v>
      </c>
      <c r="G706" t="str">
        <f>TRIM(IF(Table1[[#This Row],[age]]="","Unknown",Table1[[#This Row],[age]]))</f>
        <v>51</v>
      </c>
      <c r="H706" t="s">
        <v>128</v>
      </c>
      <c r="I706" t="s">
        <v>22</v>
      </c>
      <c r="J706" t="s">
        <v>89</v>
      </c>
      <c r="K706">
        <v>4</v>
      </c>
      <c r="L706" s="10" t="str">
        <f>TRIM(IF(Table1[[#This Row],[years_of_experience]]="","Unknown",Table1[[#This Row],[years_of_experience]]))</f>
        <v>4</v>
      </c>
      <c r="M706" t="s">
        <v>98</v>
      </c>
      <c r="N706" t="str">
        <f>IF(Table1[[#This Row],[hourly_rate (USD)]]="",MEDIAN(Table1[hourly_rate (USD)]),Table1[[#This Row],[hourly_rate (USD)]])</f>
        <v>USD 50</v>
      </c>
      <c r="O706" t="str">
        <f>TRIM(CLEAN(Table1[[#This Row],[Updated hourly_rate (USD)]]))</f>
        <v>USD 50</v>
      </c>
      <c r="P706" t="str">
        <f>SUBSTITUTE(SUBSTITUTE(Table1[[#This Row],[Formatted hourly rate]],"USD ",""),"$","")</f>
        <v>50</v>
      </c>
      <c r="Q706">
        <v>2</v>
      </c>
      <c r="R706">
        <f>IF(Table1[[#This Row],[rating]]="",2.6,Table1[[#This Row],[rating]])</f>
        <v>2</v>
      </c>
      <c r="S706" t="s">
        <v>159</v>
      </c>
      <c r="T706" t="str">
        <f>TRIM(CLEAN(Table1[[#This Row],[is_active]]))</f>
        <v>no</v>
      </c>
      <c r="U70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06" s="11" t="str">
        <f>TRIM(IF(Table1[[#This Row],[is_active3]]="Unknown","TRUE",Table1[[#This Row],[is_active3]]))</f>
        <v>FALSE</v>
      </c>
      <c r="W706">
        <v>0.92</v>
      </c>
      <c r="X706">
        <f>IF(Table1[[#This Row],[client_satisfaction]]&gt;1,Table1[[#This Row],[client_satisfaction]]/100,Table1[[#This Row],[client_satisfaction]])</f>
        <v>0.92</v>
      </c>
      <c r="Y706">
        <f>IF(Table1[[#This Row],[client_satisfaction2]]=0,0.75,Table1[[#This Row],[client_satisfaction2]])</f>
        <v>0.92</v>
      </c>
    </row>
    <row r="707" spans="1:25" x14ac:dyDescent="0.25">
      <c r="A707" t="s">
        <v>1489</v>
      </c>
      <c r="B707" t="s">
        <v>1490</v>
      </c>
      <c r="C707" t="str">
        <f>PROPER(TRIM(SUBSTITUTE(SUBSTITUTE(SUBSTITUTE(Table1[[#This Row],[name]],"Ms. ",""),"Mr. ",""),"Mrs. ","")))</f>
        <v>Katrina Schultz</v>
      </c>
      <c r="D707" t="s">
        <v>34</v>
      </c>
      <c r="E7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07">
        <v>34</v>
      </c>
      <c r="G707" t="str">
        <f>TRIM(IF(Table1[[#This Row],[age]]="","Unknown",Table1[[#This Row],[age]]))</f>
        <v>34</v>
      </c>
      <c r="H707" t="s">
        <v>190</v>
      </c>
      <c r="I707" t="s">
        <v>72</v>
      </c>
      <c r="J707" t="s">
        <v>23</v>
      </c>
      <c r="K707">
        <v>11</v>
      </c>
      <c r="L707" s="10" t="str">
        <f>TRIM(IF(Table1[[#This Row],[years_of_experience]]="","Unknown",Table1[[#This Row],[years_of_experience]]))</f>
        <v>11</v>
      </c>
      <c r="M707">
        <v>50</v>
      </c>
      <c r="N707">
        <f>IF(Table1[[#This Row],[hourly_rate (USD)]]="",MEDIAN(Table1[hourly_rate (USD)]),Table1[[#This Row],[hourly_rate (USD)]])</f>
        <v>50</v>
      </c>
      <c r="O707" t="str">
        <f>TRIM(CLEAN(Table1[[#This Row],[Updated hourly_rate (USD)]]))</f>
        <v>50</v>
      </c>
      <c r="P707" t="str">
        <f>SUBSTITUTE(SUBSTITUTE(Table1[[#This Row],[Formatted hourly rate]],"USD ",""),"$","")</f>
        <v>50</v>
      </c>
      <c r="Q707">
        <v>3.3</v>
      </c>
      <c r="R707">
        <f>IF(Table1[[#This Row],[rating]]="",2.6,Table1[[#This Row],[rating]])</f>
        <v>3.3</v>
      </c>
      <c r="S707" t="s">
        <v>68</v>
      </c>
      <c r="T707" t="str">
        <f>TRIM(CLEAN(Table1[[#This Row],[is_active]]))</f>
        <v>yes</v>
      </c>
      <c r="U70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07" s="11" t="str">
        <f>TRIM(IF(Table1[[#This Row],[is_active3]]="Unknown","TRUE",Table1[[#This Row],[is_active3]]))</f>
        <v>TRUE</v>
      </c>
      <c r="W707">
        <v>0.76</v>
      </c>
      <c r="X707">
        <f>IF(Table1[[#This Row],[client_satisfaction]]&gt;1,Table1[[#This Row],[client_satisfaction]]/100,Table1[[#This Row],[client_satisfaction]])</f>
        <v>0.76</v>
      </c>
      <c r="Y707">
        <f>IF(Table1[[#This Row],[client_satisfaction2]]=0,0.75,Table1[[#This Row],[client_satisfaction2]])</f>
        <v>0.76</v>
      </c>
    </row>
    <row r="708" spans="1:25" x14ac:dyDescent="0.25">
      <c r="A708" t="s">
        <v>1491</v>
      </c>
      <c r="B708" t="s">
        <v>1492</v>
      </c>
      <c r="C708" t="str">
        <f>PROPER(TRIM(SUBSTITUTE(SUBSTITUTE(SUBSTITUTE(Table1[[#This Row],[name]],"Ms. ",""),"Mr. ",""),"Mrs. ","")))</f>
        <v>Danielle Bell</v>
      </c>
      <c r="D708" t="s">
        <v>20</v>
      </c>
      <c r="E7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08">
        <v>51</v>
      </c>
      <c r="G708" t="str">
        <f>TRIM(IF(Table1[[#This Row],[age]]="","Unknown",Table1[[#This Row],[age]]))</f>
        <v>51</v>
      </c>
      <c r="H708" t="s">
        <v>49</v>
      </c>
      <c r="I708" t="s">
        <v>50</v>
      </c>
      <c r="J708" t="s">
        <v>30</v>
      </c>
      <c r="K708">
        <v>1</v>
      </c>
      <c r="L708" s="10" t="str">
        <f>TRIM(IF(Table1[[#This Row],[years_of_experience]]="","Unknown",Table1[[#This Row],[years_of_experience]]))</f>
        <v>1</v>
      </c>
      <c r="M708" t="s">
        <v>64</v>
      </c>
      <c r="N708" t="str">
        <f>IF(Table1[[#This Row],[hourly_rate (USD)]]="",MEDIAN(Table1[hourly_rate (USD)]),Table1[[#This Row],[hourly_rate (USD)]])</f>
        <v>$50</v>
      </c>
      <c r="O708" t="str">
        <f>TRIM(CLEAN(Table1[[#This Row],[Updated hourly_rate (USD)]]))</f>
        <v>$50</v>
      </c>
      <c r="P708" t="str">
        <f>SUBSTITUTE(SUBSTITUTE(Table1[[#This Row],[Formatted hourly rate]],"USD ",""),"$","")</f>
        <v>50</v>
      </c>
      <c r="Q708">
        <v>0</v>
      </c>
      <c r="R708">
        <f>IF(Table1[[#This Row],[rating]]="",2.6,Table1[[#This Row],[rating]])</f>
        <v>0</v>
      </c>
      <c r="S708" t="s">
        <v>74</v>
      </c>
      <c r="T708" t="str">
        <f>TRIM(CLEAN(Table1[[#This Row],[is_active]]))</f>
        <v>Y</v>
      </c>
      <c r="U70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08" s="11" t="str">
        <f>TRIM(IF(Table1[[#This Row],[is_active3]]="Unknown","TRUE",Table1[[#This Row],[is_active3]]))</f>
        <v>TRUE</v>
      </c>
      <c r="W708">
        <v>0.97</v>
      </c>
      <c r="X708">
        <f>IF(Table1[[#This Row],[client_satisfaction]]&gt;1,Table1[[#This Row],[client_satisfaction]]/100,Table1[[#This Row],[client_satisfaction]])</f>
        <v>0.97</v>
      </c>
      <c r="Y708">
        <f>IF(Table1[[#This Row],[client_satisfaction2]]=0,0.75,Table1[[#This Row],[client_satisfaction2]])</f>
        <v>0.97</v>
      </c>
    </row>
    <row r="709" spans="1:25" x14ac:dyDescent="0.25">
      <c r="A709" t="s">
        <v>1493</v>
      </c>
      <c r="B709" t="s">
        <v>1494</v>
      </c>
      <c r="C709" t="str">
        <f>PROPER(TRIM(SUBSTITUTE(SUBSTITUTE(SUBSTITUTE(Table1[[#This Row],[name]],"Ms. ",""),"Mr. ",""),"Mrs. ","")))</f>
        <v>Jason Brady</v>
      </c>
      <c r="D709" t="s">
        <v>92</v>
      </c>
      <c r="E7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09">
        <v>58</v>
      </c>
      <c r="G709" t="str">
        <f>TRIM(IF(Table1[[#This Row],[age]]="","Unknown",Table1[[#This Row],[age]]))</f>
        <v>58</v>
      </c>
      <c r="H709" t="s">
        <v>139</v>
      </c>
      <c r="I709" t="s">
        <v>140</v>
      </c>
      <c r="J709" t="s">
        <v>30</v>
      </c>
      <c r="K709">
        <v>35</v>
      </c>
      <c r="L709" s="10" t="str">
        <f>TRIM(IF(Table1[[#This Row],[years_of_experience]]="","Unknown",Table1[[#This Row],[years_of_experience]]))</f>
        <v>35</v>
      </c>
      <c r="M709" t="s">
        <v>24</v>
      </c>
      <c r="N709" t="str">
        <f>IF(Table1[[#This Row],[hourly_rate (USD)]]="",MEDIAN(Table1[hourly_rate (USD)]),Table1[[#This Row],[hourly_rate (USD)]])</f>
        <v>USD 100</v>
      </c>
      <c r="O709" t="str">
        <f>TRIM(CLEAN(Table1[[#This Row],[Updated hourly_rate (USD)]]))</f>
        <v>USD 100</v>
      </c>
      <c r="P709" t="str">
        <f>SUBSTITUTE(SUBSTITUTE(Table1[[#This Row],[Formatted hourly rate]],"USD ",""),"$","")</f>
        <v>100</v>
      </c>
      <c r="Q709">
        <v>2.2999999999999998</v>
      </c>
      <c r="R709">
        <f>IF(Table1[[#This Row],[rating]]="",2.6,Table1[[#This Row],[rating]])</f>
        <v>2.2999999999999998</v>
      </c>
      <c r="S709" t="s">
        <v>74</v>
      </c>
      <c r="T709" t="str">
        <f>TRIM(CLEAN(Table1[[#This Row],[is_active]]))</f>
        <v>Y</v>
      </c>
      <c r="U70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09" s="11" t="str">
        <f>TRIM(IF(Table1[[#This Row],[is_active3]]="Unknown","TRUE",Table1[[#This Row],[is_active3]]))</f>
        <v>TRUE</v>
      </c>
      <c r="X709">
        <f>IF(Table1[[#This Row],[client_satisfaction]]&gt;1,Table1[[#This Row],[client_satisfaction]]/100,Table1[[#This Row],[client_satisfaction]])</f>
        <v>0</v>
      </c>
      <c r="Y709">
        <f>IF(Table1[[#This Row],[client_satisfaction2]]=0,0.75,Table1[[#This Row],[client_satisfaction2]])</f>
        <v>0.75</v>
      </c>
    </row>
    <row r="710" spans="1:25" x14ac:dyDescent="0.25">
      <c r="A710" t="s">
        <v>1495</v>
      </c>
      <c r="B710" t="s">
        <v>1496</v>
      </c>
      <c r="C710" t="str">
        <f>PROPER(TRIM(SUBSTITUTE(SUBSTITUTE(SUBSTITUTE(Table1[[#This Row],[name]],"Ms. ",""),"Mr. ",""),"Mrs. ","")))</f>
        <v>Megan Bright</v>
      </c>
      <c r="D710" t="s">
        <v>14</v>
      </c>
      <c r="E7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10">
        <v>36</v>
      </c>
      <c r="G710" t="str">
        <f>TRIM(IF(Table1[[#This Row],[age]]="","Unknown",Table1[[#This Row],[age]]))</f>
        <v>36</v>
      </c>
      <c r="H710" t="s">
        <v>42</v>
      </c>
      <c r="I710" t="s">
        <v>43</v>
      </c>
      <c r="J710" t="s">
        <v>35</v>
      </c>
      <c r="K710">
        <v>17</v>
      </c>
      <c r="L710" s="10" t="str">
        <f>TRIM(IF(Table1[[#This Row],[years_of_experience]]="","Unknown",Table1[[#This Row],[years_of_experience]]))</f>
        <v>17</v>
      </c>
      <c r="M710" t="s">
        <v>121</v>
      </c>
      <c r="N710" t="str">
        <f>IF(Table1[[#This Row],[hourly_rate (USD)]]="",MEDIAN(Table1[hourly_rate (USD)]),Table1[[#This Row],[hourly_rate (USD)]])</f>
        <v>$20</v>
      </c>
      <c r="O710" t="str">
        <f>TRIM(CLEAN(Table1[[#This Row],[Updated hourly_rate (USD)]]))</f>
        <v>$20</v>
      </c>
      <c r="P710" t="str">
        <f>SUBSTITUTE(SUBSTITUTE(Table1[[#This Row],[Formatted hourly rate]],"USD ",""),"$","")</f>
        <v>20</v>
      </c>
      <c r="Q710">
        <v>0</v>
      </c>
      <c r="R710">
        <f>IF(Table1[[#This Row],[rating]]="",2.6,Table1[[#This Row],[rating]])</f>
        <v>0</v>
      </c>
      <c r="S710">
        <v>1</v>
      </c>
      <c r="T710" t="str">
        <f>TRIM(CLEAN(Table1[[#This Row],[is_active]]))</f>
        <v>1</v>
      </c>
      <c r="U71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10" s="11" t="str">
        <f>TRIM(IF(Table1[[#This Row],[is_active3]]="Unknown","TRUE",Table1[[#This Row],[is_active3]]))</f>
        <v>TRUE</v>
      </c>
      <c r="W710">
        <v>99</v>
      </c>
      <c r="X710">
        <f>IF(Table1[[#This Row],[client_satisfaction]]&gt;1,Table1[[#This Row],[client_satisfaction]]/100,Table1[[#This Row],[client_satisfaction]])</f>
        <v>0.99</v>
      </c>
      <c r="Y710">
        <f>IF(Table1[[#This Row],[client_satisfaction2]]=0,0.75,Table1[[#This Row],[client_satisfaction2]])</f>
        <v>0.99</v>
      </c>
    </row>
    <row r="711" spans="1:25" x14ac:dyDescent="0.25">
      <c r="A711" t="s">
        <v>1497</v>
      </c>
      <c r="B711" t="s">
        <v>1498</v>
      </c>
      <c r="C711" t="str">
        <f>PROPER(TRIM(SUBSTITUTE(SUBSTITUTE(SUBSTITUTE(Table1[[#This Row],[name]],"Ms. ",""),"Mr. ",""),"Mrs. ","")))</f>
        <v>David Griffin</v>
      </c>
      <c r="D711" t="s">
        <v>61</v>
      </c>
      <c r="E7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711" t="str">
        <f>TRIM(IF(Table1[[#This Row],[age]]="","Unknown",Table1[[#This Row],[age]]))</f>
        <v>Unknown</v>
      </c>
      <c r="H711" t="s">
        <v>124</v>
      </c>
      <c r="I711" t="s">
        <v>125</v>
      </c>
      <c r="J711" t="s">
        <v>44</v>
      </c>
      <c r="K711">
        <v>12</v>
      </c>
      <c r="L711" s="10" t="str">
        <f>TRIM(IF(Table1[[#This Row],[years_of_experience]]="","Unknown",Table1[[#This Row],[years_of_experience]]))</f>
        <v>12</v>
      </c>
      <c r="M711">
        <v>30</v>
      </c>
      <c r="N711">
        <f>IF(Table1[[#This Row],[hourly_rate (USD)]]="",MEDIAN(Table1[hourly_rate (USD)]),Table1[[#This Row],[hourly_rate (USD)]])</f>
        <v>30</v>
      </c>
      <c r="O711" t="str">
        <f>TRIM(CLEAN(Table1[[#This Row],[Updated hourly_rate (USD)]]))</f>
        <v>30</v>
      </c>
      <c r="P711" t="str">
        <f>SUBSTITUTE(SUBSTITUTE(Table1[[#This Row],[Formatted hourly rate]],"USD ",""),"$","")</f>
        <v>30</v>
      </c>
      <c r="Q711">
        <v>2.6</v>
      </c>
      <c r="R711">
        <f>IF(Table1[[#This Row],[rating]]="",2.6,Table1[[#This Row],[rating]])</f>
        <v>2.6</v>
      </c>
      <c r="S711" t="s">
        <v>74</v>
      </c>
      <c r="T711" t="str">
        <f>TRIM(CLEAN(Table1[[#This Row],[is_active]]))</f>
        <v>Y</v>
      </c>
      <c r="U71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11" s="11" t="str">
        <f>TRIM(IF(Table1[[#This Row],[is_active3]]="Unknown","TRUE",Table1[[#This Row],[is_active3]]))</f>
        <v>TRUE</v>
      </c>
      <c r="X711">
        <f>IF(Table1[[#This Row],[client_satisfaction]]&gt;1,Table1[[#This Row],[client_satisfaction]]/100,Table1[[#This Row],[client_satisfaction]])</f>
        <v>0</v>
      </c>
      <c r="Y711">
        <f>IF(Table1[[#This Row],[client_satisfaction2]]=0,0.75,Table1[[#This Row],[client_satisfaction2]])</f>
        <v>0.75</v>
      </c>
    </row>
    <row r="712" spans="1:25" x14ac:dyDescent="0.25">
      <c r="A712" t="s">
        <v>1499</v>
      </c>
      <c r="B712" t="s">
        <v>1500</v>
      </c>
      <c r="C712" t="str">
        <f>PROPER(TRIM(SUBSTITUTE(SUBSTITUTE(SUBSTITUTE(Table1[[#This Row],[name]],"Ms. ",""),"Mr. ",""),"Mrs. ","")))</f>
        <v>Michael Clark</v>
      </c>
      <c r="D712" t="s">
        <v>92</v>
      </c>
      <c r="E7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12">
        <v>56</v>
      </c>
      <c r="G712" t="str">
        <f>TRIM(IF(Table1[[#This Row],[age]]="","Unknown",Table1[[#This Row],[age]]))</f>
        <v>56</v>
      </c>
      <c r="H712" t="s">
        <v>153</v>
      </c>
      <c r="I712" t="s">
        <v>154</v>
      </c>
      <c r="J712" t="s">
        <v>114</v>
      </c>
      <c r="K712">
        <v>30</v>
      </c>
      <c r="L712" s="10" t="str">
        <f>TRIM(IF(Table1[[#This Row],[years_of_experience]]="","Unknown",Table1[[#This Row],[years_of_experience]]))</f>
        <v>30</v>
      </c>
      <c r="M712">
        <v>40</v>
      </c>
      <c r="N712">
        <f>IF(Table1[[#This Row],[hourly_rate (USD)]]="",MEDIAN(Table1[hourly_rate (USD)]),Table1[[#This Row],[hourly_rate (USD)]])</f>
        <v>40</v>
      </c>
      <c r="O712" t="str">
        <f>TRIM(CLEAN(Table1[[#This Row],[Updated hourly_rate (USD)]]))</f>
        <v>40</v>
      </c>
      <c r="P712" t="str">
        <f>SUBSTITUTE(SUBSTITUTE(Table1[[#This Row],[Formatted hourly rate]],"USD ",""),"$","")</f>
        <v>40</v>
      </c>
      <c r="Q712">
        <v>3.3</v>
      </c>
      <c r="R712">
        <f>IF(Table1[[#This Row],[rating]]="",2.6,Table1[[#This Row],[rating]])</f>
        <v>3.3</v>
      </c>
      <c r="S712" t="s">
        <v>68</v>
      </c>
      <c r="T712" t="str">
        <f>TRIM(CLEAN(Table1[[#This Row],[is_active]]))</f>
        <v>yes</v>
      </c>
      <c r="U71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12" s="11" t="str">
        <f>TRIM(IF(Table1[[#This Row],[is_active3]]="Unknown","TRUE",Table1[[#This Row],[is_active3]]))</f>
        <v>TRUE</v>
      </c>
      <c r="W712">
        <v>0.82</v>
      </c>
      <c r="X712">
        <f>IF(Table1[[#This Row],[client_satisfaction]]&gt;1,Table1[[#This Row],[client_satisfaction]]/100,Table1[[#This Row],[client_satisfaction]])</f>
        <v>0.82</v>
      </c>
      <c r="Y712">
        <f>IF(Table1[[#This Row],[client_satisfaction2]]=0,0.75,Table1[[#This Row],[client_satisfaction2]])</f>
        <v>0.82</v>
      </c>
    </row>
    <row r="713" spans="1:25" x14ac:dyDescent="0.25">
      <c r="A713" t="s">
        <v>1501</v>
      </c>
      <c r="B713" t="s">
        <v>1502</v>
      </c>
      <c r="C713" t="str">
        <f>PROPER(TRIM(SUBSTITUTE(SUBSTITUTE(SUBSTITUTE(Table1[[#This Row],[name]],"Ms. ",""),"Mr. ",""),"Mrs. ","")))</f>
        <v>Rebecca Barker</v>
      </c>
      <c r="D713" t="s">
        <v>14</v>
      </c>
      <c r="E7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13">
        <v>58</v>
      </c>
      <c r="G713" t="str">
        <f>TRIM(IF(Table1[[#This Row],[age]]="","Unknown",Table1[[#This Row],[age]]))</f>
        <v>58</v>
      </c>
      <c r="H713" t="s">
        <v>128</v>
      </c>
      <c r="I713" t="s">
        <v>22</v>
      </c>
      <c r="J713" t="s">
        <v>78</v>
      </c>
      <c r="K713">
        <v>20</v>
      </c>
      <c r="L713" s="10" t="str">
        <f>TRIM(IF(Table1[[#This Row],[years_of_experience]]="","Unknown",Table1[[#This Row],[years_of_experience]]))</f>
        <v>20</v>
      </c>
      <c r="M713">
        <v>75</v>
      </c>
      <c r="N713">
        <f>IF(Table1[[#This Row],[hourly_rate (USD)]]="",MEDIAN(Table1[hourly_rate (USD)]),Table1[[#This Row],[hourly_rate (USD)]])</f>
        <v>75</v>
      </c>
      <c r="O713" t="str">
        <f>TRIM(CLEAN(Table1[[#This Row],[Updated hourly_rate (USD)]]))</f>
        <v>75</v>
      </c>
      <c r="P713" t="str">
        <f>SUBSTITUTE(SUBSTITUTE(Table1[[#This Row],[Formatted hourly rate]],"USD ",""),"$","")</f>
        <v>75</v>
      </c>
      <c r="Q713">
        <v>3.6</v>
      </c>
      <c r="R713">
        <f>IF(Table1[[#This Row],[rating]]="",2.6,Table1[[#This Row],[rating]])</f>
        <v>3.6</v>
      </c>
      <c r="S713" t="s">
        <v>68</v>
      </c>
      <c r="T713" t="str">
        <f>TRIM(CLEAN(Table1[[#This Row],[is_active]]))</f>
        <v>yes</v>
      </c>
      <c r="U7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13" s="11" t="str">
        <f>TRIM(IF(Table1[[#This Row],[is_active3]]="Unknown","TRUE",Table1[[#This Row],[is_active3]]))</f>
        <v>TRUE</v>
      </c>
      <c r="W713">
        <v>0.78</v>
      </c>
      <c r="X713">
        <f>IF(Table1[[#This Row],[client_satisfaction]]&gt;1,Table1[[#This Row],[client_satisfaction]]/100,Table1[[#This Row],[client_satisfaction]])</f>
        <v>0.78</v>
      </c>
      <c r="Y713">
        <f>IF(Table1[[#This Row],[client_satisfaction2]]=0,0.75,Table1[[#This Row],[client_satisfaction2]])</f>
        <v>0.78</v>
      </c>
    </row>
    <row r="714" spans="1:25" x14ac:dyDescent="0.25">
      <c r="A714" t="s">
        <v>1503</v>
      </c>
      <c r="B714" t="s">
        <v>1504</v>
      </c>
      <c r="C714" t="str">
        <f>PROPER(TRIM(SUBSTITUTE(SUBSTITUTE(SUBSTITUTE(Table1[[#This Row],[name]],"Ms. ",""),"Mr. ",""),"Mrs. ","")))</f>
        <v>Angela Smith</v>
      </c>
      <c r="D714" t="s">
        <v>14</v>
      </c>
      <c r="E7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14">
        <v>58</v>
      </c>
      <c r="G714" t="str">
        <f>TRIM(IF(Table1[[#This Row],[age]]="","Unknown",Table1[[#This Row],[age]]))</f>
        <v>58</v>
      </c>
      <c r="H714" t="s">
        <v>58</v>
      </c>
      <c r="I714" t="s">
        <v>22</v>
      </c>
      <c r="J714" t="s">
        <v>78</v>
      </c>
      <c r="K714">
        <v>22</v>
      </c>
      <c r="L714" s="10" t="str">
        <f>TRIM(IF(Table1[[#This Row],[years_of_experience]]="","Unknown",Table1[[#This Row],[years_of_experience]]))</f>
        <v>22</v>
      </c>
      <c r="M714">
        <v>100</v>
      </c>
      <c r="N714">
        <f>IF(Table1[[#This Row],[hourly_rate (USD)]]="",MEDIAN(Table1[hourly_rate (USD)]),Table1[[#This Row],[hourly_rate (USD)]])</f>
        <v>100</v>
      </c>
      <c r="O714" t="str">
        <f>TRIM(CLEAN(Table1[[#This Row],[Updated hourly_rate (USD)]]))</f>
        <v>100</v>
      </c>
      <c r="P714" t="str">
        <f>SUBSTITUTE(SUBSTITUTE(Table1[[#This Row],[Formatted hourly rate]],"USD ",""),"$","")</f>
        <v>100</v>
      </c>
      <c r="Q714">
        <v>3.7</v>
      </c>
      <c r="R714">
        <f>IF(Table1[[#This Row],[rating]]="",2.6,Table1[[#This Row],[rating]])</f>
        <v>3.7</v>
      </c>
      <c r="S714">
        <v>0</v>
      </c>
      <c r="T714" t="str">
        <f>TRIM(CLEAN(Table1[[#This Row],[is_active]]))</f>
        <v>0</v>
      </c>
      <c r="U71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14" s="11" t="str">
        <f>TRIM(IF(Table1[[#This Row],[is_active3]]="Unknown","TRUE",Table1[[#This Row],[is_active3]]))</f>
        <v>FALSE</v>
      </c>
      <c r="X714">
        <f>IF(Table1[[#This Row],[client_satisfaction]]&gt;1,Table1[[#This Row],[client_satisfaction]]/100,Table1[[#This Row],[client_satisfaction]])</f>
        <v>0</v>
      </c>
      <c r="Y714">
        <f>IF(Table1[[#This Row],[client_satisfaction2]]=0,0.75,Table1[[#This Row],[client_satisfaction2]])</f>
        <v>0.75</v>
      </c>
    </row>
    <row r="715" spans="1:25" x14ac:dyDescent="0.25">
      <c r="A715" t="s">
        <v>1505</v>
      </c>
      <c r="B715" t="s">
        <v>1506</v>
      </c>
      <c r="C715" t="str">
        <f>PROPER(TRIM(SUBSTITUTE(SUBSTITUTE(SUBSTITUTE(Table1[[#This Row],[name]],"Ms. ",""),"Mr. ",""),"Mrs. ","")))</f>
        <v>Christina Wright</v>
      </c>
      <c r="D715" t="s">
        <v>34</v>
      </c>
      <c r="E7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15">
        <v>54</v>
      </c>
      <c r="G715" t="str">
        <f>TRIM(IF(Table1[[#This Row],[age]]="","Unknown",Table1[[#This Row],[age]]))</f>
        <v>54</v>
      </c>
      <c r="H715" t="s">
        <v>67</v>
      </c>
      <c r="I715" t="s">
        <v>22</v>
      </c>
      <c r="J715" t="s">
        <v>44</v>
      </c>
      <c r="K715">
        <v>32</v>
      </c>
      <c r="L715" s="10" t="str">
        <f>TRIM(IF(Table1[[#This Row],[years_of_experience]]="","Unknown",Table1[[#This Row],[years_of_experience]]))</f>
        <v>32</v>
      </c>
      <c r="M715" t="s">
        <v>121</v>
      </c>
      <c r="N715" t="str">
        <f>IF(Table1[[#This Row],[hourly_rate (USD)]]="",MEDIAN(Table1[hourly_rate (USD)]),Table1[[#This Row],[hourly_rate (USD)]])</f>
        <v>$20</v>
      </c>
      <c r="O715" t="str">
        <f>TRIM(CLEAN(Table1[[#This Row],[Updated hourly_rate (USD)]]))</f>
        <v>$20</v>
      </c>
      <c r="P715" t="str">
        <f>SUBSTITUTE(SUBSTITUTE(Table1[[#This Row],[Formatted hourly rate]],"USD ",""),"$","")</f>
        <v>20</v>
      </c>
      <c r="Q715">
        <v>3.4</v>
      </c>
      <c r="R715">
        <f>IF(Table1[[#This Row],[rating]]="",2.6,Table1[[#This Row],[rating]])</f>
        <v>3.4</v>
      </c>
      <c r="S715" t="s">
        <v>159</v>
      </c>
      <c r="T715" t="str">
        <f>TRIM(CLEAN(Table1[[#This Row],[is_active]]))</f>
        <v>no</v>
      </c>
      <c r="U71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15" s="11" t="str">
        <f>TRIM(IF(Table1[[#This Row],[is_active3]]="Unknown","TRUE",Table1[[#This Row],[is_active3]]))</f>
        <v>FALSE</v>
      </c>
      <c r="X715">
        <f>IF(Table1[[#This Row],[client_satisfaction]]&gt;1,Table1[[#This Row],[client_satisfaction]]/100,Table1[[#This Row],[client_satisfaction]])</f>
        <v>0</v>
      </c>
      <c r="Y715">
        <f>IF(Table1[[#This Row],[client_satisfaction2]]=0,0.75,Table1[[#This Row],[client_satisfaction2]])</f>
        <v>0.75</v>
      </c>
    </row>
    <row r="716" spans="1:25" x14ac:dyDescent="0.25">
      <c r="A716" t="s">
        <v>1507</v>
      </c>
      <c r="B716" t="s">
        <v>1508</v>
      </c>
      <c r="C716" t="str">
        <f>PROPER(TRIM(SUBSTITUTE(SUBSTITUTE(SUBSTITUTE(Table1[[#This Row],[name]],"Ms. ",""),"Mr. ",""),"Mrs. ","")))</f>
        <v>Todd Turner</v>
      </c>
      <c r="D716" t="s">
        <v>27</v>
      </c>
      <c r="E7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16">
        <v>53</v>
      </c>
      <c r="G716" t="str">
        <f>TRIM(IF(Table1[[#This Row],[age]]="","Unknown",Table1[[#This Row],[age]]))</f>
        <v>53</v>
      </c>
      <c r="H716" t="s">
        <v>21</v>
      </c>
      <c r="I716" t="s">
        <v>22</v>
      </c>
      <c r="J716" t="s">
        <v>73</v>
      </c>
      <c r="K716">
        <v>9</v>
      </c>
      <c r="L716" s="10" t="str">
        <f>TRIM(IF(Table1[[#This Row],[years_of_experience]]="","Unknown",Table1[[#This Row],[years_of_experience]]))</f>
        <v>9</v>
      </c>
      <c r="M716">
        <v>50</v>
      </c>
      <c r="N716">
        <f>IF(Table1[[#This Row],[hourly_rate (USD)]]="",MEDIAN(Table1[hourly_rate (USD)]),Table1[[#This Row],[hourly_rate (USD)]])</f>
        <v>50</v>
      </c>
      <c r="O716" t="str">
        <f>TRIM(CLEAN(Table1[[#This Row],[Updated hourly_rate (USD)]]))</f>
        <v>50</v>
      </c>
      <c r="P716" t="str">
        <f>SUBSTITUTE(SUBSTITUTE(Table1[[#This Row],[Formatted hourly rate]],"USD ",""),"$","")</f>
        <v>50</v>
      </c>
      <c r="Q716">
        <v>4</v>
      </c>
      <c r="R716">
        <f>IF(Table1[[#This Row],[rating]]="",2.6,Table1[[#This Row],[rating]])</f>
        <v>4</v>
      </c>
      <c r="S716" t="s">
        <v>74</v>
      </c>
      <c r="T716" t="str">
        <f>TRIM(CLEAN(Table1[[#This Row],[is_active]]))</f>
        <v>Y</v>
      </c>
      <c r="U71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16" s="11" t="str">
        <f>TRIM(IF(Table1[[#This Row],[is_active3]]="Unknown","TRUE",Table1[[#This Row],[is_active3]]))</f>
        <v>TRUE</v>
      </c>
      <c r="W716">
        <v>0.72</v>
      </c>
      <c r="X716">
        <f>IF(Table1[[#This Row],[client_satisfaction]]&gt;1,Table1[[#This Row],[client_satisfaction]]/100,Table1[[#This Row],[client_satisfaction]])</f>
        <v>0.72</v>
      </c>
      <c r="Y716">
        <f>IF(Table1[[#This Row],[client_satisfaction2]]=0,0.75,Table1[[#This Row],[client_satisfaction2]])</f>
        <v>0.72</v>
      </c>
    </row>
    <row r="717" spans="1:25" x14ac:dyDescent="0.25">
      <c r="A717" t="s">
        <v>1509</v>
      </c>
      <c r="B717" t="s">
        <v>1510</v>
      </c>
      <c r="C717" t="str">
        <f>PROPER(TRIM(SUBSTITUTE(SUBSTITUTE(SUBSTITUTE(Table1[[#This Row],[name]],"Ms. ",""),"Mr. ",""),"Mrs. ","")))</f>
        <v>Elizabeth Green</v>
      </c>
      <c r="D717" t="s">
        <v>77</v>
      </c>
      <c r="E7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17">
        <v>43</v>
      </c>
      <c r="G717" t="str">
        <f>TRIM(IF(Table1[[#This Row],[age]]="","Unknown",Table1[[#This Row],[age]]))</f>
        <v>43</v>
      </c>
      <c r="H717" t="s">
        <v>21</v>
      </c>
      <c r="I717" t="s">
        <v>22</v>
      </c>
      <c r="J717" t="s">
        <v>35</v>
      </c>
      <c r="K717">
        <v>22</v>
      </c>
      <c r="L717" s="10" t="str">
        <f>TRIM(IF(Table1[[#This Row],[years_of_experience]]="","Unknown",Table1[[#This Row],[years_of_experience]]))</f>
        <v>22</v>
      </c>
      <c r="M717">
        <v>40</v>
      </c>
      <c r="N717">
        <f>IF(Table1[[#This Row],[hourly_rate (USD)]]="",MEDIAN(Table1[hourly_rate (USD)]),Table1[[#This Row],[hourly_rate (USD)]])</f>
        <v>40</v>
      </c>
      <c r="O717" t="str">
        <f>TRIM(CLEAN(Table1[[#This Row],[Updated hourly_rate (USD)]]))</f>
        <v>40</v>
      </c>
      <c r="P717" t="str">
        <f>SUBSTITUTE(SUBSTITUTE(Table1[[#This Row],[Formatted hourly rate]],"USD ",""),"$","")</f>
        <v>40</v>
      </c>
      <c r="Q717">
        <v>4.5</v>
      </c>
      <c r="R717">
        <f>IF(Table1[[#This Row],[rating]]="",2.6,Table1[[#This Row],[rating]])</f>
        <v>4.5</v>
      </c>
      <c r="T717" t="str">
        <f>TRIM(CLEAN(Table1[[#This Row],[is_active]]))</f>
        <v/>
      </c>
      <c r="U71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17" s="11" t="str">
        <f>TRIM(IF(Table1[[#This Row],[is_active3]]="Unknown","TRUE",Table1[[#This Row],[is_active3]]))</f>
        <v>TRUE</v>
      </c>
      <c r="X717">
        <f>IF(Table1[[#This Row],[client_satisfaction]]&gt;1,Table1[[#This Row],[client_satisfaction]]/100,Table1[[#This Row],[client_satisfaction]])</f>
        <v>0</v>
      </c>
      <c r="Y717">
        <f>IF(Table1[[#This Row],[client_satisfaction2]]=0,0.75,Table1[[#This Row],[client_satisfaction2]])</f>
        <v>0.75</v>
      </c>
    </row>
    <row r="718" spans="1:25" x14ac:dyDescent="0.25">
      <c r="A718" t="s">
        <v>1511</v>
      </c>
      <c r="B718" t="s">
        <v>1512</v>
      </c>
      <c r="C718" t="str">
        <f>PROPER(TRIM(SUBSTITUTE(SUBSTITUTE(SUBSTITUTE(Table1[[#This Row],[name]],"Ms. ",""),"Mr. ",""),"Mrs. ","")))</f>
        <v>Alex Smith</v>
      </c>
      <c r="D718" t="s">
        <v>92</v>
      </c>
      <c r="E7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18">
        <v>44</v>
      </c>
      <c r="G718" t="str">
        <f>TRIM(IF(Table1[[#This Row],[age]]="","Unknown",Table1[[#This Row],[age]]))</f>
        <v>44</v>
      </c>
      <c r="H718" t="s">
        <v>112</v>
      </c>
      <c r="I718" t="s">
        <v>113</v>
      </c>
      <c r="J718" t="s">
        <v>114</v>
      </c>
      <c r="K718">
        <v>1</v>
      </c>
      <c r="L718" s="10" t="str">
        <f>TRIM(IF(Table1[[#This Row],[years_of_experience]]="","Unknown",Table1[[#This Row],[years_of_experience]]))</f>
        <v>1</v>
      </c>
      <c r="M718">
        <v>75</v>
      </c>
      <c r="N718">
        <f>IF(Table1[[#This Row],[hourly_rate (USD)]]="",MEDIAN(Table1[hourly_rate (USD)]),Table1[[#This Row],[hourly_rate (USD)]])</f>
        <v>75</v>
      </c>
      <c r="O718" t="str">
        <f>TRIM(CLEAN(Table1[[#This Row],[Updated hourly_rate (USD)]]))</f>
        <v>75</v>
      </c>
      <c r="P718" t="str">
        <f>SUBSTITUTE(SUBSTITUTE(Table1[[#This Row],[Formatted hourly rate]],"USD ",""),"$","")</f>
        <v>75</v>
      </c>
      <c r="Q718">
        <v>4.3</v>
      </c>
      <c r="R718">
        <f>IF(Table1[[#This Row],[rating]]="",2.6,Table1[[#This Row],[rating]])</f>
        <v>4.3</v>
      </c>
      <c r="S718">
        <v>1</v>
      </c>
      <c r="T718" t="str">
        <f>TRIM(CLEAN(Table1[[#This Row],[is_active]]))</f>
        <v>1</v>
      </c>
      <c r="U7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18" s="11" t="str">
        <f>TRIM(IF(Table1[[#This Row],[is_active3]]="Unknown","TRUE",Table1[[#This Row],[is_active3]]))</f>
        <v>TRUE</v>
      </c>
      <c r="X718">
        <f>IF(Table1[[#This Row],[client_satisfaction]]&gt;1,Table1[[#This Row],[client_satisfaction]]/100,Table1[[#This Row],[client_satisfaction]])</f>
        <v>0</v>
      </c>
      <c r="Y718">
        <f>IF(Table1[[#This Row],[client_satisfaction2]]=0,0.75,Table1[[#This Row],[client_satisfaction2]])</f>
        <v>0.75</v>
      </c>
    </row>
    <row r="719" spans="1:25" x14ac:dyDescent="0.25">
      <c r="A719" t="s">
        <v>1513</v>
      </c>
      <c r="B719" t="s">
        <v>1514</v>
      </c>
      <c r="C719" t="str">
        <f>PROPER(TRIM(SUBSTITUTE(SUBSTITUTE(SUBSTITUTE(Table1[[#This Row],[name]],"Ms. ",""),"Mr. ",""),"Mrs. ","")))</f>
        <v>Shane Hale</v>
      </c>
      <c r="D719" t="s">
        <v>92</v>
      </c>
      <c r="E7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19">
        <v>34</v>
      </c>
      <c r="G719" t="str">
        <f>TRIM(IF(Table1[[#This Row],[age]]="","Unknown",Table1[[#This Row],[age]]))</f>
        <v>34</v>
      </c>
      <c r="H719" t="s">
        <v>128</v>
      </c>
      <c r="I719" t="s">
        <v>22</v>
      </c>
      <c r="J719" t="s">
        <v>78</v>
      </c>
      <c r="K719">
        <v>4</v>
      </c>
      <c r="L719" s="10" t="str">
        <f>TRIM(IF(Table1[[#This Row],[years_of_experience]]="","Unknown",Table1[[#This Row],[years_of_experience]]))</f>
        <v>4</v>
      </c>
      <c r="M719">
        <v>75</v>
      </c>
      <c r="N719">
        <f>IF(Table1[[#This Row],[hourly_rate (USD)]]="",MEDIAN(Table1[hourly_rate (USD)]),Table1[[#This Row],[hourly_rate (USD)]])</f>
        <v>75</v>
      </c>
      <c r="O719" t="str">
        <f>TRIM(CLEAN(Table1[[#This Row],[Updated hourly_rate (USD)]]))</f>
        <v>75</v>
      </c>
      <c r="P719" t="str">
        <f>SUBSTITUTE(SUBSTITUTE(Table1[[#This Row],[Formatted hourly rate]],"USD ",""),"$","")</f>
        <v>75</v>
      </c>
      <c r="Q719">
        <v>4</v>
      </c>
      <c r="R719">
        <f>IF(Table1[[#This Row],[rating]]="",2.6,Table1[[#This Row],[rating]])</f>
        <v>4</v>
      </c>
      <c r="S719">
        <v>1</v>
      </c>
      <c r="T719" t="str">
        <f>TRIM(CLEAN(Table1[[#This Row],[is_active]]))</f>
        <v>1</v>
      </c>
      <c r="U71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19" s="11" t="str">
        <f>TRIM(IF(Table1[[#This Row],[is_active3]]="Unknown","TRUE",Table1[[#This Row],[is_active3]]))</f>
        <v>TRUE</v>
      </c>
      <c r="X719">
        <f>IF(Table1[[#This Row],[client_satisfaction]]&gt;1,Table1[[#This Row],[client_satisfaction]]/100,Table1[[#This Row],[client_satisfaction]])</f>
        <v>0</v>
      </c>
      <c r="Y719">
        <f>IF(Table1[[#This Row],[client_satisfaction2]]=0,0.75,Table1[[#This Row],[client_satisfaction2]])</f>
        <v>0.75</v>
      </c>
    </row>
    <row r="720" spans="1:25" x14ac:dyDescent="0.25">
      <c r="A720" t="s">
        <v>1515</v>
      </c>
      <c r="B720" t="s">
        <v>1516</v>
      </c>
      <c r="C720" t="str">
        <f>PROPER(TRIM(SUBSTITUTE(SUBSTITUTE(SUBSTITUTE(Table1[[#This Row],[name]],"Ms. ",""),"Mr. ",""),"Mrs. ","")))</f>
        <v>Kathy Grimes</v>
      </c>
      <c r="D720" t="s">
        <v>39</v>
      </c>
      <c r="E7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20">
        <v>27</v>
      </c>
      <c r="G720" t="str">
        <f>TRIM(IF(Table1[[#This Row],[age]]="","Unknown",Table1[[#This Row],[age]]))</f>
        <v>27</v>
      </c>
      <c r="H720" t="s">
        <v>107</v>
      </c>
      <c r="I720" t="s">
        <v>108</v>
      </c>
      <c r="J720" t="s">
        <v>23</v>
      </c>
      <c r="K720">
        <v>8</v>
      </c>
      <c r="L720" s="10" t="str">
        <f>TRIM(IF(Table1[[#This Row],[years_of_experience]]="","Unknown",Table1[[#This Row],[years_of_experience]]))</f>
        <v>8</v>
      </c>
      <c r="M720" t="s">
        <v>64</v>
      </c>
      <c r="N720" t="str">
        <f>IF(Table1[[#This Row],[hourly_rate (USD)]]="",MEDIAN(Table1[hourly_rate (USD)]),Table1[[#This Row],[hourly_rate (USD)]])</f>
        <v>$50</v>
      </c>
      <c r="O720" t="str">
        <f>TRIM(CLEAN(Table1[[#This Row],[Updated hourly_rate (USD)]]))</f>
        <v>$50</v>
      </c>
      <c r="P720" t="str">
        <f>SUBSTITUTE(SUBSTITUTE(Table1[[#This Row],[Formatted hourly rate]],"USD ",""),"$","")</f>
        <v>50</v>
      </c>
      <c r="Q720">
        <v>1.6</v>
      </c>
      <c r="R720">
        <f>IF(Table1[[#This Row],[rating]]="",2.6,Table1[[#This Row],[rating]])</f>
        <v>1.6</v>
      </c>
      <c r="S720" t="s">
        <v>68</v>
      </c>
      <c r="T720" t="str">
        <f>TRIM(CLEAN(Table1[[#This Row],[is_active]]))</f>
        <v>yes</v>
      </c>
      <c r="U72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20" s="11" t="str">
        <f>TRIM(IF(Table1[[#This Row],[is_active3]]="Unknown","TRUE",Table1[[#This Row],[is_active3]]))</f>
        <v>TRUE</v>
      </c>
      <c r="X720">
        <f>IF(Table1[[#This Row],[client_satisfaction]]&gt;1,Table1[[#This Row],[client_satisfaction]]/100,Table1[[#This Row],[client_satisfaction]])</f>
        <v>0</v>
      </c>
      <c r="Y720">
        <f>IF(Table1[[#This Row],[client_satisfaction2]]=0,0.75,Table1[[#This Row],[client_satisfaction2]])</f>
        <v>0.75</v>
      </c>
    </row>
    <row r="721" spans="1:25" x14ac:dyDescent="0.25">
      <c r="A721" t="s">
        <v>1517</v>
      </c>
      <c r="B721" t="s">
        <v>1518</v>
      </c>
      <c r="C721" t="str">
        <f>PROPER(TRIM(SUBSTITUTE(SUBSTITUTE(SUBSTITUTE(Table1[[#This Row],[name]],"Ms. ",""),"Mr. ",""),"Mrs. ","")))</f>
        <v>David Cherry</v>
      </c>
      <c r="D721" t="s">
        <v>48</v>
      </c>
      <c r="E7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21">
        <v>50</v>
      </c>
      <c r="G721" t="str">
        <f>TRIM(IF(Table1[[#This Row],[age]]="","Unknown",Table1[[#This Row],[age]]))</f>
        <v>50</v>
      </c>
      <c r="H721" t="s">
        <v>85</v>
      </c>
      <c r="I721" t="s">
        <v>86</v>
      </c>
      <c r="J721" t="s">
        <v>51</v>
      </c>
      <c r="K721">
        <v>3</v>
      </c>
      <c r="L721" s="10" t="str">
        <f>TRIM(IF(Table1[[#This Row],[years_of_experience]]="","Unknown",Table1[[#This Row],[years_of_experience]]))</f>
        <v>3</v>
      </c>
      <c r="M721">
        <v>100</v>
      </c>
      <c r="N721">
        <f>IF(Table1[[#This Row],[hourly_rate (USD)]]="",MEDIAN(Table1[hourly_rate (USD)]),Table1[[#This Row],[hourly_rate (USD)]])</f>
        <v>100</v>
      </c>
      <c r="O721" t="str">
        <f>TRIM(CLEAN(Table1[[#This Row],[Updated hourly_rate (USD)]]))</f>
        <v>100</v>
      </c>
      <c r="P721" t="str">
        <f>SUBSTITUTE(SUBSTITUTE(Table1[[#This Row],[Formatted hourly rate]],"USD ",""),"$","")</f>
        <v>100</v>
      </c>
      <c r="Q721">
        <v>0</v>
      </c>
      <c r="R721">
        <f>IF(Table1[[#This Row],[rating]]="",2.6,Table1[[#This Row],[rating]])</f>
        <v>0</v>
      </c>
      <c r="S721" t="s">
        <v>74</v>
      </c>
      <c r="T721" t="str">
        <f>TRIM(CLEAN(Table1[[#This Row],[is_active]]))</f>
        <v>Y</v>
      </c>
      <c r="U7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21" s="11" t="str">
        <f>TRIM(IF(Table1[[#This Row],[is_active3]]="Unknown","TRUE",Table1[[#This Row],[is_active3]]))</f>
        <v>TRUE</v>
      </c>
      <c r="X721">
        <f>IF(Table1[[#This Row],[client_satisfaction]]&gt;1,Table1[[#This Row],[client_satisfaction]]/100,Table1[[#This Row],[client_satisfaction]])</f>
        <v>0</v>
      </c>
      <c r="Y721">
        <f>IF(Table1[[#This Row],[client_satisfaction2]]=0,0.75,Table1[[#This Row],[client_satisfaction2]])</f>
        <v>0.75</v>
      </c>
    </row>
    <row r="722" spans="1:25" x14ac:dyDescent="0.25">
      <c r="A722" t="s">
        <v>1519</v>
      </c>
      <c r="B722" t="s">
        <v>1520</v>
      </c>
      <c r="C722" t="str">
        <f>PROPER(TRIM(SUBSTITUTE(SUBSTITUTE(SUBSTITUTE(Table1[[#This Row],[name]],"Ms. ",""),"Mr. ",""),"Mrs. ","")))</f>
        <v>Rachel Rogers</v>
      </c>
      <c r="D722" t="s">
        <v>39</v>
      </c>
      <c r="E7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22">
        <v>52</v>
      </c>
      <c r="G722" t="str">
        <f>TRIM(IF(Table1[[#This Row],[age]]="","Unknown",Table1[[#This Row],[age]]))</f>
        <v>52</v>
      </c>
      <c r="H722" t="s">
        <v>112</v>
      </c>
      <c r="I722" t="s">
        <v>113</v>
      </c>
      <c r="J722" t="s">
        <v>73</v>
      </c>
      <c r="K722">
        <v>30</v>
      </c>
      <c r="L722" s="10" t="str">
        <f>TRIM(IF(Table1[[#This Row],[years_of_experience]]="","Unknown",Table1[[#This Row],[years_of_experience]]))</f>
        <v>30</v>
      </c>
      <c r="M722">
        <v>75</v>
      </c>
      <c r="N722">
        <f>IF(Table1[[#This Row],[hourly_rate (USD)]]="",MEDIAN(Table1[hourly_rate (USD)]),Table1[[#This Row],[hourly_rate (USD)]])</f>
        <v>75</v>
      </c>
      <c r="O722" t="str">
        <f>TRIM(CLEAN(Table1[[#This Row],[Updated hourly_rate (USD)]]))</f>
        <v>75</v>
      </c>
      <c r="P722" t="str">
        <f>SUBSTITUTE(SUBSTITUTE(Table1[[#This Row],[Formatted hourly rate]],"USD ",""),"$","")</f>
        <v>75</v>
      </c>
      <c r="R722">
        <f>IF(Table1[[#This Row],[rating]]="",2.6,Table1[[#This Row],[rating]])</f>
        <v>2.6</v>
      </c>
      <c r="S722" t="s">
        <v>159</v>
      </c>
      <c r="T722" t="str">
        <f>TRIM(CLEAN(Table1[[#This Row],[is_active]]))</f>
        <v>no</v>
      </c>
      <c r="U72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22" s="11" t="str">
        <f>TRIM(IF(Table1[[#This Row],[is_active3]]="Unknown","TRUE",Table1[[#This Row],[is_active3]]))</f>
        <v>FALSE</v>
      </c>
      <c r="W722">
        <v>0.94</v>
      </c>
      <c r="X722">
        <f>IF(Table1[[#This Row],[client_satisfaction]]&gt;1,Table1[[#This Row],[client_satisfaction]]/100,Table1[[#This Row],[client_satisfaction]])</f>
        <v>0.94</v>
      </c>
      <c r="Y722">
        <f>IF(Table1[[#This Row],[client_satisfaction2]]=0,0.75,Table1[[#This Row],[client_satisfaction2]])</f>
        <v>0.94</v>
      </c>
    </row>
    <row r="723" spans="1:25" x14ac:dyDescent="0.25">
      <c r="A723" t="s">
        <v>1521</v>
      </c>
      <c r="B723" t="s">
        <v>1522</v>
      </c>
      <c r="C723" t="str">
        <f>PROPER(TRIM(SUBSTITUTE(SUBSTITUTE(SUBSTITUTE(Table1[[#This Row],[name]],"Ms. ",""),"Mr. ",""),"Mrs. ","")))</f>
        <v>Travis Braun</v>
      </c>
      <c r="D723" t="s">
        <v>61</v>
      </c>
      <c r="E7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23">
        <v>57</v>
      </c>
      <c r="G723" t="str">
        <f>TRIM(IF(Table1[[#This Row],[age]]="","Unknown",Table1[[#This Row],[age]]))</f>
        <v>57</v>
      </c>
      <c r="H723" t="s">
        <v>190</v>
      </c>
      <c r="I723" t="s">
        <v>72</v>
      </c>
      <c r="J723" t="s">
        <v>17</v>
      </c>
      <c r="K723">
        <v>11</v>
      </c>
      <c r="L723" s="10" t="str">
        <f>TRIM(IF(Table1[[#This Row],[years_of_experience]]="","Unknown",Table1[[#This Row],[years_of_experience]]))</f>
        <v>11</v>
      </c>
      <c r="M723" t="s">
        <v>314</v>
      </c>
      <c r="N723" t="str">
        <f>IF(Table1[[#This Row],[hourly_rate (USD)]]="",MEDIAN(Table1[hourly_rate (USD)]),Table1[[#This Row],[hourly_rate (USD)]])</f>
        <v>USD 20</v>
      </c>
      <c r="O723" t="str">
        <f>TRIM(CLEAN(Table1[[#This Row],[Updated hourly_rate (USD)]]))</f>
        <v>USD 20</v>
      </c>
      <c r="P723" t="str">
        <f>SUBSTITUTE(SUBSTITUTE(Table1[[#This Row],[Formatted hourly rate]],"USD ",""),"$","")</f>
        <v>20</v>
      </c>
      <c r="Q723">
        <v>4.9000000000000004</v>
      </c>
      <c r="R723">
        <f>IF(Table1[[#This Row],[rating]]="",2.6,Table1[[#This Row],[rating]])</f>
        <v>4.9000000000000004</v>
      </c>
      <c r="S723" t="s">
        <v>74</v>
      </c>
      <c r="T723" t="str">
        <f>TRIM(CLEAN(Table1[[#This Row],[is_active]]))</f>
        <v>Y</v>
      </c>
      <c r="U72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23" s="11" t="str">
        <f>TRIM(IF(Table1[[#This Row],[is_active3]]="Unknown","TRUE",Table1[[#This Row],[is_active3]]))</f>
        <v>TRUE</v>
      </c>
      <c r="X723">
        <f>IF(Table1[[#This Row],[client_satisfaction]]&gt;1,Table1[[#This Row],[client_satisfaction]]/100,Table1[[#This Row],[client_satisfaction]])</f>
        <v>0</v>
      </c>
      <c r="Y723">
        <f>IF(Table1[[#This Row],[client_satisfaction2]]=0,0.75,Table1[[#This Row],[client_satisfaction2]])</f>
        <v>0.75</v>
      </c>
    </row>
    <row r="724" spans="1:25" x14ac:dyDescent="0.25">
      <c r="A724" t="s">
        <v>1523</v>
      </c>
      <c r="B724" t="s">
        <v>1524</v>
      </c>
      <c r="C724" t="str">
        <f>PROPER(TRIM(SUBSTITUTE(SUBSTITUTE(SUBSTITUTE(Table1[[#This Row],[name]],"Ms. ",""),"Mr. ",""),"Mrs. ","")))</f>
        <v>Shawna Palmer</v>
      </c>
      <c r="D724" t="s">
        <v>39</v>
      </c>
      <c r="E7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24">
        <v>53</v>
      </c>
      <c r="G724" t="str">
        <f>TRIM(IF(Table1[[#This Row],[age]]="","Unknown",Table1[[#This Row],[age]]))</f>
        <v>53</v>
      </c>
      <c r="H724" t="s">
        <v>179</v>
      </c>
      <c r="I724" t="s">
        <v>72</v>
      </c>
      <c r="J724" t="s">
        <v>89</v>
      </c>
      <c r="K724">
        <v>8</v>
      </c>
      <c r="L724" s="10" t="str">
        <f>TRIM(IF(Table1[[#This Row],[years_of_experience]]="","Unknown",Table1[[#This Row],[years_of_experience]]))</f>
        <v>8</v>
      </c>
      <c r="M724">
        <v>20</v>
      </c>
      <c r="N724">
        <f>IF(Table1[[#This Row],[hourly_rate (USD)]]="",MEDIAN(Table1[hourly_rate (USD)]),Table1[[#This Row],[hourly_rate (USD)]])</f>
        <v>20</v>
      </c>
      <c r="O724" t="str">
        <f>TRIM(CLEAN(Table1[[#This Row],[Updated hourly_rate (USD)]]))</f>
        <v>20</v>
      </c>
      <c r="P724" t="str">
        <f>SUBSTITUTE(SUBSTITUTE(Table1[[#This Row],[Formatted hourly rate]],"USD ",""),"$","")</f>
        <v>20</v>
      </c>
      <c r="Q724">
        <v>2.8</v>
      </c>
      <c r="R724">
        <f>IF(Table1[[#This Row],[rating]]="",2.6,Table1[[#This Row],[rating]])</f>
        <v>2.8</v>
      </c>
      <c r="S724" t="b">
        <v>1</v>
      </c>
      <c r="T724" t="str">
        <f>TRIM(CLEAN(Table1[[#This Row],[is_active]]))</f>
        <v>TRUE</v>
      </c>
      <c r="U72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24" s="11" t="str">
        <f>TRIM(IF(Table1[[#This Row],[is_active3]]="Unknown","TRUE",Table1[[#This Row],[is_active3]]))</f>
        <v>TRUE</v>
      </c>
      <c r="X724">
        <f>IF(Table1[[#This Row],[client_satisfaction]]&gt;1,Table1[[#This Row],[client_satisfaction]]/100,Table1[[#This Row],[client_satisfaction]])</f>
        <v>0</v>
      </c>
      <c r="Y724">
        <f>IF(Table1[[#This Row],[client_satisfaction2]]=0,0.75,Table1[[#This Row],[client_satisfaction2]])</f>
        <v>0.75</v>
      </c>
    </row>
    <row r="725" spans="1:25" x14ac:dyDescent="0.25">
      <c r="A725" t="s">
        <v>1525</v>
      </c>
      <c r="B725" t="s">
        <v>1526</v>
      </c>
      <c r="C725" t="str">
        <f>PROPER(TRIM(SUBSTITUTE(SUBSTITUTE(SUBSTITUTE(Table1[[#This Row],[name]],"Ms. ",""),"Mr. ",""),"Mrs. ","")))</f>
        <v>Bradley Gaines</v>
      </c>
      <c r="D725" t="s">
        <v>48</v>
      </c>
      <c r="E7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25">
        <v>51</v>
      </c>
      <c r="G725" t="str">
        <f>TRIM(IF(Table1[[#This Row],[age]]="","Unknown",Table1[[#This Row],[age]]))</f>
        <v>51</v>
      </c>
      <c r="H725" t="s">
        <v>62</v>
      </c>
      <c r="I725" t="s">
        <v>63</v>
      </c>
      <c r="J725" t="s">
        <v>73</v>
      </c>
      <c r="K725">
        <v>11</v>
      </c>
      <c r="L725" s="10" t="str">
        <f>TRIM(IF(Table1[[#This Row],[years_of_experience]]="","Unknown",Table1[[#This Row],[years_of_experience]]))</f>
        <v>11</v>
      </c>
      <c r="M725" t="s">
        <v>109</v>
      </c>
      <c r="N725" t="str">
        <f>IF(Table1[[#This Row],[hourly_rate (USD)]]="",MEDIAN(Table1[hourly_rate (USD)]),Table1[[#This Row],[hourly_rate (USD)]])</f>
        <v>USD 30</v>
      </c>
      <c r="O725" t="str">
        <f>TRIM(CLEAN(Table1[[#This Row],[Updated hourly_rate (USD)]]))</f>
        <v>USD 30</v>
      </c>
      <c r="P725" t="str">
        <f>SUBSTITUTE(SUBSTITUTE(Table1[[#This Row],[Formatted hourly rate]],"USD ",""),"$","")</f>
        <v>30</v>
      </c>
      <c r="Q725">
        <v>3.6</v>
      </c>
      <c r="R725">
        <f>IF(Table1[[#This Row],[rating]]="",2.6,Table1[[#This Row],[rating]])</f>
        <v>3.6</v>
      </c>
      <c r="S725" t="s">
        <v>74</v>
      </c>
      <c r="T725" t="str">
        <f>TRIM(CLEAN(Table1[[#This Row],[is_active]]))</f>
        <v>Y</v>
      </c>
      <c r="U72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25" s="11" t="str">
        <f>TRIM(IF(Table1[[#This Row],[is_active3]]="Unknown","TRUE",Table1[[#This Row],[is_active3]]))</f>
        <v>TRUE</v>
      </c>
      <c r="W725">
        <v>0.77</v>
      </c>
      <c r="X725">
        <f>IF(Table1[[#This Row],[client_satisfaction]]&gt;1,Table1[[#This Row],[client_satisfaction]]/100,Table1[[#This Row],[client_satisfaction]])</f>
        <v>0.77</v>
      </c>
      <c r="Y725">
        <f>IF(Table1[[#This Row],[client_satisfaction2]]=0,0.75,Table1[[#This Row],[client_satisfaction2]])</f>
        <v>0.77</v>
      </c>
    </row>
    <row r="726" spans="1:25" x14ac:dyDescent="0.25">
      <c r="A726" t="s">
        <v>1527</v>
      </c>
      <c r="B726" t="s">
        <v>1528</v>
      </c>
      <c r="C726" t="str">
        <f>PROPER(TRIM(SUBSTITUTE(SUBSTITUTE(SUBSTITUTE(Table1[[#This Row],[name]],"Ms. ",""),"Mr. ",""),"Mrs. ","")))</f>
        <v>April Ford</v>
      </c>
      <c r="D726" t="s">
        <v>20</v>
      </c>
      <c r="E7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26">
        <v>37</v>
      </c>
      <c r="G726" t="str">
        <f>TRIM(IF(Table1[[#This Row],[age]]="","Unknown",Table1[[#This Row],[age]]))</f>
        <v>37</v>
      </c>
      <c r="H726" t="s">
        <v>128</v>
      </c>
      <c r="I726" t="s">
        <v>22</v>
      </c>
      <c r="J726" t="s">
        <v>78</v>
      </c>
      <c r="K726">
        <v>9</v>
      </c>
      <c r="L726" s="10" t="str">
        <f>TRIM(IF(Table1[[#This Row],[years_of_experience]]="","Unknown",Table1[[#This Row],[years_of_experience]]))</f>
        <v>9</v>
      </c>
      <c r="M726" t="s">
        <v>64</v>
      </c>
      <c r="N726" t="str">
        <f>IF(Table1[[#This Row],[hourly_rate (USD)]]="",MEDIAN(Table1[hourly_rate (USD)]),Table1[[#This Row],[hourly_rate (USD)]])</f>
        <v>$50</v>
      </c>
      <c r="O726" t="str">
        <f>TRIM(CLEAN(Table1[[#This Row],[Updated hourly_rate (USD)]]))</f>
        <v>$50</v>
      </c>
      <c r="P726" t="str">
        <f>SUBSTITUTE(SUBSTITUTE(Table1[[#This Row],[Formatted hourly rate]],"USD ",""),"$","")</f>
        <v>50</v>
      </c>
      <c r="R726">
        <f>IF(Table1[[#This Row],[rating]]="",2.6,Table1[[#This Row],[rating]])</f>
        <v>2.6</v>
      </c>
      <c r="S726" t="s">
        <v>68</v>
      </c>
      <c r="T726" t="str">
        <f>TRIM(CLEAN(Table1[[#This Row],[is_active]]))</f>
        <v>yes</v>
      </c>
      <c r="U72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26" s="11" t="str">
        <f>TRIM(IF(Table1[[#This Row],[is_active3]]="Unknown","TRUE",Table1[[#This Row],[is_active3]]))</f>
        <v>TRUE</v>
      </c>
      <c r="W726">
        <v>84</v>
      </c>
      <c r="X726">
        <f>IF(Table1[[#This Row],[client_satisfaction]]&gt;1,Table1[[#This Row],[client_satisfaction]]/100,Table1[[#This Row],[client_satisfaction]])</f>
        <v>0.84</v>
      </c>
      <c r="Y726">
        <f>IF(Table1[[#This Row],[client_satisfaction2]]=0,0.75,Table1[[#This Row],[client_satisfaction2]])</f>
        <v>0.84</v>
      </c>
    </row>
    <row r="727" spans="1:25" x14ac:dyDescent="0.25">
      <c r="A727" t="s">
        <v>1529</v>
      </c>
      <c r="B727" t="s">
        <v>1530</v>
      </c>
      <c r="C727" t="str">
        <f>PROPER(TRIM(SUBSTITUTE(SUBSTITUTE(SUBSTITUTE(Table1[[#This Row],[name]],"Ms. ",""),"Mr. ",""),"Mrs. ","")))</f>
        <v>James Gonzalez</v>
      </c>
      <c r="D727" t="s">
        <v>61</v>
      </c>
      <c r="E7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27">
        <v>40</v>
      </c>
      <c r="G727" t="str">
        <f>TRIM(IF(Table1[[#This Row],[age]]="","Unknown",Table1[[#This Row],[age]]))</f>
        <v>40</v>
      </c>
      <c r="H727" t="s">
        <v>190</v>
      </c>
      <c r="I727" t="s">
        <v>72</v>
      </c>
      <c r="J727" t="s">
        <v>35</v>
      </c>
      <c r="K727">
        <v>7</v>
      </c>
      <c r="L727" s="10" t="str">
        <f>TRIM(IF(Table1[[#This Row],[years_of_experience]]="","Unknown",Table1[[#This Row],[years_of_experience]]))</f>
        <v>7</v>
      </c>
      <c r="M727">
        <v>40</v>
      </c>
      <c r="N727">
        <f>IF(Table1[[#This Row],[hourly_rate (USD)]]="",MEDIAN(Table1[hourly_rate (USD)]),Table1[[#This Row],[hourly_rate (USD)]])</f>
        <v>40</v>
      </c>
      <c r="O727" t="str">
        <f>TRIM(CLEAN(Table1[[#This Row],[Updated hourly_rate (USD)]]))</f>
        <v>40</v>
      </c>
      <c r="P727" t="str">
        <f>SUBSTITUTE(SUBSTITUTE(Table1[[#This Row],[Formatted hourly rate]],"USD ",""),"$","")</f>
        <v>40</v>
      </c>
      <c r="Q727">
        <v>4.5</v>
      </c>
      <c r="R727">
        <f>IF(Table1[[#This Row],[rating]]="",2.6,Table1[[#This Row],[rating]])</f>
        <v>4.5</v>
      </c>
      <c r="T727" t="str">
        <f>TRIM(CLEAN(Table1[[#This Row],[is_active]]))</f>
        <v/>
      </c>
      <c r="U72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27" s="11" t="str">
        <f>TRIM(IF(Table1[[#This Row],[is_active3]]="Unknown","TRUE",Table1[[#This Row],[is_active3]]))</f>
        <v>TRUE</v>
      </c>
      <c r="W727">
        <v>79</v>
      </c>
      <c r="X727">
        <f>IF(Table1[[#This Row],[client_satisfaction]]&gt;1,Table1[[#This Row],[client_satisfaction]]/100,Table1[[#This Row],[client_satisfaction]])</f>
        <v>0.79</v>
      </c>
      <c r="Y727">
        <f>IF(Table1[[#This Row],[client_satisfaction2]]=0,0.75,Table1[[#This Row],[client_satisfaction2]])</f>
        <v>0.79</v>
      </c>
    </row>
    <row r="728" spans="1:25" x14ac:dyDescent="0.25">
      <c r="A728" t="s">
        <v>1531</v>
      </c>
      <c r="B728" t="s">
        <v>1532</v>
      </c>
      <c r="C728" t="str">
        <f>PROPER(TRIM(SUBSTITUTE(SUBSTITUTE(SUBSTITUTE(Table1[[#This Row],[name]],"Ms. ",""),"Mr. ",""),"Mrs. ","")))</f>
        <v>John Castillo</v>
      </c>
      <c r="D728" t="s">
        <v>48</v>
      </c>
      <c r="E7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28">
        <v>60</v>
      </c>
      <c r="G728" t="str">
        <f>TRIM(IF(Table1[[#This Row],[age]]="","Unknown",Table1[[#This Row],[age]]))</f>
        <v>60</v>
      </c>
      <c r="H728" t="s">
        <v>85</v>
      </c>
      <c r="I728" t="s">
        <v>86</v>
      </c>
      <c r="J728" t="s">
        <v>51</v>
      </c>
      <c r="K728">
        <v>24</v>
      </c>
      <c r="L728" s="10" t="str">
        <f>TRIM(IF(Table1[[#This Row],[years_of_experience]]="","Unknown",Table1[[#This Row],[years_of_experience]]))</f>
        <v>24</v>
      </c>
      <c r="M728" t="s">
        <v>55</v>
      </c>
      <c r="N728" t="str">
        <f>IF(Table1[[#This Row],[hourly_rate (USD)]]="",MEDIAN(Table1[hourly_rate (USD)]),Table1[[#This Row],[hourly_rate (USD)]])</f>
        <v>USD 40</v>
      </c>
      <c r="O728" t="str">
        <f>TRIM(CLEAN(Table1[[#This Row],[Updated hourly_rate (USD)]]))</f>
        <v>USD 40</v>
      </c>
      <c r="P728" t="str">
        <f>SUBSTITUTE(SUBSTITUTE(Table1[[#This Row],[Formatted hourly rate]],"USD ",""),"$","")</f>
        <v>40</v>
      </c>
      <c r="Q728">
        <v>3.1</v>
      </c>
      <c r="R728">
        <f>IF(Table1[[#This Row],[rating]]="",2.6,Table1[[#This Row],[rating]])</f>
        <v>3.1</v>
      </c>
      <c r="S728">
        <v>0</v>
      </c>
      <c r="T728" t="str">
        <f>TRIM(CLEAN(Table1[[#This Row],[is_active]]))</f>
        <v>0</v>
      </c>
      <c r="U72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28" s="11" t="str">
        <f>TRIM(IF(Table1[[#This Row],[is_active3]]="Unknown","TRUE",Table1[[#This Row],[is_active3]]))</f>
        <v>FALSE</v>
      </c>
      <c r="W728">
        <v>0.69</v>
      </c>
      <c r="X728">
        <f>IF(Table1[[#This Row],[client_satisfaction]]&gt;1,Table1[[#This Row],[client_satisfaction]]/100,Table1[[#This Row],[client_satisfaction]])</f>
        <v>0.69</v>
      </c>
      <c r="Y728">
        <f>IF(Table1[[#This Row],[client_satisfaction2]]=0,0.75,Table1[[#This Row],[client_satisfaction2]])</f>
        <v>0.69</v>
      </c>
    </row>
    <row r="729" spans="1:25" x14ac:dyDescent="0.25">
      <c r="A729" t="s">
        <v>1533</v>
      </c>
      <c r="B729" t="s">
        <v>1534</v>
      </c>
      <c r="C729" t="str">
        <f>PROPER(TRIM(SUBSTITUTE(SUBSTITUTE(SUBSTITUTE(Table1[[#This Row],[name]],"Ms. ",""),"Mr. ",""),"Mrs. ","")))</f>
        <v>Ian Hayes</v>
      </c>
      <c r="D729" t="s">
        <v>92</v>
      </c>
      <c r="E7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29">
        <v>60</v>
      </c>
      <c r="G729" t="str">
        <f>TRIM(IF(Table1[[#This Row],[age]]="","Unknown",Table1[[#This Row],[age]]))</f>
        <v>60</v>
      </c>
      <c r="H729" t="s">
        <v>135</v>
      </c>
      <c r="I729" t="s">
        <v>136</v>
      </c>
      <c r="J729" t="s">
        <v>73</v>
      </c>
      <c r="K729">
        <v>0</v>
      </c>
      <c r="L729" s="10" t="str">
        <f>TRIM(IF(Table1[[#This Row],[years_of_experience]]="","Unknown",Table1[[#This Row],[years_of_experience]]))</f>
        <v>0</v>
      </c>
      <c r="M729">
        <v>40</v>
      </c>
      <c r="N729">
        <f>IF(Table1[[#This Row],[hourly_rate (USD)]]="",MEDIAN(Table1[hourly_rate (USD)]),Table1[[#This Row],[hourly_rate (USD)]])</f>
        <v>40</v>
      </c>
      <c r="O729" t="str">
        <f>TRIM(CLEAN(Table1[[#This Row],[Updated hourly_rate (USD)]]))</f>
        <v>40</v>
      </c>
      <c r="P729" t="str">
        <f>SUBSTITUTE(SUBSTITUTE(Table1[[#This Row],[Formatted hourly rate]],"USD ",""),"$","")</f>
        <v>40</v>
      </c>
      <c r="Q729">
        <v>4.9000000000000004</v>
      </c>
      <c r="R729">
        <f>IF(Table1[[#This Row],[rating]]="",2.6,Table1[[#This Row],[rating]])</f>
        <v>4.9000000000000004</v>
      </c>
      <c r="S729" t="s">
        <v>74</v>
      </c>
      <c r="T729" t="str">
        <f>TRIM(CLEAN(Table1[[#This Row],[is_active]]))</f>
        <v>Y</v>
      </c>
      <c r="U72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29" s="11" t="str">
        <f>TRIM(IF(Table1[[#This Row],[is_active3]]="Unknown","TRUE",Table1[[#This Row],[is_active3]]))</f>
        <v>TRUE</v>
      </c>
      <c r="W729">
        <v>0.68</v>
      </c>
      <c r="X729">
        <f>IF(Table1[[#This Row],[client_satisfaction]]&gt;1,Table1[[#This Row],[client_satisfaction]]/100,Table1[[#This Row],[client_satisfaction]])</f>
        <v>0.68</v>
      </c>
      <c r="Y729">
        <f>IF(Table1[[#This Row],[client_satisfaction2]]=0,0.75,Table1[[#This Row],[client_satisfaction2]])</f>
        <v>0.68</v>
      </c>
    </row>
    <row r="730" spans="1:25" x14ac:dyDescent="0.25">
      <c r="A730" t="s">
        <v>1535</v>
      </c>
      <c r="B730" t="s">
        <v>1536</v>
      </c>
      <c r="C730" t="str">
        <f>PROPER(TRIM(SUBSTITUTE(SUBSTITUTE(SUBSTITUTE(Table1[[#This Row],[name]],"Ms. ",""),"Mr. ",""),"Mrs. ","")))</f>
        <v>Christine Castro</v>
      </c>
      <c r="D730" t="s">
        <v>77</v>
      </c>
      <c r="E7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30">
        <v>53</v>
      </c>
      <c r="G730" t="str">
        <f>TRIM(IF(Table1[[#This Row],[age]]="","Unknown",Table1[[#This Row],[age]]))</f>
        <v>53</v>
      </c>
      <c r="H730" t="s">
        <v>112</v>
      </c>
      <c r="I730" t="s">
        <v>113</v>
      </c>
      <c r="J730" t="s">
        <v>73</v>
      </c>
      <c r="K730">
        <v>21</v>
      </c>
      <c r="L730" s="10" t="str">
        <f>TRIM(IF(Table1[[#This Row],[years_of_experience]]="","Unknown",Table1[[#This Row],[years_of_experience]]))</f>
        <v>21</v>
      </c>
      <c r="M730" t="s">
        <v>45</v>
      </c>
      <c r="N730" t="str">
        <f>IF(Table1[[#This Row],[hourly_rate (USD)]]="",MEDIAN(Table1[hourly_rate (USD)]),Table1[[#This Row],[hourly_rate (USD)]])</f>
        <v>$30</v>
      </c>
      <c r="O730" t="str">
        <f>TRIM(CLEAN(Table1[[#This Row],[Updated hourly_rate (USD)]]))</f>
        <v>$30</v>
      </c>
      <c r="P730" t="str">
        <f>SUBSTITUTE(SUBSTITUTE(Table1[[#This Row],[Formatted hourly rate]],"USD ",""),"$","")</f>
        <v>30</v>
      </c>
      <c r="Q730">
        <v>4.2</v>
      </c>
      <c r="R730">
        <f>IF(Table1[[#This Row],[rating]]="",2.6,Table1[[#This Row],[rating]])</f>
        <v>4.2</v>
      </c>
      <c r="S730">
        <v>1</v>
      </c>
      <c r="T730" t="str">
        <f>TRIM(CLEAN(Table1[[#This Row],[is_active]]))</f>
        <v>1</v>
      </c>
      <c r="U73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30" s="11" t="str">
        <f>TRIM(IF(Table1[[#This Row],[is_active3]]="Unknown","TRUE",Table1[[#This Row],[is_active3]]))</f>
        <v>TRUE</v>
      </c>
      <c r="W730">
        <v>73</v>
      </c>
      <c r="X730">
        <f>IF(Table1[[#This Row],[client_satisfaction]]&gt;1,Table1[[#This Row],[client_satisfaction]]/100,Table1[[#This Row],[client_satisfaction]])</f>
        <v>0.73</v>
      </c>
      <c r="Y730">
        <f>IF(Table1[[#This Row],[client_satisfaction2]]=0,0.75,Table1[[#This Row],[client_satisfaction2]])</f>
        <v>0.73</v>
      </c>
    </row>
    <row r="731" spans="1:25" x14ac:dyDescent="0.25">
      <c r="A731" t="s">
        <v>1537</v>
      </c>
      <c r="B731" t="s">
        <v>1538</v>
      </c>
      <c r="C731" t="str">
        <f>PROPER(TRIM(SUBSTITUTE(SUBSTITUTE(SUBSTITUTE(Table1[[#This Row],[name]],"Ms. ",""),"Mr. ",""),"Mrs. ","")))</f>
        <v>Jessica Chaney</v>
      </c>
      <c r="D731" t="s">
        <v>77</v>
      </c>
      <c r="E7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31">
        <v>20</v>
      </c>
      <c r="G731" t="str">
        <f>TRIM(IF(Table1[[#This Row],[age]]="","Unknown",Table1[[#This Row],[age]]))</f>
        <v>20</v>
      </c>
      <c r="H731" t="s">
        <v>179</v>
      </c>
      <c r="I731" t="s">
        <v>72</v>
      </c>
      <c r="J731" t="s">
        <v>17</v>
      </c>
      <c r="K731">
        <v>0</v>
      </c>
      <c r="L731" s="10" t="str">
        <f>TRIM(IF(Table1[[#This Row],[years_of_experience]]="","Unknown",Table1[[#This Row],[years_of_experience]]))</f>
        <v>0</v>
      </c>
      <c r="M731">
        <v>75</v>
      </c>
      <c r="N731">
        <f>IF(Table1[[#This Row],[hourly_rate (USD)]]="",MEDIAN(Table1[hourly_rate (USD)]),Table1[[#This Row],[hourly_rate (USD)]])</f>
        <v>75</v>
      </c>
      <c r="O731" t="str">
        <f>TRIM(CLEAN(Table1[[#This Row],[Updated hourly_rate (USD)]]))</f>
        <v>75</v>
      </c>
      <c r="P731" t="str">
        <f>SUBSTITUTE(SUBSTITUTE(Table1[[#This Row],[Formatted hourly rate]],"USD ",""),"$","")</f>
        <v>75</v>
      </c>
      <c r="Q731">
        <v>3.2</v>
      </c>
      <c r="R731">
        <f>IF(Table1[[#This Row],[rating]]="",2.6,Table1[[#This Row],[rating]])</f>
        <v>3.2</v>
      </c>
      <c r="S731">
        <v>1</v>
      </c>
      <c r="T731" t="str">
        <f>TRIM(CLEAN(Table1[[#This Row],[is_active]]))</f>
        <v>1</v>
      </c>
      <c r="U73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31" s="11" t="str">
        <f>TRIM(IF(Table1[[#This Row],[is_active3]]="Unknown","TRUE",Table1[[#This Row],[is_active3]]))</f>
        <v>TRUE</v>
      </c>
      <c r="W731">
        <v>0.74</v>
      </c>
      <c r="X731">
        <f>IF(Table1[[#This Row],[client_satisfaction]]&gt;1,Table1[[#This Row],[client_satisfaction]]/100,Table1[[#This Row],[client_satisfaction]])</f>
        <v>0.74</v>
      </c>
      <c r="Y731">
        <f>IF(Table1[[#This Row],[client_satisfaction2]]=0,0.75,Table1[[#This Row],[client_satisfaction2]])</f>
        <v>0.74</v>
      </c>
    </row>
    <row r="732" spans="1:25" x14ac:dyDescent="0.25">
      <c r="A732" t="s">
        <v>1539</v>
      </c>
      <c r="B732" t="s">
        <v>1540</v>
      </c>
      <c r="C732" t="str">
        <f>PROPER(TRIM(SUBSTITUTE(SUBSTITUTE(SUBSTITUTE(Table1[[#This Row],[name]],"Ms. ",""),"Mr. ",""),"Mrs. ","")))</f>
        <v>John Gray</v>
      </c>
      <c r="D732" t="s">
        <v>61</v>
      </c>
      <c r="E7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32">
        <v>42</v>
      </c>
      <c r="G732" t="str">
        <f>TRIM(IF(Table1[[#This Row],[age]]="","Unknown",Table1[[#This Row],[age]]))</f>
        <v>42</v>
      </c>
      <c r="H732" t="s">
        <v>124</v>
      </c>
      <c r="I732" t="s">
        <v>125</v>
      </c>
      <c r="J732" t="s">
        <v>35</v>
      </c>
      <c r="K732">
        <v>7</v>
      </c>
      <c r="L732" s="10" t="str">
        <f>TRIM(IF(Table1[[#This Row],[years_of_experience]]="","Unknown",Table1[[#This Row],[years_of_experience]]))</f>
        <v>7</v>
      </c>
      <c r="M732" t="s">
        <v>314</v>
      </c>
      <c r="N732" t="str">
        <f>IF(Table1[[#This Row],[hourly_rate (USD)]]="",MEDIAN(Table1[hourly_rate (USD)]),Table1[[#This Row],[hourly_rate (USD)]])</f>
        <v>USD 20</v>
      </c>
      <c r="O732" t="str">
        <f>TRIM(CLEAN(Table1[[#This Row],[Updated hourly_rate (USD)]]))</f>
        <v>USD 20</v>
      </c>
      <c r="P732" t="str">
        <f>SUBSTITUTE(SUBSTITUTE(Table1[[#This Row],[Formatted hourly rate]],"USD ",""),"$","")</f>
        <v>20</v>
      </c>
      <c r="R732">
        <f>IF(Table1[[#This Row],[rating]]="",2.6,Table1[[#This Row],[rating]])</f>
        <v>2.6</v>
      </c>
      <c r="S732" t="b">
        <v>0</v>
      </c>
      <c r="T732" t="str">
        <f>TRIM(CLEAN(Table1[[#This Row],[is_active]]))</f>
        <v>FALSE</v>
      </c>
      <c r="U73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32" s="11" t="str">
        <f>TRIM(IF(Table1[[#This Row],[is_active3]]="Unknown","TRUE",Table1[[#This Row],[is_active3]]))</f>
        <v>TRUE</v>
      </c>
      <c r="W732">
        <v>1</v>
      </c>
      <c r="X732">
        <f>IF(Table1[[#This Row],[client_satisfaction]]&gt;1,Table1[[#This Row],[client_satisfaction]]/100,Table1[[#This Row],[client_satisfaction]])</f>
        <v>1</v>
      </c>
      <c r="Y732">
        <f>IF(Table1[[#This Row],[client_satisfaction2]]=0,0.75,Table1[[#This Row],[client_satisfaction2]])</f>
        <v>1</v>
      </c>
    </row>
    <row r="733" spans="1:25" x14ac:dyDescent="0.25">
      <c r="A733" t="s">
        <v>1541</v>
      </c>
      <c r="B733" t="s">
        <v>1542</v>
      </c>
      <c r="C733" t="str">
        <f>PROPER(TRIM(SUBSTITUTE(SUBSTITUTE(SUBSTITUTE(Table1[[#This Row],[name]],"Ms. ",""),"Mr. ",""),"Mrs. ","")))</f>
        <v>Shane Booker</v>
      </c>
      <c r="D733" t="s">
        <v>92</v>
      </c>
      <c r="E7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33">
        <v>21</v>
      </c>
      <c r="G733" t="str">
        <f>TRIM(IF(Table1[[#This Row],[age]]="","Unknown",Table1[[#This Row],[age]]))</f>
        <v>21</v>
      </c>
      <c r="H733" t="s">
        <v>67</v>
      </c>
      <c r="I733" t="s">
        <v>22</v>
      </c>
      <c r="J733" t="s">
        <v>23</v>
      </c>
      <c r="K733">
        <v>3</v>
      </c>
      <c r="L733" s="10" t="str">
        <f>TRIM(IF(Table1[[#This Row],[years_of_experience]]="","Unknown",Table1[[#This Row],[years_of_experience]]))</f>
        <v>3</v>
      </c>
      <c r="M733">
        <v>40</v>
      </c>
      <c r="N733">
        <f>IF(Table1[[#This Row],[hourly_rate (USD)]]="",MEDIAN(Table1[hourly_rate (USD)]),Table1[[#This Row],[hourly_rate (USD)]])</f>
        <v>40</v>
      </c>
      <c r="O733" t="str">
        <f>TRIM(CLEAN(Table1[[#This Row],[Updated hourly_rate (USD)]]))</f>
        <v>40</v>
      </c>
      <c r="P733" t="str">
        <f>SUBSTITUTE(SUBSTITUTE(Table1[[#This Row],[Formatted hourly rate]],"USD ",""),"$","")</f>
        <v>40</v>
      </c>
      <c r="Q733">
        <v>0</v>
      </c>
      <c r="R733">
        <f>IF(Table1[[#This Row],[rating]]="",2.6,Table1[[#This Row],[rating]])</f>
        <v>0</v>
      </c>
      <c r="S733">
        <v>0</v>
      </c>
      <c r="T733" t="str">
        <f>TRIM(CLEAN(Table1[[#This Row],[is_active]]))</f>
        <v>0</v>
      </c>
      <c r="U7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33" s="11" t="str">
        <f>TRIM(IF(Table1[[#This Row],[is_active3]]="Unknown","TRUE",Table1[[#This Row],[is_active3]]))</f>
        <v>FALSE</v>
      </c>
      <c r="W733">
        <v>0.87</v>
      </c>
      <c r="X733">
        <f>IF(Table1[[#This Row],[client_satisfaction]]&gt;1,Table1[[#This Row],[client_satisfaction]]/100,Table1[[#This Row],[client_satisfaction]])</f>
        <v>0.87</v>
      </c>
      <c r="Y733">
        <f>IF(Table1[[#This Row],[client_satisfaction2]]=0,0.75,Table1[[#This Row],[client_satisfaction2]])</f>
        <v>0.87</v>
      </c>
    </row>
    <row r="734" spans="1:25" x14ac:dyDescent="0.25">
      <c r="A734" t="s">
        <v>1543</v>
      </c>
      <c r="B734" t="s">
        <v>1544</v>
      </c>
      <c r="C734" t="str">
        <f>PROPER(TRIM(SUBSTITUTE(SUBSTITUTE(SUBSTITUTE(Table1[[#This Row],[name]],"Ms. ",""),"Mr. ",""),"Mrs. ","")))</f>
        <v>Kyle Hall</v>
      </c>
      <c r="D734" t="s">
        <v>48</v>
      </c>
      <c r="E7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34">
        <v>39</v>
      </c>
      <c r="G734" t="str">
        <f>TRIM(IF(Table1[[#This Row],[age]]="","Unknown",Table1[[#This Row],[age]]))</f>
        <v>39</v>
      </c>
      <c r="H734" t="s">
        <v>28</v>
      </c>
      <c r="I734" t="s">
        <v>29</v>
      </c>
      <c r="J734" t="s">
        <v>35</v>
      </c>
      <c r="K734">
        <v>21</v>
      </c>
      <c r="L734" s="10" t="str">
        <f>TRIM(IF(Table1[[#This Row],[years_of_experience]]="","Unknown",Table1[[#This Row],[years_of_experience]]))</f>
        <v>21</v>
      </c>
      <c r="M734">
        <v>100</v>
      </c>
      <c r="N734">
        <f>IF(Table1[[#This Row],[hourly_rate (USD)]]="",MEDIAN(Table1[hourly_rate (USD)]),Table1[[#This Row],[hourly_rate (USD)]])</f>
        <v>100</v>
      </c>
      <c r="O734" t="str">
        <f>TRIM(CLEAN(Table1[[#This Row],[Updated hourly_rate (USD)]]))</f>
        <v>100</v>
      </c>
      <c r="P734" t="str">
        <f>SUBSTITUTE(SUBSTITUTE(Table1[[#This Row],[Formatted hourly rate]],"USD ",""),"$","")</f>
        <v>100</v>
      </c>
      <c r="Q734">
        <v>2.2000000000000002</v>
      </c>
      <c r="R734">
        <f>IF(Table1[[#This Row],[rating]]="",2.6,Table1[[#This Row],[rating]])</f>
        <v>2.2000000000000002</v>
      </c>
      <c r="S734">
        <v>0</v>
      </c>
      <c r="T734" t="str">
        <f>TRIM(CLEAN(Table1[[#This Row],[is_active]]))</f>
        <v>0</v>
      </c>
      <c r="U73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34" s="11" t="str">
        <f>TRIM(IF(Table1[[#This Row],[is_active3]]="Unknown","TRUE",Table1[[#This Row],[is_active3]]))</f>
        <v>FALSE</v>
      </c>
      <c r="W734">
        <v>0.79</v>
      </c>
      <c r="X734">
        <f>IF(Table1[[#This Row],[client_satisfaction]]&gt;1,Table1[[#This Row],[client_satisfaction]]/100,Table1[[#This Row],[client_satisfaction]])</f>
        <v>0.79</v>
      </c>
      <c r="Y734">
        <f>IF(Table1[[#This Row],[client_satisfaction2]]=0,0.75,Table1[[#This Row],[client_satisfaction2]])</f>
        <v>0.79</v>
      </c>
    </row>
    <row r="735" spans="1:25" x14ac:dyDescent="0.25">
      <c r="A735" t="s">
        <v>1545</v>
      </c>
      <c r="B735" t="s">
        <v>1546</v>
      </c>
      <c r="C735" t="str">
        <f>PROPER(TRIM(SUBSTITUTE(SUBSTITUTE(SUBSTITUTE(Table1[[#This Row],[name]],"Ms. ",""),"Mr. ",""),"Mrs. ","")))</f>
        <v>Ronald Munoz</v>
      </c>
      <c r="D735" t="s">
        <v>48</v>
      </c>
      <c r="E7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35">
        <v>32</v>
      </c>
      <c r="G735" t="str">
        <f>TRIM(IF(Table1[[#This Row],[age]]="","Unknown",Table1[[#This Row],[age]]))</f>
        <v>32</v>
      </c>
      <c r="H735" t="s">
        <v>93</v>
      </c>
      <c r="I735" t="s">
        <v>94</v>
      </c>
      <c r="J735" t="s">
        <v>17</v>
      </c>
      <c r="L735" s="10" t="str">
        <f>TRIM(IF(Table1[[#This Row],[years_of_experience]]="","Unknown",Table1[[#This Row],[years_of_experience]]))</f>
        <v>Unknown</v>
      </c>
      <c r="M735">
        <v>30</v>
      </c>
      <c r="N735">
        <f>IF(Table1[[#This Row],[hourly_rate (USD)]]="",MEDIAN(Table1[hourly_rate (USD)]),Table1[[#This Row],[hourly_rate (USD)]])</f>
        <v>30</v>
      </c>
      <c r="O735" t="str">
        <f>TRIM(CLEAN(Table1[[#This Row],[Updated hourly_rate (USD)]]))</f>
        <v>30</v>
      </c>
      <c r="P735" t="str">
        <f>SUBSTITUTE(SUBSTITUTE(Table1[[#This Row],[Formatted hourly rate]],"USD ",""),"$","")</f>
        <v>30</v>
      </c>
      <c r="Q735">
        <v>1.5</v>
      </c>
      <c r="R735">
        <f>IF(Table1[[#This Row],[rating]]="",2.6,Table1[[#This Row],[rating]])</f>
        <v>1.5</v>
      </c>
      <c r="S735">
        <v>0</v>
      </c>
      <c r="T735" t="str">
        <f>TRIM(CLEAN(Table1[[#This Row],[is_active]]))</f>
        <v>0</v>
      </c>
      <c r="U73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35" s="11" t="str">
        <f>TRIM(IF(Table1[[#This Row],[is_active3]]="Unknown","TRUE",Table1[[#This Row],[is_active3]]))</f>
        <v>FALSE</v>
      </c>
      <c r="W735">
        <v>0.68</v>
      </c>
      <c r="X735">
        <f>IF(Table1[[#This Row],[client_satisfaction]]&gt;1,Table1[[#This Row],[client_satisfaction]]/100,Table1[[#This Row],[client_satisfaction]])</f>
        <v>0.68</v>
      </c>
      <c r="Y735">
        <f>IF(Table1[[#This Row],[client_satisfaction2]]=0,0.75,Table1[[#This Row],[client_satisfaction2]])</f>
        <v>0.68</v>
      </c>
    </row>
    <row r="736" spans="1:25" x14ac:dyDescent="0.25">
      <c r="A736" t="s">
        <v>1547</v>
      </c>
      <c r="B736" t="s">
        <v>1548</v>
      </c>
      <c r="C736" t="str">
        <f>PROPER(TRIM(SUBSTITUTE(SUBSTITUTE(SUBSTITUTE(Table1[[#This Row],[name]],"Ms. ",""),"Mr. ",""),"Mrs. ","")))</f>
        <v>Christopher Long</v>
      </c>
      <c r="D736" t="s">
        <v>92</v>
      </c>
      <c r="E7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36">
        <v>35</v>
      </c>
      <c r="G736" t="str">
        <f>TRIM(IF(Table1[[#This Row],[age]]="","Unknown",Table1[[#This Row],[age]]))</f>
        <v>35</v>
      </c>
      <c r="H736" t="s">
        <v>28</v>
      </c>
      <c r="I736" t="s">
        <v>29</v>
      </c>
      <c r="J736" t="s">
        <v>51</v>
      </c>
      <c r="L736" s="10" t="str">
        <f>TRIM(IF(Table1[[#This Row],[years_of_experience]]="","Unknown",Table1[[#This Row],[years_of_experience]]))</f>
        <v>Unknown</v>
      </c>
      <c r="M736" t="s">
        <v>24</v>
      </c>
      <c r="N736" t="str">
        <f>IF(Table1[[#This Row],[hourly_rate (USD)]]="",MEDIAN(Table1[hourly_rate (USD)]),Table1[[#This Row],[hourly_rate (USD)]])</f>
        <v>USD 100</v>
      </c>
      <c r="O736" t="str">
        <f>TRIM(CLEAN(Table1[[#This Row],[Updated hourly_rate (USD)]]))</f>
        <v>USD 100</v>
      </c>
      <c r="P736" t="str">
        <f>SUBSTITUTE(SUBSTITUTE(Table1[[#This Row],[Formatted hourly rate]],"USD ",""),"$","")</f>
        <v>100</v>
      </c>
      <c r="R736">
        <f>IF(Table1[[#This Row],[rating]]="",2.6,Table1[[#This Row],[rating]])</f>
        <v>2.6</v>
      </c>
      <c r="S736">
        <v>0</v>
      </c>
      <c r="T736" t="str">
        <f>TRIM(CLEAN(Table1[[#This Row],[is_active]]))</f>
        <v>0</v>
      </c>
      <c r="U73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36" s="11" t="str">
        <f>TRIM(IF(Table1[[#This Row],[is_active3]]="Unknown","TRUE",Table1[[#This Row],[is_active3]]))</f>
        <v>FALSE</v>
      </c>
      <c r="W736">
        <v>0.84</v>
      </c>
      <c r="X736">
        <f>IF(Table1[[#This Row],[client_satisfaction]]&gt;1,Table1[[#This Row],[client_satisfaction]]/100,Table1[[#This Row],[client_satisfaction]])</f>
        <v>0.84</v>
      </c>
      <c r="Y736">
        <f>IF(Table1[[#This Row],[client_satisfaction2]]=0,0.75,Table1[[#This Row],[client_satisfaction2]])</f>
        <v>0.84</v>
      </c>
    </row>
    <row r="737" spans="1:25" x14ac:dyDescent="0.25">
      <c r="A737" t="s">
        <v>1549</v>
      </c>
      <c r="B737" t="s">
        <v>1550</v>
      </c>
      <c r="C737" t="str">
        <f>PROPER(TRIM(SUBSTITUTE(SUBSTITUTE(SUBSTITUTE(Table1[[#This Row],[name]],"Ms. ",""),"Mr. ",""),"Mrs. ","")))</f>
        <v>Sandra Ali</v>
      </c>
      <c r="D737" t="s">
        <v>14</v>
      </c>
      <c r="E7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37">
        <v>35</v>
      </c>
      <c r="G737" t="str">
        <f>TRIM(IF(Table1[[#This Row],[age]]="","Unknown",Table1[[#This Row],[age]]))</f>
        <v>35</v>
      </c>
      <c r="H737" t="s">
        <v>135</v>
      </c>
      <c r="I737" t="s">
        <v>136</v>
      </c>
      <c r="J737" t="s">
        <v>73</v>
      </c>
      <c r="K737">
        <v>17</v>
      </c>
      <c r="L737" s="10" t="str">
        <f>TRIM(IF(Table1[[#This Row],[years_of_experience]]="","Unknown",Table1[[#This Row],[years_of_experience]]))</f>
        <v>17</v>
      </c>
      <c r="M737">
        <v>50</v>
      </c>
      <c r="N737">
        <f>IF(Table1[[#This Row],[hourly_rate (USD)]]="",MEDIAN(Table1[hourly_rate (USD)]),Table1[[#This Row],[hourly_rate (USD)]])</f>
        <v>50</v>
      </c>
      <c r="O737" t="str">
        <f>TRIM(CLEAN(Table1[[#This Row],[Updated hourly_rate (USD)]]))</f>
        <v>50</v>
      </c>
      <c r="P737" t="str">
        <f>SUBSTITUTE(SUBSTITUTE(Table1[[#This Row],[Formatted hourly rate]],"USD ",""),"$","")</f>
        <v>50</v>
      </c>
      <c r="Q737">
        <v>3.1</v>
      </c>
      <c r="R737">
        <f>IF(Table1[[#This Row],[rating]]="",2.6,Table1[[#This Row],[rating]])</f>
        <v>3.1</v>
      </c>
      <c r="S737">
        <v>0</v>
      </c>
      <c r="T737" t="str">
        <f>TRIM(CLEAN(Table1[[#This Row],[is_active]]))</f>
        <v>0</v>
      </c>
      <c r="U7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37" s="11" t="str">
        <f>TRIM(IF(Table1[[#This Row],[is_active3]]="Unknown","TRUE",Table1[[#This Row],[is_active3]]))</f>
        <v>FALSE</v>
      </c>
      <c r="W737">
        <v>0.71</v>
      </c>
      <c r="X737">
        <f>IF(Table1[[#This Row],[client_satisfaction]]&gt;1,Table1[[#This Row],[client_satisfaction]]/100,Table1[[#This Row],[client_satisfaction]])</f>
        <v>0.71</v>
      </c>
      <c r="Y737">
        <f>IF(Table1[[#This Row],[client_satisfaction2]]=0,0.75,Table1[[#This Row],[client_satisfaction2]])</f>
        <v>0.71</v>
      </c>
    </row>
    <row r="738" spans="1:25" x14ac:dyDescent="0.25">
      <c r="A738" t="s">
        <v>1551</v>
      </c>
      <c r="B738" t="s">
        <v>1552</v>
      </c>
      <c r="C738" t="str">
        <f>PROPER(TRIM(SUBSTITUTE(SUBSTITUTE(SUBSTITUTE(Table1[[#This Row],[name]],"Ms. ",""),"Mr. ",""),"Mrs. ","")))</f>
        <v>Jessica Garza</v>
      </c>
      <c r="D738" t="s">
        <v>20</v>
      </c>
      <c r="E7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38">
        <v>23</v>
      </c>
      <c r="G738" t="str">
        <f>TRIM(IF(Table1[[#This Row],[age]]="","Unknown",Table1[[#This Row],[age]]))</f>
        <v>23</v>
      </c>
      <c r="H738" t="s">
        <v>71</v>
      </c>
      <c r="I738" t="s">
        <v>72</v>
      </c>
      <c r="J738" t="s">
        <v>73</v>
      </c>
      <c r="K738">
        <v>0</v>
      </c>
      <c r="L738" s="10" t="str">
        <f>TRIM(IF(Table1[[#This Row],[years_of_experience]]="","Unknown",Table1[[#This Row],[years_of_experience]]))</f>
        <v>0</v>
      </c>
      <c r="M738">
        <v>75</v>
      </c>
      <c r="N738">
        <f>IF(Table1[[#This Row],[hourly_rate (USD)]]="",MEDIAN(Table1[hourly_rate (USD)]),Table1[[#This Row],[hourly_rate (USD)]])</f>
        <v>75</v>
      </c>
      <c r="O738" t="str">
        <f>TRIM(CLEAN(Table1[[#This Row],[Updated hourly_rate (USD)]]))</f>
        <v>75</v>
      </c>
      <c r="P738" t="str">
        <f>SUBSTITUTE(SUBSTITUTE(Table1[[#This Row],[Formatted hourly rate]],"USD ",""),"$","")</f>
        <v>75</v>
      </c>
      <c r="Q738">
        <v>0</v>
      </c>
      <c r="R738">
        <f>IF(Table1[[#This Row],[rating]]="",2.6,Table1[[#This Row],[rating]])</f>
        <v>0</v>
      </c>
      <c r="S738" t="s">
        <v>159</v>
      </c>
      <c r="T738" t="str">
        <f>TRIM(CLEAN(Table1[[#This Row],[is_active]]))</f>
        <v>no</v>
      </c>
      <c r="U7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38" s="11" t="str">
        <f>TRIM(IF(Table1[[#This Row],[is_active3]]="Unknown","TRUE",Table1[[#This Row],[is_active3]]))</f>
        <v>FALSE</v>
      </c>
      <c r="W738">
        <v>0.92</v>
      </c>
      <c r="X738">
        <f>IF(Table1[[#This Row],[client_satisfaction]]&gt;1,Table1[[#This Row],[client_satisfaction]]/100,Table1[[#This Row],[client_satisfaction]])</f>
        <v>0.92</v>
      </c>
      <c r="Y738">
        <f>IF(Table1[[#This Row],[client_satisfaction2]]=0,0.75,Table1[[#This Row],[client_satisfaction2]])</f>
        <v>0.92</v>
      </c>
    </row>
    <row r="739" spans="1:25" x14ac:dyDescent="0.25">
      <c r="A739" t="s">
        <v>1553</v>
      </c>
      <c r="B739" t="s">
        <v>1554</v>
      </c>
      <c r="C739" t="str">
        <f>PROPER(TRIM(SUBSTITUTE(SUBSTITUTE(SUBSTITUTE(Table1[[#This Row],[name]],"Ms. ",""),"Mr. ",""),"Mrs. ","")))</f>
        <v>Gregory Waters</v>
      </c>
      <c r="D739" t="s">
        <v>92</v>
      </c>
      <c r="E7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39">
        <v>26</v>
      </c>
      <c r="G739" t="str">
        <f>TRIM(IF(Table1[[#This Row],[age]]="","Unknown",Table1[[#This Row],[age]]))</f>
        <v>26</v>
      </c>
      <c r="H739" t="s">
        <v>42</v>
      </c>
      <c r="I739" t="s">
        <v>43</v>
      </c>
      <c r="J739" t="s">
        <v>44</v>
      </c>
      <c r="K739">
        <v>6</v>
      </c>
      <c r="L739" s="10" t="str">
        <f>TRIM(IF(Table1[[#This Row],[years_of_experience]]="","Unknown",Table1[[#This Row],[years_of_experience]]))</f>
        <v>6</v>
      </c>
      <c r="M739" t="s">
        <v>24</v>
      </c>
      <c r="N739" t="str">
        <f>IF(Table1[[#This Row],[hourly_rate (USD)]]="",MEDIAN(Table1[hourly_rate (USD)]),Table1[[#This Row],[hourly_rate (USD)]])</f>
        <v>USD 100</v>
      </c>
      <c r="O739" t="str">
        <f>TRIM(CLEAN(Table1[[#This Row],[Updated hourly_rate (USD)]]))</f>
        <v>USD 100</v>
      </c>
      <c r="P739" t="str">
        <f>SUBSTITUTE(SUBSTITUTE(Table1[[#This Row],[Formatted hourly rate]],"USD ",""),"$","")</f>
        <v>100</v>
      </c>
      <c r="R739">
        <f>IF(Table1[[#This Row],[rating]]="",2.6,Table1[[#This Row],[rating]])</f>
        <v>2.6</v>
      </c>
      <c r="S739" t="s">
        <v>159</v>
      </c>
      <c r="T739" t="str">
        <f>TRIM(CLEAN(Table1[[#This Row],[is_active]]))</f>
        <v>no</v>
      </c>
      <c r="U73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39" s="11" t="str">
        <f>TRIM(IF(Table1[[#This Row],[is_active3]]="Unknown","TRUE",Table1[[#This Row],[is_active3]]))</f>
        <v>FALSE</v>
      </c>
      <c r="W739">
        <v>0.69</v>
      </c>
      <c r="X739">
        <f>IF(Table1[[#This Row],[client_satisfaction]]&gt;1,Table1[[#This Row],[client_satisfaction]]/100,Table1[[#This Row],[client_satisfaction]])</f>
        <v>0.69</v>
      </c>
      <c r="Y739">
        <f>IF(Table1[[#This Row],[client_satisfaction2]]=0,0.75,Table1[[#This Row],[client_satisfaction2]])</f>
        <v>0.69</v>
      </c>
    </row>
    <row r="740" spans="1:25" x14ac:dyDescent="0.25">
      <c r="A740" t="s">
        <v>1555</v>
      </c>
      <c r="B740" t="s">
        <v>1556</v>
      </c>
      <c r="C740" t="str">
        <f>PROPER(TRIM(SUBSTITUTE(SUBSTITUTE(SUBSTITUTE(Table1[[#This Row],[name]],"Ms. ",""),"Mr. ",""),"Mrs. ","")))</f>
        <v>Misty Adams</v>
      </c>
      <c r="D740" t="s">
        <v>34</v>
      </c>
      <c r="E7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40">
        <v>34</v>
      </c>
      <c r="G740" t="str">
        <f>TRIM(IF(Table1[[#This Row],[age]]="","Unknown",Table1[[#This Row],[age]]))</f>
        <v>34</v>
      </c>
      <c r="H740" t="s">
        <v>128</v>
      </c>
      <c r="I740" t="s">
        <v>22</v>
      </c>
      <c r="J740" t="s">
        <v>114</v>
      </c>
      <c r="K740">
        <v>3</v>
      </c>
      <c r="L740" s="10" t="str">
        <f>TRIM(IF(Table1[[#This Row],[years_of_experience]]="","Unknown",Table1[[#This Row],[years_of_experience]]))</f>
        <v>3</v>
      </c>
      <c r="N740">
        <f>IF(Table1[[#This Row],[hourly_rate (USD)]]="",MEDIAN(Table1[hourly_rate (USD)]),Table1[[#This Row],[hourly_rate (USD)]])</f>
        <v>50</v>
      </c>
      <c r="O740" t="str">
        <f>TRIM(CLEAN(Table1[[#This Row],[Updated hourly_rate (USD)]]))</f>
        <v>50</v>
      </c>
      <c r="P740" t="str">
        <f>SUBSTITUTE(SUBSTITUTE(Table1[[#This Row],[Formatted hourly rate]],"USD ",""),"$","")</f>
        <v>50</v>
      </c>
      <c r="Q740">
        <v>0</v>
      </c>
      <c r="R740">
        <f>IF(Table1[[#This Row],[rating]]="",2.6,Table1[[#This Row],[rating]])</f>
        <v>0</v>
      </c>
      <c r="S740">
        <v>1</v>
      </c>
      <c r="T740" t="str">
        <f>TRIM(CLEAN(Table1[[#This Row],[is_active]]))</f>
        <v>1</v>
      </c>
      <c r="U74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40" s="11" t="str">
        <f>TRIM(IF(Table1[[#This Row],[is_active3]]="Unknown","TRUE",Table1[[#This Row],[is_active3]]))</f>
        <v>TRUE</v>
      </c>
      <c r="W740">
        <v>0.71</v>
      </c>
      <c r="X740">
        <f>IF(Table1[[#This Row],[client_satisfaction]]&gt;1,Table1[[#This Row],[client_satisfaction]]/100,Table1[[#This Row],[client_satisfaction]])</f>
        <v>0.71</v>
      </c>
      <c r="Y740">
        <f>IF(Table1[[#This Row],[client_satisfaction2]]=0,0.75,Table1[[#This Row],[client_satisfaction2]])</f>
        <v>0.71</v>
      </c>
    </row>
    <row r="741" spans="1:25" x14ac:dyDescent="0.25">
      <c r="A741" t="s">
        <v>1557</v>
      </c>
      <c r="B741" t="s">
        <v>1558</v>
      </c>
      <c r="C741" t="str">
        <f>PROPER(TRIM(SUBSTITUTE(SUBSTITUTE(SUBSTITUTE(Table1[[#This Row],[name]],"Ms. ",""),"Mr. ",""),"Mrs. ","")))</f>
        <v>Megan Brown</v>
      </c>
      <c r="D741" t="s">
        <v>77</v>
      </c>
      <c r="E7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41">
        <v>34</v>
      </c>
      <c r="G741" t="str">
        <f>TRIM(IF(Table1[[#This Row],[age]]="","Unknown",Table1[[#This Row],[age]]))</f>
        <v>34</v>
      </c>
      <c r="H741" t="s">
        <v>28</v>
      </c>
      <c r="I741" t="s">
        <v>29</v>
      </c>
      <c r="J741" t="s">
        <v>17</v>
      </c>
      <c r="K741">
        <v>3</v>
      </c>
      <c r="L741" s="10" t="str">
        <f>TRIM(IF(Table1[[#This Row],[years_of_experience]]="","Unknown",Table1[[#This Row],[years_of_experience]]))</f>
        <v>3</v>
      </c>
      <c r="N741">
        <f>IF(Table1[[#This Row],[hourly_rate (USD)]]="",MEDIAN(Table1[hourly_rate (USD)]),Table1[[#This Row],[hourly_rate (USD)]])</f>
        <v>50</v>
      </c>
      <c r="O741" t="str">
        <f>TRIM(CLEAN(Table1[[#This Row],[Updated hourly_rate (USD)]]))</f>
        <v>50</v>
      </c>
      <c r="P741" t="str">
        <f>SUBSTITUTE(SUBSTITUTE(Table1[[#This Row],[Formatted hourly rate]],"USD ",""),"$","")</f>
        <v>50</v>
      </c>
      <c r="R741">
        <f>IF(Table1[[#This Row],[rating]]="",2.6,Table1[[#This Row],[rating]])</f>
        <v>2.6</v>
      </c>
      <c r="S741" t="b">
        <v>0</v>
      </c>
      <c r="T741" t="str">
        <f>TRIM(CLEAN(Table1[[#This Row],[is_active]]))</f>
        <v>FALSE</v>
      </c>
      <c r="U74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41" s="11" t="str">
        <f>TRIM(IF(Table1[[#This Row],[is_active3]]="Unknown","TRUE",Table1[[#This Row],[is_active3]]))</f>
        <v>TRUE</v>
      </c>
      <c r="W741">
        <v>0.77</v>
      </c>
      <c r="X741">
        <f>IF(Table1[[#This Row],[client_satisfaction]]&gt;1,Table1[[#This Row],[client_satisfaction]]/100,Table1[[#This Row],[client_satisfaction]])</f>
        <v>0.77</v>
      </c>
      <c r="Y741">
        <f>IF(Table1[[#This Row],[client_satisfaction2]]=0,0.75,Table1[[#This Row],[client_satisfaction2]])</f>
        <v>0.77</v>
      </c>
    </row>
    <row r="742" spans="1:25" x14ac:dyDescent="0.25">
      <c r="A742" t="s">
        <v>1559</v>
      </c>
      <c r="B742" t="s">
        <v>1560</v>
      </c>
      <c r="C742" t="str">
        <f>PROPER(TRIM(SUBSTITUTE(SUBSTITUTE(SUBSTITUTE(Table1[[#This Row],[name]],"Ms. ",""),"Mr. ",""),"Mrs. ","")))</f>
        <v>Gregory Brown</v>
      </c>
      <c r="D742" t="s">
        <v>48</v>
      </c>
      <c r="E7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42">
        <v>57</v>
      </c>
      <c r="G742" t="str">
        <f>TRIM(IF(Table1[[#This Row],[age]]="","Unknown",Table1[[#This Row],[age]]))</f>
        <v>57</v>
      </c>
      <c r="H742" t="s">
        <v>15</v>
      </c>
      <c r="I742" t="s">
        <v>16</v>
      </c>
      <c r="J742" t="s">
        <v>35</v>
      </c>
      <c r="K742">
        <v>31</v>
      </c>
      <c r="L742" s="10" t="str">
        <f>TRIM(IF(Table1[[#This Row],[years_of_experience]]="","Unknown",Table1[[#This Row],[years_of_experience]]))</f>
        <v>31</v>
      </c>
      <c r="M742">
        <v>50</v>
      </c>
      <c r="N742">
        <f>IF(Table1[[#This Row],[hourly_rate (USD)]]="",MEDIAN(Table1[hourly_rate (USD)]),Table1[[#This Row],[hourly_rate (USD)]])</f>
        <v>50</v>
      </c>
      <c r="O742" t="str">
        <f>TRIM(CLEAN(Table1[[#This Row],[Updated hourly_rate (USD)]]))</f>
        <v>50</v>
      </c>
      <c r="P742" t="str">
        <f>SUBSTITUTE(SUBSTITUTE(Table1[[#This Row],[Formatted hourly rate]],"USD ",""),"$","")</f>
        <v>50</v>
      </c>
      <c r="Q742">
        <v>3</v>
      </c>
      <c r="R742">
        <f>IF(Table1[[#This Row],[rating]]="",2.6,Table1[[#This Row],[rating]])</f>
        <v>3</v>
      </c>
      <c r="S742" t="b">
        <v>1</v>
      </c>
      <c r="T742" t="str">
        <f>TRIM(CLEAN(Table1[[#This Row],[is_active]]))</f>
        <v>TRUE</v>
      </c>
      <c r="U74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42" s="11" t="str">
        <f>TRIM(IF(Table1[[#This Row],[is_active3]]="Unknown","TRUE",Table1[[#This Row],[is_active3]]))</f>
        <v>TRUE</v>
      </c>
      <c r="W742">
        <v>0.87</v>
      </c>
      <c r="X742">
        <f>IF(Table1[[#This Row],[client_satisfaction]]&gt;1,Table1[[#This Row],[client_satisfaction]]/100,Table1[[#This Row],[client_satisfaction]])</f>
        <v>0.87</v>
      </c>
      <c r="Y742">
        <f>IF(Table1[[#This Row],[client_satisfaction2]]=0,0.75,Table1[[#This Row],[client_satisfaction2]])</f>
        <v>0.87</v>
      </c>
    </row>
    <row r="743" spans="1:25" x14ac:dyDescent="0.25">
      <c r="A743" t="s">
        <v>1561</v>
      </c>
      <c r="B743" t="s">
        <v>1562</v>
      </c>
      <c r="C743" t="str">
        <f>PROPER(TRIM(SUBSTITUTE(SUBSTITUTE(SUBSTITUTE(Table1[[#This Row],[name]],"Ms. ",""),"Mr. ",""),"Mrs. ","")))</f>
        <v>Scott Alexander Md</v>
      </c>
      <c r="D743" t="s">
        <v>61</v>
      </c>
      <c r="E7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43">
        <v>46</v>
      </c>
      <c r="G743" t="str">
        <f>TRIM(IF(Table1[[#This Row],[age]]="","Unknown",Table1[[#This Row],[age]]))</f>
        <v>46</v>
      </c>
      <c r="H743" t="s">
        <v>128</v>
      </c>
      <c r="I743" t="s">
        <v>22</v>
      </c>
      <c r="J743" t="s">
        <v>35</v>
      </c>
      <c r="K743">
        <v>5</v>
      </c>
      <c r="L743" s="10" t="str">
        <f>TRIM(IF(Table1[[#This Row],[years_of_experience]]="","Unknown",Table1[[#This Row],[years_of_experience]]))</f>
        <v>5</v>
      </c>
      <c r="M743" t="s">
        <v>45</v>
      </c>
      <c r="N743" t="str">
        <f>IF(Table1[[#This Row],[hourly_rate (USD)]]="",MEDIAN(Table1[hourly_rate (USD)]),Table1[[#This Row],[hourly_rate (USD)]])</f>
        <v>$30</v>
      </c>
      <c r="O743" t="str">
        <f>TRIM(CLEAN(Table1[[#This Row],[Updated hourly_rate (USD)]]))</f>
        <v>$30</v>
      </c>
      <c r="P743" t="str">
        <f>SUBSTITUTE(SUBSTITUTE(Table1[[#This Row],[Formatted hourly rate]],"USD ",""),"$","")</f>
        <v>30</v>
      </c>
      <c r="Q743">
        <v>2.6</v>
      </c>
      <c r="R743">
        <f>IF(Table1[[#This Row],[rating]]="",2.6,Table1[[#This Row],[rating]])</f>
        <v>2.6</v>
      </c>
      <c r="S743" t="s">
        <v>159</v>
      </c>
      <c r="T743" t="str">
        <f>TRIM(CLEAN(Table1[[#This Row],[is_active]]))</f>
        <v>no</v>
      </c>
      <c r="U74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43" s="11" t="str">
        <f>TRIM(IF(Table1[[#This Row],[is_active3]]="Unknown","TRUE",Table1[[#This Row],[is_active3]]))</f>
        <v>FALSE</v>
      </c>
      <c r="W743">
        <v>0.76</v>
      </c>
      <c r="X743">
        <f>IF(Table1[[#This Row],[client_satisfaction]]&gt;1,Table1[[#This Row],[client_satisfaction]]/100,Table1[[#This Row],[client_satisfaction]])</f>
        <v>0.76</v>
      </c>
      <c r="Y743">
        <f>IF(Table1[[#This Row],[client_satisfaction2]]=0,0.75,Table1[[#This Row],[client_satisfaction2]])</f>
        <v>0.76</v>
      </c>
    </row>
    <row r="744" spans="1:25" x14ac:dyDescent="0.25">
      <c r="A744" t="s">
        <v>1563</v>
      </c>
      <c r="B744" t="s">
        <v>1564</v>
      </c>
      <c r="C744" t="str">
        <f>PROPER(TRIM(SUBSTITUTE(SUBSTITUTE(SUBSTITUTE(Table1[[#This Row],[name]],"Ms. ",""),"Mr. ",""),"Mrs. ","")))</f>
        <v>Eric Nguyen</v>
      </c>
      <c r="D744" t="s">
        <v>27</v>
      </c>
      <c r="E7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44">
        <v>55</v>
      </c>
      <c r="G744" t="str">
        <f>TRIM(IF(Table1[[#This Row],[age]]="","Unknown",Table1[[#This Row],[age]]))</f>
        <v>55</v>
      </c>
      <c r="H744" t="s">
        <v>93</v>
      </c>
      <c r="I744" t="s">
        <v>94</v>
      </c>
      <c r="J744" t="s">
        <v>44</v>
      </c>
      <c r="K744">
        <v>37</v>
      </c>
      <c r="L744" s="10" t="str">
        <f>TRIM(IF(Table1[[#This Row],[years_of_experience]]="","Unknown",Table1[[#This Row],[years_of_experience]]))</f>
        <v>37</v>
      </c>
      <c r="M744" t="s">
        <v>52</v>
      </c>
      <c r="N744" t="str">
        <f>IF(Table1[[#This Row],[hourly_rate (USD)]]="",MEDIAN(Table1[hourly_rate (USD)]),Table1[[#This Row],[hourly_rate (USD)]])</f>
        <v>USD 75</v>
      </c>
      <c r="O744" t="str">
        <f>TRIM(CLEAN(Table1[[#This Row],[Updated hourly_rate (USD)]]))</f>
        <v>USD 75</v>
      </c>
      <c r="P744" t="str">
        <f>SUBSTITUTE(SUBSTITUTE(Table1[[#This Row],[Formatted hourly rate]],"USD ",""),"$","")</f>
        <v>75</v>
      </c>
      <c r="Q744">
        <v>4.0999999999999996</v>
      </c>
      <c r="R744">
        <f>IF(Table1[[#This Row],[rating]]="",2.6,Table1[[#This Row],[rating]])</f>
        <v>4.0999999999999996</v>
      </c>
      <c r="S744" t="s">
        <v>159</v>
      </c>
      <c r="T744" t="str">
        <f>TRIM(CLEAN(Table1[[#This Row],[is_active]]))</f>
        <v>no</v>
      </c>
      <c r="U7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44" s="11" t="str">
        <f>TRIM(IF(Table1[[#This Row],[is_active3]]="Unknown","TRUE",Table1[[#This Row],[is_active3]]))</f>
        <v>FALSE</v>
      </c>
      <c r="X744">
        <f>IF(Table1[[#This Row],[client_satisfaction]]&gt;1,Table1[[#This Row],[client_satisfaction]]/100,Table1[[#This Row],[client_satisfaction]])</f>
        <v>0</v>
      </c>
      <c r="Y744">
        <f>IF(Table1[[#This Row],[client_satisfaction2]]=0,0.75,Table1[[#This Row],[client_satisfaction2]])</f>
        <v>0.75</v>
      </c>
    </row>
    <row r="745" spans="1:25" x14ac:dyDescent="0.25">
      <c r="A745" t="s">
        <v>1565</v>
      </c>
      <c r="B745" t="s">
        <v>1566</v>
      </c>
      <c r="C745" t="str">
        <f>PROPER(TRIM(SUBSTITUTE(SUBSTITUTE(SUBSTITUTE(Table1[[#This Row],[name]],"Ms. ",""),"Mr. ",""),"Mrs. ","")))</f>
        <v>Wendy Boyer</v>
      </c>
      <c r="D745" t="s">
        <v>20</v>
      </c>
      <c r="E7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45">
        <v>32</v>
      </c>
      <c r="G745" t="str">
        <f>TRIM(IF(Table1[[#This Row],[age]]="","Unknown",Table1[[#This Row],[age]]))</f>
        <v>32</v>
      </c>
      <c r="H745" t="s">
        <v>21</v>
      </c>
      <c r="I745" t="s">
        <v>22</v>
      </c>
      <c r="J745" t="s">
        <v>89</v>
      </c>
      <c r="K745">
        <v>10</v>
      </c>
      <c r="L745" s="10" t="str">
        <f>TRIM(IF(Table1[[#This Row],[years_of_experience]]="","Unknown",Table1[[#This Row],[years_of_experience]]))</f>
        <v>10</v>
      </c>
      <c r="M745" t="s">
        <v>98</v>
      </c>
      <c r="N745" t="str">
        <f>IF(Table1[[#This Row],[hourly_rate (USD)]]="",MEDIAN(Table1[hourly_rate (USD)]),Table1[[#This Row],[hourly_rate (USD)]])</f>
        <v>USD 50</v>
      </c>
      <c r="O745" t="str">
        <f>TRIM(CLEAN(Table1[[#This Row],[Updated hourly_rate (USD)]]))</f>
        <v>USD 50</v>
      </c>
      <c r="P745" t="str">
        <f>SUBSTITUTE(SUBSTITUTE(Table1[[#This Row],[Formatted hourly rate]],"USD ",""),"$","")</f>
        <v>50</v>
      </c>
      <c r="Q745">
        <v>1.5</v>
      </c>
      <c r="R745">
        <f>IF(Table1[[#This Row],[rating]]="",2.6,Table1[[#This Row],[rating]])</f>
        <v>1.5</v>
      </c>
      <c r="S745" t="b">
        <v>0</v>
      </c>
      <c r="T745" t="str">
        <f>TRIM(CLEAN(Table1[[#This Row],[is_active]]))</f>
        <v>FALSE</v>
      </c>
      <c r="U74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45" s="11" t="str">
        <f>TRIM(IF(Table1[[#This Row],[is_active3]]="Unknown","TRUE",Table1[[#This Row],[is_active3]]))</f>
        <v>TRUE</v>
      </c>
      <c r="W745">
        <v>0.65</v>
      </c>
      <c r="X745">
        <f>IF(Table1[[#This Row],[client_satisfaction]]&gt;1,Table1[[#This Row],[client_satisfaction]]/100,Table1[[#This Row],[client_satisfaction]])</f>
        <v>0.65</v>
      </c>
      <c r="Y745">
        <f>IF(Table1[[#This Row],[client_satisfaction2]]=0,0.75,Table1[[#This Row],[client_satisfaction2]])</f>
        <v>0.65</v>
      </c>
    </row>
    <row r="746" spans="1:25" x14ac:dyDescent="0.25">
      <c r="A746" t="s">
        <v>1567</v>
      </c>
      <c r="B746" t="s">
        <v>1568</v>
      </c>
      <c r="C746" t="str">
        <f>PROPER(TRIM(SUBSTITUTE(SUBSTITUTE(SUBSTITUTE(Table1[[#This Row],[name]],"Ms. ",""),"Mr. ",""),"Mrs. ","")))</f>
        <v>Mark Clark</v>
      </c>
      <c r="D746" t="s">
        <v>92</v>
      </c>
      <c r="E7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46">
        <v>53</v>
      </c>
      <c r="G746" t="str">
        <f>TRIM(IF(Table1[[#This Row],[age]]="","Unknown",Table1[[#This Row],[age]]))</f>
        <v>53</v>
      </c>
      <c r="H746" t="s">
        <v>49</v>
      </c>
      <c r="I746" t="s">
        <v>50</v>
      </c>
      <c r="J746" t="s">
        <v>44</v>
      </c>
      <c r="K746">
        <v>28</v>
      </c>
      <c r="L746" s="10" t="str">
        <f>TRIM(IF(Table1[[#This Row],[years_of_experience]]="","Unknown",Table1[[#This Row],[years_of_experience]]))</f>
        <v>28</v>
      </c>
      <c r="M746" t="s">
        <v>98</v>
      </c>
      <c r="N746" t="str">
        <f>IF(Table1[[#This Row],[hourly_rate (USD)]]="",MEDIAN(Table1[hourly_rate (USD)]),Table1[[#This Row],[hourly_rate (USD)]])</f>
        <v>USD 50</v>
      </c>
      <c r="O746" t="str">
        <f>TRIM(CLEAN(Table1[[#This Row],[Updated hourly_rate (USD)]]))</f>
        <v>USD 50</v>
      </c>
      <c r="P746" t="str">
        <f>SUBSTITUTE(SUBSTITUTE(Table1[[#This Row],[Formatted hourly rate]],"USD ",""),"$","")</f>
        <v>50</v>
      </c>
      <c r="Q746">
        <v>2.9</v>
      </c>
      <c r="R746">
        <f>IF(Table1[[#This Row],[rating]]="",2.6,Table1[[#This Row],[rating]])</f>
        <v>2.9</v>
      </c>
      <c r="S746" t="s">
        <v>68</v>
      </c>
      <c r="T746" t="str">
        <f>TRIM(CLEAN(Table1[[#This Row],[is_active]]))</f>
        <v>yes</v>
      </c>
      <c r="U74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46" s="11" t="str">
        <f>TRIM(IF(Table1[[#This Row],[is_active3]]="Unknown","TRUE",Table1[[#This Row],[is_active3]]))</f>
        <v>TRUE</v>
      </c>
      <c r="W746">
        <v>0.82</v>
      </c>
      <c r="X746">
        <f>IF(Table1[[#This Row],[client_satisfaction]]&gt;1,Table1[[#This Row],[client_satisfaction]]/100,Table1[[#This Row],[client_satisfaction]])</f>
        <v>0.82</v>
      </c>
      <c r="Y746">
        <f>IF(Table1[[#This Row],[client_satisfaction2]]=0,0.75,Table1[[#This Row],[client_satisfaction2]])</f>
        <v>0.82</v>
      </c>
    </row>
    <row r="747" spans="1:25" x14ac:dyDescent="0.25">
      <c r="A747" t="s">
        <v>1569</v>
      </c>
      <c r="B747" t="s">
        <v>1570</v>
      </c>
      <c r="C747" t="str">
        <f>PROPER(TRIM(SUBSTITUTE(SUBSTITUTE(SUBSTITUTE(Table1[[#This Row],[name]],"Ms. ",""),"Mr. ",""),"Mrs. ","")))</f>
        <v>Carl Kline</v>
      </c>
      <c r="D747" t="s">
        <v>27</v>
      </c>
      <c r="E7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47">
        <v>59</v>
      </c>
      <c r="G747" t="str">
        <f>TRIM(IF(Table1[[#This Row],[age]]="","Unknown",Table1[[#This Row],[age]]))</f>
        <v>59</v>
      </c>
      <c r="H747" t="s">
        <v>179</v>
      </c>
      <c r="I747" t="s">
        <v>72</v>
      </c>
      <c r="J747" t="s">
        <v>44</v>
      </c>
      <c r="K747">
        <v>0</v>
      </c>
      <c r="L747" s="10" t="str">
        <f>TRIM(IF(Table1[[#This Row],[years_of_experience]]="","Unknown",Table1[[#This Row],[years_of_experience]]))</f>
        <v>0</v>
      </c>
      <c r="M747">
        <v>100</v>
      </c>
      <c r="N747">
        <f>IF(Table1[[#This Row],[hourly_rate (USD)]]="",MEDIAN(Table1[hourly_rate (USD)]),Table1[[#This Row],[hourly_rate (USD)]])</f>
        <v>100</v>
      </c>
      <c r="O747" t="str">
        <f>TRIM(CLEAN(Table1[[#This Row],[Updated hourly_rate (USD)]]))</f>
        <v>100</v>
      </c>
      <c r="P747" t="str">
        <f>SUBSTITUTE(SUBSTITUTE(Table1[[#This Row],[Formatted hourly rate]],"USD ",""),"$","")</f>
        <v>100</v>
      </c>
      <c r="Q747">
        <v>0</v>
      </c>
      <c r="R747">
        <f>IF(Table1[[#This Row],[rating]]="",2.6,Table1[[#This Row],[rating]])</f>
        <v>0</v>
      </c>
      <c r="S747" t="s">
        <v>74</v>
      </c>
      <c r="T747" t="str">
        <f>TRIM(CLEAN(Table1[[#This Row],[is_active]]))</f>
        <v>Y</v>
      </c>
      <c r="U7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47" s="11" t="str">
        <f>TRIM(IF(Table1[[#This Row],[is_active3]]="Unknown","TRUE",Table1[[#This Row],[is_active3]]))</f>
        <v>TRUE</v>
      </c>
      <c r="W747">
        <v>87</v>
      </c>
      <c r="X747">
        <f>IF(Table1[[#This Row],[client_satisfaction]]&gt;1,Table1[[#This Row],[client_satisfaction]]/100,Table1[[#This Row],[client_satisfaction]])</f>
        <v>0.87</v>
      </c>
      <c r="Y747">
        <f>IF(Table1[[#This Row],[client_satisfaction2]]=0,0.75,Table1[[#This Row],[client_satisfaction2]])</f>
        <v>0.87</v>
      </c>
    </row>
    <row r="748" spans="1:25" x14ac:dyDescent="0.25">
      <c r="A748" t="s">
        <v>1571</v>
      </c>
      <c r="B748" t="s">
        <v>1572</v>
      </c>
      <c r="C748" t="str">
        <f>PROPER(TRIM(SUBSTITUTE(SUBSTITUTE(SUBSTITUTE(Table1[[#This Row],[name]],"Ms. ",""),"Mr. ",""),"Mrs. ","")))</f>
        <v>Linda Williams</v>
      </c>
      <c r="D748" t="s">
        <v>34</v>
      </c>
      <c r="E7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48">
        <v>44</v>
      </c>
      <c r="G748" t="str">
        <f>TRIM(IF(Table1[[#This Row],[age]]="","Unknown",Table1[[#This Row],[age]]))</f>
        <v>44</v>
      </c>
      <c r="H748" t="s">
        <v>42</v>
      </c>
      <c r="I748" t="s">
        <v>43</v>
      </c>
      <c r="J748" t="s">
        <v>114</v>
      </c>
      <c r="K748">
        <v>19</v>
      </c>
      <c r="L748" s="10" t="str">
        <f>TRIM(IF(Table1[[#This Row],[years_of_experience]]="","Unknown",Table1[[#This Row],[years_of_experience]]))</f>
        <v>19</v>
      </c>
      <c r="M748" t="s">
        <v>36</v>
      </c>
      <c r="N748" t="str">
        <f>IF(Table1[[#This Row],[hourly_rate (USD)]]="",MEDIAN(Table1[hourly_rate (USD)]),Table1[[#This Row],[hourly_rate (USD)]])</f>
        <v>$40</v>
      </c>
      <c r="O748" t="str">
        <f>TRIM(CLEAN(Table1[[#This Row],[Updated hourly_rate (USD)]]))</f>
        <v>$40</v>
      </c>
      <c r="P748" t="str">
        <f>SUBSTITUTE(SUBSTITUTE(Table1[[#This Row],[Formatted hourly rate]],"USD ",""),"$","")</f>
        <v>40</v>
      </c>
      <c r="Q748">
        <v>4.9000000000000004</v>
      </c>
      <c r="R748">
        <f>IF(Table1[[#This Row],[rating]]="",2.6,Table1[[#This Row],[rating]])</f>
        <v>4.9000000000000004</v>
      </c>
      <c r="S748" t="s">
        <v>31</v>
      </c>
      <c r="T748" t="str">
        <f>TRIM(CLEAN(Table1[[#This Row],[is_active]]))</f>
        <v>N</v>
      </c>
      <c r="U74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48" s="11" t="str">
        <f>TRIM(IF(Table1[[#This Row],[is_active3]]="Unknown","TRUE",Table1[[#This Row],[is_active3]]))</f>
        <v>FALSE</v>
      </c>
      <c r="W748">
        <v>1</v>
      </c>
      <c r="X748">
        <f>IF(Table1[[#This Row],[client_satisfaction]]&gt;1,Table1[[#This Row],[client_satisfaction]]/100,Table1[[#This Row],[client_satisfaction]])</f>
        <v>1</v>
      </c>
      <c r="Y748">
        <f>IF(Table1[[#This Row],[client_satisfaction2]]=0,0.75,Table1[[#This Row],[client_satisfaction2]])</f>
        <v>1</v>
      </c>
    </row>
    <row r="749" spans="1:25" x14ac:dyDescent="0.25">
      <c r="A749" t="s">
        <v>1573</v>
      </c>
      <c r="B749" t="s">
        <v>1574</v>
      </c>
      <c r="C749" t="str">
        <f>PROPER(TRIM(SUBSTITUTE(SUBSTITUTE(SUBSTITUTE(Table1[[#This Row],[name]],"Ms. ",""),"Mr. ",""),"Mrs. ","")))</f>
        <v>Jason Edwards</v>
      </c>
      <c r="D749" t="s">
        <v>97</v>
      </c>
      <c r="E7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49">
        <v>35</v>
      </c>
      <c r="G749" t="str">
        <f>TRIM(IF(Table1[[#This Row],[age]]="","Unknown",Table1[[#This Row],[age]]))</f>
        <v>35</v>
      </c>
      <c r="H749" t="s">
        <v>139</v>
      </c>
      <c r="I749" t="s">
        <v>140</v>
      </c>
      <c r="J749" t="s">
        <v>17</v>
      </c>
      <c r="K749">
        <v>9</v>
      </c>
      <c r="L749" s="10" t="str">
        <f>TRIM(IF(Table1[[#This Row],[years_of_experience]]="","Unknown",Table1[[#This Row],[years_of_experience]]))</f>
        <v>9</v>
      </c>
      <c r="M749" t="s">
        <v>98</v>
      </c>
      <c r="N749" t="str">
        <f>IF(Table1[[#This Row],[hourly_rate (USD)]]="",MEDIAN(Table1[hourly_rate (USD)]),Table1[[#This Row],[hourly_rate (USD)]])</f>
        <v>USD 50</v>
      </c>
      <c r="O749" t="str">
        <f>TRIM(CLEAN(Table1[[#This Row],[Updated hourly_rate (USD)]]))</f>
        <v>USD 50</v>
      </c>
      <c r="P749" t="str">
        <f>SUBSTITUTE(SUBSTITUTE(Table1[[#This Row],[Formatted hourly rate]],"USD ",""),"$","")</f>
        <v>50</v>
      </c>
      <c r="Q749">
        <v>3</v>
      </c>
      <c r="R749">
        <f>IF(Table1[[#This Row],[rating]]="",2.6,Table1[[#This Row],[rating]])</f>
        <v>3</v>
      </c>
      <c r="S749" t="s">
        <v>31</v>
      </c>
      <c r="T749" t="str">
        <f>TRIM(CLEAN(Table1[[#This Row],[is_active]]))</f>
        <v>N</v>
      </c>
      <c r="U7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49" s="11" t="str">
        <f>TRIM(IF(Table1[[#This Row],[is_active3]]="Unknown","TRUE",Table1[[#This Row],[is_active3]]))</f>
        <v>FALSE</v>
      </c>
      <c r="W749">
        <v>71</v>
      </c>
      <c r="X749">
        <f>IF(Table1[[#This Row],[client_satisfaction]]&gt;1,Table1[[#This Row],[client_satisfaction]]/100,Table1[[#This Row],[client_satisfaction]])</f>
        <v>0.71</v>
      </c>
      <c r="Y749">
        <f>IF(Table1[[#This Row],[client_satisfaction2]]=0,0.75,Table1[[#This Row],[client_satisfaction2]])</f>
        <v>0.71</v>
      </c>
    </row>
    <row r="750" spans="1:25" x14ac:dyDescent="0.25">
      <c r="A750" t="s">
        <v>1575</v>
      </c>
      <c r="B750" t="s">
        <v>1576</v>
      </c>
      <c r="C750" t="str">
        <f>PROPER(TRIM(SUBSTITUTE(SUBSTITUTE(SUBSTITUTE(Table1[[#This Row],[name]],"Ms. ",""),"Mr. ",""),"Mrs. ","")))</f>
        <v>Madison Mcintosh</v>
      </c>
      <c r="D750" t="s">
        <v>14</v>
      </c>
      <c r="E7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50">
        <v>42</v>
      </c>
      <c r="G750" t="str">
        <f>TRIM(IF(Table1[[#This Row],[age]]="","Unknown",Table1[[#This Row],[age]]))</f>
        <v>42</v>
      </c>
      <c r="H750" t="s">
        <v>175</v>
      </c>
      <c r="I750" t="s">
        <v>176</v>
      </c>
      <c r="J750" t="s">
        <v>114</v>
      </c>
      <c r="K750">
        <v>5</v>
      </c>
      <c r="L750" s="10" t="str">
        <f>TRIM(IF(Table1[[#This Row],[years_of_experience]]="","Unknown",Table1[[#This Row],[years_of_experience]]))</f>
        <v>5</v>
      </c>
      <c r="M750">
        <v>30</v>
      </c>
      <c r="N750">
        <f>IF(Table1[[#This Row],[hourly_rate (USD)]]="",MEDIAN(Table1[hourly_rate (USD)]),Table1[[#This Row],[hourly_rate (USD)]])</f>
        <v>30</v>
      </c>
      <c r="O750" t="str">
        <f>TRIM(CLEAN(Table1[[#This Row],[Updated hourly_rate (USD)]]))</f>
        <v>30</v>
      </c>
      <c r="P750" t="str">
        <f>SUBSTITUTE(SUBSTITUTE(Table1[[#This Row],[Formatted hourly rate]],"USD ",""),"$","")</f>
        <v>30</v>
      </c>
      <c r="Q750">
        <v>4.9000000000000004</v>
      </c>
      <c r="R750">
        <f>IF(Table1[[#This Row],[rating]]="",2.6,Table1[[#This Row],[rating]])</f>
        <v>4.9000000000000004</v>
      </c>
      <c r="S750">
        <v>1</v>
      </c>
      <c r="T750" t="str">
        <f>TRIM(CLEAN(Table1[[#This Row],[is_active]]))</f>
        <v>1</v>
      </c>
      <c r="U75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50" s="11" t="str">
        <f>TRIM(IF(Table1[[#This Row],[is_active3]]="Unknown","TRUE",Table1[[#This Row],[is_active3]]))</f>
        <v>TRUE</v>
      </c>
      <c r="W750">
        <v>87</v>
      </c>
      <c r="X750">
        <f>IF(Table1[[#This Row],[client_satisfaction]]&gt;1,Table1[[#This Row],[client_satisfaction]]/100,Table1[[#This Row],[client_satisfaction]])</f>
        <v>0.87</v>
      </c>
      <c r="Y750">
        <f>IF(Table1[[#This Row],[client_satisfaction2]]=0,0.75,Table1[[#This Row],[client_satisfaction2]])</f>
        <v>0.87</v>
      </c>
    </row>
    <row r="751" spans="1:25" x14ac:dyDescent="0.25">
      <c r="A751" t="s">
        <v>1577</v>
      </c>
      <c r="B751" t="s">
        <v>1578</v>
      </c>
      <c r="C751" t="str">
        <f>PROPER(TRIM(SUBSTITUTE(SUBSTITUTE(SUBSTITUTE(Table1[[#This Row],[name]],"Ms. ",""),"Mr. ",""),"Mrs. ","")))</f>
        <v>Desiree Winters</v>
      </c>
      <c r="D751" t="s">
        <v>14</v>
      </c>
      <c r="E7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51">
        <v>58</v>
      </c>
      <c r="G751" t="str">
        <f>TRIM(IF(Table1[[#This Row],[age]]="","Unknown",Table1[[#This Row],[age]]))</f>
        <v>58</v>
      </c>
      <c r="H751" t="s">
        <v>112</v>
      </c>
      <c r="I751" t="s">
        <v>113</v>
      </c>
      <c r="J751" t="s">
        <v>17</v>
      </c>
      <c r="K751">
        <v>0</v>
      </c>
      <c r="L751" s="10" t="str">
        <f>TRIM(IF(Table1[[#This Row],[years_of_experience]]="","Unknown",Table1[[#This Row],[years_of_experience]]))</f>
        <v>0</v>
      </c>
      <c r="M751" t="s">
        <v>109</v>
      </c>
      <c r="N751" t="str">
        <f>IF(Table1[[#This Row],[hourly_rate (USD)]]="",MEDIAN(Table1[hourly_rate (USD)]),Table1[[#This Row],[hourly_rate (USD)]])</f>
        <v>USD 30</v>
      </c>
      <c r="O751" t="str">
        <f>TRIM(CLEAN(Table1[[#This Row],[Updated hourly_rate (USD)]]))</f>
        <v>USD 30</v>
      </c>
      <c r="P751" t="str">
        <f>SUBSTITUTE(SUBSTITUTE(Table1[[#This Row],[Formatted hourly rate]],"USD ",""),"$","")</f>
        <v>30</v>
      </c>
      <c r="Q751">
        <v>4.5999999999999996</v>
      </c>
      <c r="R751">
        <f>IF(Table1[[#This Row],[rating]]="",2.6,Table1[[#This Row],[rating]])</f>
        <v>4.5999999999999996</v>
      </c>
      <c r="S751">
        <v>0</v>
      </c>
      <c r="T751" t="str">
        <f>TRIM(CLEAN(Table1[[#This Row],[is_active]]))</f>
        <v>0</v>
      </c>
      <c r="U75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51" s="11" t="str">
        <f>TRIM(IF(Table1[[#This Row],[is_active3]]="Unknown","TRUE",Table1[[#This Row],[is_active3]]))</f>
        <v>FALSE</v>
      </c>
      <c r="W751">
        <v>70</v>
      </c>
      <c r="X751">
        <f>IF(Table1[[#This Row],[client_satisfaction]]&gt;1,Table1[[#This Row],[client_satisfaction]]/100,Table1[[#This Row],[client_satisfaction]])</f>
        <v>0.7</v>
      </c>
      <c r="Y751">
        <f>IF(Table1[[#This Row],[client_satisfaction2]]=0,0.75,Table1[[#This Row],[client_satisfaction2]])</f>
        <v>0.7</v>
      </c>
    </row>
    <row r="752" spans="1:25" x14ac:dyDescent="0.25">
      <c r="A752" t="s">
        <v>1579</v>
      </c>
      <c r="B752" t="s">
        <v>1580</v>
      </c>
      <c r="C752" t="str">
        <f>PROPER(TRIM(SUBSTITUTE(SUBSTITUTE(SUBSTITUTE(Table1[[#This Row],[name]],"Ms. ",""),"Mr. ",""),"Mrs. ","")))</f>
        <v>Ryan Taylor</v>
      </c>
      <c r="D752" t="s">
        <v>61</v>
      </c>
      <c r="E7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52">
        <v>41</v>
      </c>
      <c r="G752" t="str">
        <f>TRIM(IF(Table1[[#This Row],[age]]="","Unknown",Table1[[#This Row],[age]]))</f>
        <v>41</v>
      </c>
      <c r="H752" t="s">
        <v>42</v>
      </c>
      <c r="I752" t="s">
        <v>43</v>
      </c>
      <c r="J752" t="s">
        <v>44</v>
      </c>
      <c r="K752">
        <v>21</v>
      </c>
      <c r="L752" s="10" t="str">
        <f>TRIM(IF(Table1[[#This Row],[years_of_experience]]="","Unknown",Table1[[#This Row],[years_of_experience]]))</f>
        <v>21</v>
      </c>
      <c r="M752" t="s">
        <v>24</v>
      </c>
      <c r="N752" t="str">
        <f>IF(Table1[[#This Row],[hourly_rate (USD)]]="",MEDIAN(Table1[hourly_rate (USD)]),Table1[[#This Row],[hourly_rate (USD)]])</f>
        <v>USD 100</v>
      </c>
      <c r="O752" t="str">
        <f>TRIM(CLEAN(Table1[[#This Row],[Updated hourly_rate (USD)]]))</f>
        <v>USD 100</v>
      </c>
      <c r="P752" t="str">
        <f>SUBSTITUTE(SUBSTITUTE(Table1[[#This Row],[Formatted hourly rate]],"USD ",""),"$","")</f>
        <v>100</v>
      </c>
      <c r="Q752">
        <v>2.2000000000000002</v>
      </c>
      <c r="R752">
        <f>IF(Table1[[#This Row],[rating]]="",2.6,Table1[[#This Row],[rating]])</f>
        <v>2.2000000000000002</v>
      </c>
      <c r="S752">
        <v>1</v>
      </c>
      <c r="T752" t="str">
        <f>TRIM(CLEAN(Table1[[#This Row],[is_active]]))</f>
        <v>1</v>
      </c>
      <c r="U75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52" s="11" t="str">
        <f>TRIM(IF(Table1[[#This Row],[is_active3]]="Unknown","TRUE",Table1[[#This Row],[is_active3]]))</f>
        <v>TRUE</v>
      </c>
      <c r="W752">
        <v>0.83</v>
      </c>
      <c r="X752">
        <f>IF(Table1[[#This Row],[client_satisfaction]]&gt;1,Table1[[#This Row],[client_satisfaction]]/100,Table1[[#This Row],[client_satisfaction]])</f>
        <v>0.83</v>
      </c>
      <c r="Y752">
        <f>IF(Table1[[#This Row],[client_satisfaction2]]=0,0.75,Table1[[#This Row],[client_satisfaction2]])</f>
        <v>0.83</v>
      </c>
    </row>
    <row r="753" spans="1:25" x14ac:dyDescent="0.25">
      <c r="A753" t="s">
        <v>1581</v>
      </c>
      <c r="B753" t="s">
        <v>1582</v>
      </c>
      <c r="C753" t="str">
        <f>PROPER(TRIM(SUBSTITUTE(SUBSTITUTE(SUBSTITUTE(Table1[[#This Row],[name]],"Ms. ",""),"Mr. ",""),"Mrs. ","")))</f>
        <v>Patricia Scott</v>
      </c>
      <c r="D753" t="s">
        <v>39</v>
      </c>
      <c r="E7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753" t="str">
        <f>TRIM(IF(Table1[[#This Row],[age]]="","Unknown",Table1[[#This Row],[age]]))</f>
        <v>Unknown</v>
      </c>
      <c r="H753" t="s">
        <v>71</v>
      </c>
      <c r="I753" t="s">
        <v>72</v>
      </c>
      <c r="J753" t="s">
        <v>35</v>
      </c>
      <c r="K753">
        <v>0</v>
      </c>
      <c r="L753" s="10" t="str">
        <f>TRIM(IF(Table1[[#This Row],[years_of_experience]]="","Unknown",Table1[[#This Row],[years_of_experience]]))</f>
        <v>0</v>
      </c>
      <c r="M753">
        <v>40</v>
      </c>
      <c r="N753">
        <f>IF(Table1[[#This Row],[hourly_rate (USD)]]="",MEDIAN(Table1[hourly_rate (USD)]),Table1[[#This Row],[hourly_rate (USD)]])</f>
        <v>40</v>
      </c>
      <c r="O753" t="str">
        <f>TRIM(CLEAN(Table1[[#This Row],[Updated hourly_rate (USD)]]))</f>
        <v>40</v>
      </c>
      <c r="P753" t="str">
        <f>SUBSTITUTE(SUBSTITUTE(Table1[[#This Row],[Formatted hourly rate]],"USD ",""),"$","")</f>
        <v>40</v>
      </c>
      <c r="R753">
        <f>IF(Table1[[#This Row],[rating]]="",2.6,Table1[[#This Row],[rating]])</f>
        <v>2.6</v>
      </c>
      <c r="S753" t="s">
        <v>74</v>
      </c>
      <c r="T753" t="str">
        <f>TRIM(CLEAN(Table1[[#This Row],[is_active]]))</f>
        <v>Y</v>
      </c>
      <c r="U75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53" s="11" t="str">
        <f>TRIM(IF(Table1[[#This Row],[is_active3]]="Unknown","TRUE",Table1[[#This Row],[is_active3]]))</f>
        <v>TRUE</v>
      </c>
      <c r="W753">
        <v>0.74</v>
      </c>
      <c r="X753">
        <f>IF(Table1[[#This Row],[client_satisfaction]]&gt;1,Table1[[#This Row],[client_satisfaction]]/100,Table1[[#This Row],[client_satisfaction]])</f>
        <v>0.74</v>
      </c>
      <c r="Y753">
        <f>IF(Table1[[#This Row],[client_satisfaction2]]=0,0.75,Table1[[#This Row],[client_satisfaction2]])</f>
        <v>0.74</v>
      </c>
    </row>
    <row r="754" spans="1:25" x14ac:dyDescent="0.25">
      <c r="A754" t="s">
        <v>1583</v>
      </c>
      <c r="B754" t="s">
        <v>1584</v>
      </c>
      <c r="C754" t="str">
        <f>PROPER(TRIM(SUBSTITUTE(SUBSTITUTE(SUBSTITUTE(Table1[[#This Row],[name]],"Ms. ",""),"Mr. ",""),"Mrs. ","")))</f>
        <v>Erin Jimenez</v>
      </c>
      <c r="D754" t="s">
        <v>20</v>
      </c>
      <c r="E7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54">
        <v>23</v>
      </c>
      <c r="G754" t="str">
        <f>TRIM(IF(Table1[[#This Row],[age]]="","Unknown",Table1[[#This Row],[age]]))</f>
        <v>23</v>
      </c>
      <c r="H754" t="s">
        <v>128</v>
      </c>
      <c r="I754" t="s">
        <v>22</v>
      </c>
      <c r="J754" t="s">
        <v>17</v>
      </c>
      <c r="K754">
        <v>0</v>
      </c>
      <c r="L754" s="10" t="str">
        <f>TRIM(IF(Table1[[#This Row],[years_of_experience]]="","Unknown",Table1[[#This Row],[years_of_experience]]))</f>
        <v>0</v>
      </c>
      <c r="M754">
        <v>30</v>
      </c>
      <c r="N754">
        <f>IF(Table1[[#This Row],[hourly_rate (USD)]]="",MEDIAN(Table1[hourly_rate (USD)]),Table1[[#This Row],[hourly_rate (USD)]])</f>
        <v>30</v>
      </c>
      <c r="O754" t="str">
        <f>TRIM(CLEAN(Table1[[#This Row],[Updated hourly_rate (USD)]]))</f>
        <v>30</v>
      </c>
      <c r="P754" t="str">
        <f>SUBSTITUTE(SUBSTITUTE(Table1[[#This Row],[Formatted hourly rate]],"USD ",""),"$","")</f>
        <v>30</v>
      </c>
      <c r="Q754">
        <v>1.1000000000000001</v>
      </c>
      <c r="R754">
        <f>IF(Table1[[#This Row],[rating]]="",2.6,Table1[[#This Row],[rating]])</f>
        <v>1.1000000000000001</v>
      </c>
      <c r="S754" t="s">
        <v>68</v>
      </c>
      <c r="T754" t="str">
        <f>TRIM(CLEAN(Table1[[#This Row],[is_active]]))</f>
        <v>yes</v>
      </c>
      <c r="U75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54" s="11" t="str">
        <f>TRIM(IF(Table1[[#This Row],[is_active3]]="Unknown","TRUE",Table1[[#This Row],[is_active3]]))</f>
        <v>TRUE</v>
      </c>
      <c r="W754">
        <v>0.86</v>
      </c>
      <c r="X754">
        <f>IF(Table1[[#This Row],[client_satisfaction]]&gt;1,Table1[[#This Row],[client_satisfaction]]/100,Table1[[#This Row],[client_satisfaction]])</f>
        <v>0.86</v>
      </c>
      <c r="Y754">
        <f>IF(Table1[[#This Row],[client_satisfaction2]]=0,0.75,Table1[[#This Row],[client_satisfaction2]])</f>
        <v>0.86</v>
      </c>
    </row>
    <row r="755" spans="1:25" x14ac:dyDescent="0.25">
      <c r="A755" t="s">
        <v>1585</v>
      </c>
      <c r="B755" t="s">
        <v>1586</v>
      </c>
      <c r="C755" t="str">
        <f>PROPER(TRIM(SUBSTITUTE(SUBSTITUTE(SUBSTITUTE(Table1[[#This Row],[name]],"Ms. ",""),"Mr. ",""),"Mrs. ","")))</f>
        <v>Anthony Krause</v>
      </c>
      <c r="D755" t="s">
        <v>92</v>
      </c>
      <c r="E7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55">
        <v>51</v>
      </c>
      <c r="G755" t="str">
        <f>TRIM(IF(Table1[[#This Row],[age]]="","Unknown",Table1[[#This Row],[age]]))</f>
        <v>51</v>
      </c>
      <c r="H755" t="s">
        <v>175</v>
      </c>
      <c r="I755" t="s">
        <v>176</v>
      </c>
      <c r="J755" t="s">
        <v>17</v>
      </c>
      <c r="K755">
        <v>17</v>
      </c>
      <c r="L755" s="10" t="str">
        <f>TRIM(IF(Table1[[#This Row],[years_of_experience]]="","Unknown",Table1[[#This Row],[years_of_experience]]))</f>
        <v>17</v>
      </c>
      <c r="M755">
        <v>40</v>
      </c>
      <c r="N755">
        <f>IF(Table1[[#This Row],[hourly_rate (USD)]]="",MEDIAN(Table1[hourly_rate (USD)]),Table1[[#This Row],[hourly_rate (USD)]])</f>
        <v>40</v>
      </c>
      <c r="O755" t="str">
        <f>TRIM(CLEAN(Table1[[#This Row],[Updated hourly_rate (USD)]]))</f>
        <v>40</v>
      </c>
      <c r="P755" t="str">
        <f>SUBSTITUTE(SUBSTITUTE(Table1[[#This Row],[Formatted hourly rate]],"USD ",""),"$","")</f>
        <v>40</v>
      </c>
      <c r="Q755">
        <v>4.5</v>
      </c>
      <c r="R755">
        <f>IF(Table1[[#This Row],[rating]]="",2.6,Table1[[#This Row],[rating]])</f>
        <v>4.5</v>
      </c>
      <c r="S755">
        <v>1</v>
      </c>
      <c r="T755" t="str">
        <f>TRIM(CLEAN(Table1[[#This Row],[is_active]]))</f>
        <v>1</v>
      </c>
      <c r="U75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55" s="11" t="str">
        <f>TRIM(IF(Table1[[#This Row],[is_active3]]="Unknown","TRUE",Table1[[#This Row],[is_active3]]))</f>
        <v>TRUE</v>
      </c>
      <c r="W755">
        <v>0.72</v>
      </c>
      <c r="X755">
        <f>IF(Table1[[#This Row],[client_satisfaction]]&gt;1,Table1[[#This Row],[client_satisfaction]]/100,Table1[[#This Row],[client_satisfaction]])</f>
        <v>0.72</v>
      </c>
      <c r="Y755">
        <f>IF(Table1[[#This Row],[client_satisfaction2]]=0,0.75,Table1[[#This Row],[client_satisfaction2]])</f>
        <v>0.72</v>
      </c>
    </row>
    <row r="756" spans="1:25" x14ac:dyDescent="0.25">
      <c r="A756" t="s">
        <v>1587</v>
      </c>
      <c r="B756" t="s">
        <v>1588</v>
      </c>
      <c r="C756" t="str">
        <f>PROPER(TRIM(SUBSTITUTE(SUBSTITUTE(SUBSTITUTE(Table1[[#This Row],[name]],"Ms. ",""),"Mr. ",""),"Mrs. ","")))</f>
        <v>Diane Dean</v>
      </c>
      <c r="D756" t="s">
        <v>20</v>
      </c>
      <c r="E7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56">
        <v>42</v>
      </c>
      <c r="G756" t="str">
        <f>TRIM(IF(Table1[[#This Row],[age]]="","Unknown",Table1[[#This Row],[age]]))</f>
        <v>42</v>
      </c>
      <c r="H756" t="s">
        <v>135</v>
      </c>
      <c r="I756" t="s">
        <v>136</v>
      </c>
      <c r="J756" t="s">
        <v>44</v>
      </c>
      <c r="K756">
        <v>21</v>
      </c>
      <c r="L756" s="10" t="str">
        <f>TRIM(IF(Table1[[#This Row],[years_of_experience]]="","Unknown",Table1[[#This Row],[years_of_experience]]))</f>
        <v>21</v>
      </c>
      <c r="N756">
        <f>IF(Table1[[#This Row],[hourly_rate (USD)]]="",MEDIAN(Table1[hourly_rate (USD)]),Table1[[#This Row],[hourly_rate (USD)]])</f>
        <v>50</v>
      </c>
      <c r="O756" t="str">
        <f>TRIM(CLEAN(Table1[[#This Row],[Updated hourly_rate (USD)]]))</f>
        <v>50</v>
      </c>
      <c r="P756" t="str">
        <f>SUBSTITUTE(SUBSTITUTE(Table1[[#This Row],[Formatted hourly rate]],"USD ",""),"$","")</f>
        <v>50</v>
      </c>
      <c r="Q756">
        <v>2.5</v>
      </c>
      <c r="R756">
        <f>IF(Table1[[#This Row],[rating]]="",2.6,Table1[[#This Row],[rating]])</f>
        <v>2.5</v>
      </c>
      <c r="S756" t="b">
        <v>1</v>
      </c>
      <c r="T756" t="str">
        <f>TRIM(CLEAN(Table1[[#This Row],[is_active]]))</f>
        <v>TRUE</v>
      </c>
      <c r="U75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56" s="11" t="str">
        <f>TRIM(IF(Table1[[#This Row],[is_active3]]="Unknown","TRUE",Table1[[#This Row],[is_active3]]))</f>
        <v>TRUE</v>
      </c>
      <c r="W756">
        <v>0.73</v>
      </c>
      <c r="X756">
        <f>IF(Table1[[#This Row],[client_satisfaction]]&gt;1,Table1[[#This Row],[client_satisfaction]]/100,Table1[[#This Row],[client_satisfaction]])</f>
        <v>0.73</v>
      </c>
      <c r="Y756">
        <f>IF(Table1[[#This Row],[client_satisfaction2]]=0,0.75,Table1[[#This Row],[client_satisfaction2]])</f>
        <v>0.73</v>
      </c>
    </row>
    <row r="757" spans="1:25" x14ac:dyDescent="0.25">
      <c r="A757" t="s">
        <v>1589</v>
      </c>
      <c r="B757" t="s">
        <v>1590</v>
      </c>
      <c r="C757" t="str">
        <f>PROPER(TRIM(SUBSTITUTE(SUBSTITUTE(SUBSTITUTE(Table1[[#This Row],[name]],"Ms. ",""),"Mr. ",""),"Mrs. ","")))</f>
        <v>Stuart Mckinney</v>
      </c>
      <c r="D757" t="s">
        <v>61</v>
      </c>
      <c r="E7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57">
        <v>26</v>
      </c>
      <c r="G757" t="str">
        <f>TRIM(IF(Table1[[#This Row],[age]]="","Unknown",Table1[[#This Row],[age]]))</f>
        <v>26</v>
      </c>
      <c r="H757" t="s">
        <v>85</v>
      </c>
      <c r="I757" t="s">
        <v>86</v>
      </c>
      <c r="J757" t="s">
        <v>51</v>
      </c>
      <c r="K757">
        <v>7</v>
      </c>
      <c r="L757" s="10" t="str">
        <f>TRIM(IF(Table1[[#This Row],[years_of_experience]]="","Unknown",Table1[[#This Row],[years_of_experience]]))</f>
        <v>7</v>
      </c>
      <c r="M757" t="s">
        <v>52</v>
      </c>
      <c r="N757" t="str">
        <f>IF(Table1[[#This Row],[hourly_rate (USD)]]="",MEDIAN(Table1[hourly_rate (USD)]),Table1[[#This Row],[hourly_rate (USD)]])</f>
        <v>USD 75</v>
      </c>
      <c r="O757" t="str">
        <f>TRIM(CLEAN(Table1[[#This Row],[Updated hourly_rate (USD)]]))</f>
        <v>USD 75</v>
      </c>
      <c r="P757" t="str">
        <f>SUBSTITUTE(SUBSTITUTE(Table1[[#This Row],[Formatted hourly rate]],"USD ",""),"$","")</f>
        <v>75</v>
      </c>
      <c r="Q757">
        <v>2.9</v>
      </c>
      <c r="R757">
        <f>IF(Table1[[#This Row],[rating]]="",2.6,Table1[[#This Row],[rating]])</f>
        <v>2.9</v>
      </c>
      <c r="S757">
        <v>0</v>
      </c>
      <c r="T757" t="str">
        <f>TRIM(CLEAN(Table1[[#This Row],[is_active]]))</f>
        <v>0</v>
      </c>
      <c r="U75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57" s="11" t="str">
        <f>TRIM(IF(Table1[[#This Row],[is_active3]]="Unknown","TRUE",Table1[[#This Row],[is_active3]]))</f>
        <v>FALSE</v>
      </c>
      <c r="W757">
        <v>0.78</v>
      </c>
      <c r="X757">
        <f>IF(Table1[[#This Row],[client_satisfaction]]&gt;1,Table1[[#This Row],[client_satisfaction]]/100,Table1[[#This Row],[client_satisfaction]])</f>
        <v>0.78</v>
      </c>
      <c r="Y757">
        <f>IF(Table1[[#This Row],[client_satisfaction2]]=0,0.75,Table1[[#This Row],[client_satisfaction2]])</f>
        <v>0.78</v>
      </c>
    </row>
    <row r="758" spans="1:25" x14ac:dyDescent="0.25">
      <c r="A758" t="s">
        <v>1591</v>
      </c>
      <c r="B758" t="s">
        <v>1592</v>
      </c>
      <c r="C758" t="str">
        <f>PROPER(TRIM(SUBSTITUTE(SUBSTITUTE(SUBSTITUTE(Table1[[#This Row],[name]],"Ms. ",""),"Mr. ",""),"Mrs. ","")))</f>
        <v>Kellie Le</v>
      </c>
      <c r="D758" t="s">
        <v>14</v>
      </c>
      <c r="E7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58">
        <v>49</v>
      </c>
      <c r="G758" t="str">
        <f>TRIM(IF(Table1[[#This Row],[age]]="","Unknown",Table1[[#This Row],[age]]))</f>
        <v>49</v>
      </c>
      <c r="H758" t="s">
        <v>49</v>
      </c>
      <c r="I758" t="s">
        <v>50</v>
      </c>
      <c r="J758" t="s">
        <v>44</v>
      </c>
      <c r="K758">
        <v>22</v>
      </c>
      <c r="L758" s="10" t="str">
        <f>TRIM(IF(Table1[[#This Row],[years_of_experience]]="","Unknown",Table1[[#This Row],[years_of_experience]]))</f>
        <v>22</v>
      </c>
      <c r="M758">
        <v>75</v>
      </c>
      <c r="N758">
        <f>IF(Table1[[#This Row],[hourly_rate (USD)]]="",MEDIAN(Table1[hourly_rate (USD)]),Table1[[#This Row],[hourly_rate (USD)]])</f>
        <v>75</v>
      </c>
      <c r="O758" t="str">
        <f>TRIM(CLEAN(Table1[[#This Row],[Updated hourly_rate (USD)]]))</f>
        <v>75</v>
      </c>
      <c r="P758" t="str">
        <f>SUBSTITUTE(SUBSTITUTE(Table1[[#This Row],[Formatted hourly rate]],"USD ",""),"$","")</f>
        <v>75</v>
      </c>
      <c r="Q758">
        <v>0</v>
      </c>
      <c r="R758">
        <f>IF(Table1[[#This Row],[rating]]="",2.6,Table1[[#This Row],[rating]])</f>
        <v>0</v>
      </c>
      <c r="S758" t="b">
        <v>1</v>
      </c>
      <c r="T758" t="str">
        <f>TRIM(CLEAN(Table1[[#This Row],[is_active]]))</f>
        <v>TRUE</v>
      </c>
      <c r="U75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58" s="11" t="str">
        <f>TRIM(IF(Table1[[#This Row],[is_active3]]="Unknown","TRUE",Table1[[#This Row],[is_active3]]))</f>
        <v>TRUE</v>
      </c>
      <c r="X758">
        <f>IF(Table1[[#This Row],[client_satisfaction]]&gt;1,Table1[[#This Row],[client_satisfaction]]/100,Table1[[#This Row],[client_satisfaction]])</f>
        <v>0</v>
      </c>
      <c r="Y758">
        <f>IF(Table1[[#This Row],[client_satisfaction2]]=0,0.75,Table1[[#This Row],[client_satisfaction2]])</f>
        <v>0.75</v>
      </c>
    </row>
    <row r="759" spans="1:25" x14ac:dyDescent="0.25">
      <c r="A759" t="s">
        <v>1593</v>
      </c>
      <c r="B759" t="s">
        <v>1594</v>
      </c>
      <c r="C759" t="str">
        <f>PROPER(TRIM(SUBSTITUTE(SUBSTITUTE(SUBSTITUTE(Table1[[#This Row],[name]],"Ms. ",""),"Mr. ",""),"Mrs. ","")))</f>
        <v>Lauren Henry</v>
      </c>
      <c r="D759" t="s">
        <v>39</v>
      </c>
      <c r="E7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59">
        <v>37</v>
      </c>
      <c r="G759" t="str">
        <f>TRIM(IF(Table1[[#This Row],[age]]="","Unknown",Table1[[#This Row],[age]]))</f>
        <v>37</v>
      </c>
      <c r="H759" t="s">
        <v>15</v>
      </c>
      <c r="I759" t="s">
        <v>16</v>
      </c>
      <c r="J759" t="s">
        <v>89</v>
      </c>
      <c r="L759" s="10" t="str">
        <f>TRIM(IF(Table1[[#This Row],[years_of_experience]]="","Unknown",Table1[[#This Row],[years_of_experience]]))</f>
        <v>Unknown</v>
      </c>
      <c r="M759" t="s">
        <v>52</v>
      </c>
      <c r="N759" t="str">
        <f>IF(Table1[[#This Row],[hourly_rate (USD)]]="",MEDIAN(Table1[hourly_rate (USD)]),Table1[[#This Row],[hourly_rate (USD)]])</f>
        <v>USD 75</v>
      </c>
      <c r="O759" t="str">
        <f>TRIM(CLEAN(Table1[[#This Row],[Updated hourly_rate (USD)]]))</f>
        <v>USD 75</v>
      </c>
      <c r="P759" t="str">
        <f>SUBSTITUTE(SUBSTITUTE(Table1[[#This Row],[Formatted hourly rate]],"USD ",""),"$","")</f>
        <v>75</v>
      </c>
      <c r="Q759">
        <v>3.5</v>
      </c>
      <c r="R759">
        <f>IF(Table1[[#This Row],[rating]]="",2.6,Table1[[#This Row],[rating]])</f>
        <v>3.5</v>
      </c>
      <c r="S759" t="s">
        <v>31</v>
      </c>
      <c r="T759" t="str">
        <f>TRIM(CLEAN(Table1[[#This Row],[is_active]]))</f>
        <v>N</v>
      </c>
      <c r="U7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59" s="11" t="str">
        <f>TRIM(IF(Table1[[#This Row],[is_active3]]="Unknown","TRUE",Table1[[#This Row],[is_active3]]))</f>
        <v>FALSE</v>
      </c>
      <c r="W759">
        <v>0.75</v>
      </c>
      <c r="X759">
        <f>IF(Table1[[#This Row],[client_satisfaction]]&gt;1,Table1[[#This Row],[client_satisfaction]]/100,Table1[[#This Row],[client_satisfaction]])</f>
        <v>0.75</v>
      </c>
      <c r="Y759">
        <f>IF(Table1[[#This Row],[client_satisfaction2]]=0,0.75,Table1[[#This Row],[client_satisfaction2]])</f>
        <v>0.75</v>
      </c>
    </row>
    <row r="760" spans="1:25" x14ac:dyDescent="0.25">
      <c r="A760" t="s">
        <v>1595</v>
      </c>
      <c r="B760" t="s">
        <v>1596</v>
      </c>
      <c r="C760" t="str">
        <f>PROPER(TRIM(SUBSTITUTE(SUBSTITUTE(SUBSTITUTE(Table1[[#This Row],[name]],"Ms. ",""),"Mr. ",""),"Mrs. ","")))</f>
        <v>Brandon Fox</v>
      </c>
      <c r="D760" t="s">
        <v>92</v>
      </c>
      <c r="E7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0">
        <v>31</v>
      </c>
      <c r="G760" t="str">
        <f>TRIM(IF(Table1[[#This Row],[age]]="","Unknown",Table1[[#This Row],[age]]))</f>
        <v>31</v>
      </c>
      <c r="H760" t="s">
        <v>21</v>
      </c>
      <c r="I760" t="s">
        <v>22</v>
      </c>
      <c r="J760" t="s">
        <v>44</v>
      </c>
      <c r="K760">
        <v>1</v>
      </c>
      <c r="L760" s="10" t="str">
        <f>TRIM(IF(Table1[[#This Row],[years_of_experience]]="","Unknown",Table1[[#This Row],[years_of_experience]]))</f>
        <v>1</v>
      </c>
      <c r="M760">
        <v>40</v>
      </c>
      <c r="N760">
        <f>IF(Table1[[#This Row],[hourly_rate (USD)]]="",MEDIAN(Table1[hourly_rate (USD)]),Table1[[#This Row],[hourly_rate (USD)]])</f>
        <v>40</v>
      </c>
      <c r="O760" t="str">
        <f>TRIM(CLEAN(Table1[[#This Row],[Updated hourly_rate (USD)]]))</f>
        <v>40</v>
      </c>
      <c r="P760" t="str">
        <f>SUBSTITUTE(SUBSTITUTE(Table1[[#This Row],[Formatted hourly rate]],"USD ",""),"$","")</f>
        <v>40</v>
      </c>
      <c r="Q760">
        <v>4.5</v>
      </c>
      <c r="R760">
        <f>IF(Table1[[#This Row],[rating]]="",2.6,Table1[[#This Row],[rating]])</f>
        <v>4.5</v>
      </c>
      <c r="S760">
        <v>0</v>
      </c>
      <c r="T760" t="str">
        <f>TRIM(CLEAN(Table1[[#This Row],[is_active]]))</f>
        <v>0</v>
      </c>
      <c r="U76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60" s="11" t="str">
        <f>TRIM(IF(Table1[[#This Row],[is_active3]]="Unknown","TRUE",Table1[[#This Row],[is_active3]]))</f>
        <v>FALSE</v>
      </c>
      <c r="W760">
        <v>0.96</v>
      </c>
      <c r="X760">
        <f>IF(Table1[[#This Row],[client_satisfaction]]&gt;1,Table1[[#This Row],[client_satisfaction]]/100,Table1[[#This Row],[client_satisfaction]])</f>
        <v>0.96</v>
      </c>
      <c r="Y760">
        <f>IF(Table1[[#This Row],[client_satisfaction2]]=0,0.75,Table1[[#This Row],[client_satisfaction2]])</f>
        <v>0.96</v>
      </c>
    </row>
    <row r="761" spans="1:25" x14ac:dyDescent="0.25">
      <c r="A761" t="s">
        <v>1597</v>
      </c>
      <c r="B761" t="s">
        <v>1598</v>
      </c>
      <c r="C761" t="str">
        <f>PROPER(TRIM(SUBSTITUTE(SUBSTITUTE(SUBSTITUTE(Table1[[#This Row],[name]],"Ms. ",""),"Mr. ",""),"Mrs. ","")))</f>
        <v>Richard Smith</v>
      </c>
      <c r="D761" t="s">
        <v>61</v>
      </c>
      <c r="E7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1">
        <v>51</v>
      </c>
      <c r="G761" t="str">
        <f>TRIM(IF(Table1[[#This Row],[age]]="","Unknown",Table1[[#This Row],[age]]))</f>
        <v>51</v>
      </c>
      <c r="H761" t="s">
        <v>112</v>
      </c>
      <c r="I761" t="s">
        <v>113</v>
      </c>
      <c r="J761" t="s">
        <v>23</v>
      </c>
      <c r="K761">
        <v>5</v>
      </c>
      <c r="L761" s="10" t="str">
        <f>TRIM(IF(Table1[[#This Row],[years_of_experience]]="","Unknown",Table1[[#This Row],[years_of_experience]]))</f>
        <v>5</v>
      </c>
      <c r="M761" t="s">
        <v>55</v>
      </c>
      <c r="N761" t="str">
        <f>IF(Table1[[#This Row],[hourly_rate (USD)]]="",MEDIAN(Table1[hourly_rate (USD)]),Table1[[#This Row],[hourly_rate (USD)]])</f>
        <v>USD 40</v>
      </c>
      <c r="O761" t="str">
        <f>TRIM(CLEAN(Table1[[#This Row],[Updated hourly_rate (USD)]]))</f>
        <v>USD 40</v>
      </c>
      <c r="P761" t="str">
        <f>SUBSTITUTE(SUBSTITUTE(Table1[[#This Row],[Formatted hourly rate]],"USD ",""),"$","")</f>
        <v>40</v>
      </c>
      <c r="Q761">
        <v>1.7</v>
      </c>
      <c r="R761">
        <f>IF(Table1[[#This Row],[rating]]="",2.6,Table1[[#This Row],[rating]])</f>
        <v>1.7</v>
      </c>
      <c r="S761" t="s">
        <v>68</v>
      </c>
      <c r="T761" t="str">
        <f>TRIM(CLEAN(Table1[[#This Row],[is_active]]))</f>
        <v>yes</v>
      </c>
      <c r="U76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61" s="11" t="str">
        <f>TRIM(IF(Table1[[#This Row],[is_active3]]="Unknown","TRUE",Table1[[#This Row],[is_active3]]))</f>
        <v>TRUE</v>
      </c>
      <c r="W761">
        <v>0.61</v>
      </c>
      <c r="X761">
        <f>IF(Table1[[#This Row],[client_satisfaction]]&gt;1,Table1[[#This Row],[client_satisfaction]]/100,Table1[[#This Row],[client_satisfaction]])</f>
        <v>0.61</v>
      </c>
      <c r="Y761">
        <f>IF(Table1[[#This Row],[client_satisfaction2]]=0,0.75,Table1[[#This Row],[client_satisfaction2]])</f>
        <v>0.61</v>
      </c>
    </row>
    <row r="762" spans="1:25" x14ac:dyDescent="0.25">
      <c r="A762" t="s">
        <v>1599</v>
      </c>
      <c r="B762" t="s">
        <v>1600</v>
      </c>
      <c r="C762" t="str">
        <f>PROPER(TRIM(SUBSTITUTE(SUBSTITUTE(SUBSTITUTE(Table1[[#This Row],[name]],"Ms. ",""),"Mr. ",""),"Mrs. ","")))</f>
        <v>John White</v>
      </c>
      <c r="D762" t="s">
        <v>48</v>
      </c>
      <c r="E7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2">
        <v>60</v>
      </c>
      <c r="G762" t="str">
        <f>TRIM(IF(Table1[[#This Row],[age]]="","Unknown",Table1[[#This Row],[age]]))</f>
        <v>60</v>
      </c>
      <c r="H762" t="s">
        <v>175</v>
      </c>
      <c r="I762" t="s">
        <v>176</v>
      </c>
      <c r="J762" t="s">
        <v>89</v>
      </c>
      <c r="K762">
        <v>40</v>
      </c>
      <c r="L762" s="10" t="str">
        <f>TRIM(IF(Table1[[#This Row],[years_of_experience]]="","Unknown",Table1[[#This Row],[years_of_experience]]))</f>
        <v>40</v>
      </c>
      <c r="M762">
        <v>50</v>
      </c>
      <c r="N762">
        <f>IF(Table1[[#This Row],[hourly_rate (USD)]]="",MEDIAN(Table1[hourly_rate (USD)]),Table1[[#This Row],[hourly_rate (USD)]])</f>
        <v>50</v>
      </c>
      <c r="O762" t="str">
        <f>TRIM(CLEAN(Table1[[#This Row],[Updated hourly_rate (USD)]]))</f>
        <v>50</v>
      </c>
      <c r="P762" t="str">
        <f>SUBSTITUTE(SUBSTITUTE(Table1[[#This Row],[Formatted hourly rate]],"USD ",""),"$","")</f>
        <v>50</v>
      </c>
      <c r="Q762">
        <v>4.5999999999999996</v>
      </c>
      <c r="R762">
        <f>IF(Table1[[#This Row],[rating]]="",2.6,Table1[[#This Row],[rating]])</f>
        <v>4.5999999999999996</v>
      </c>
      <c r="S762" t="b">
        <v>1</v>
      </c>
      <c r="T762" t="str">
        <f>TRIM(CLEAN(Table1[[#This Row],[is_active]]))</f>
        <v>TRUE</v>
      </c>
      <c r="U76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62" s="11" t="str">
        <f>TRIM(IF(Table1[[#This Row],[is_active3]]="Unknown","TRUE",Table1[[#This Row],[is_active3]]))</f>
        <v>TRUE</v>
      </c>
      <c r="W762">
        <v>1</v>
      </c>
      <c r="X762">
        <f>IF(Table1[[#This Row],[client_satisfaction]]&gt;1,Table1[[#This Row],[client_satisfaction]]/100,Table1[[#This Row],[client_satisfaction]])</f>
        <v>1</v>
      </c>
      <c r="Y762">
        <f>IF(Table1[[#This Row],[client_satisfaction2]]=0,0.75,Table1[[#This Row],[client_satisfaction2]])</f>
        <v>1</v>
      </c>
    </row>
    <row r="763" spans="1:25" x14ac:dyDescent="0.25">
      <c r="A763" t="s">
        <v>1601</v>
      </c>
      <c r="B763" t="s">
        <v>1602</v>
      </c>
      <c r="C763" t="str">
        <f>PROPER(TRIM(SUBSTITUTE(SUBSTITUTE(SUBSTITUTE(Table1[[#This Row],[name]],"Ms. ",""),"Mr. ",""),"Mrs. ","")))</f>
        <v>Gilbert Mcintyre</v>
      </c>
      <c r="D763" t="s">
        <v>92</v>
      </c>
      <c r="E7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3">
        <v>51</v>
      </c>
      <c r="G763" t="str">
        <f>TRIM(IF(Table1[[#This Row],[age]]="","Unknown",Table1[[#This Row],[age]]))</f>
        <v>51</v>
      </c>
      <c r="H763" t="s">
        <v>128</v>
      </c>
      <c r="I763" t="s">
        <v>22</v>
      </c>
      <c r="J763" t="s">
        <v>17</v>
      </c>
      <c r="K763">
        <v>19</v>
      </c>
      <c r="L763" s="10" t="str">
        <f>TRIM(IF(Table1[[#This Row],[years_of_experience]]="","Unknown",Table1[[#This Row],[years_of_experience]]))</f>
        <v>19</v>
      </c>
      <c r="M763">
        <v>50</v>
      </c>
      <c r="N763">
        <f>IF(Table1[[#This Row],[hourly_rate (USD)]]="",MEDIAN(Table1[hourly_rate (USD)]),Table1[[#This Row],[hourly_rate (USD)]])</f>
        <v>50</v>
      </c>
      <c r="O763" t="str">
        <f>TRIM(CLEAN(Table1[[#This Row],[Updated hourly_rate (USD)]]))</f>
        <v>50</v>
      </c>
      <c r="P763" t="str">
        <f>SUBSTITUTE(SUBSTITUTE(Table1[[#This Row],[Formatted hourly rate]],"USD ",""),"$","")</f>
        <v>50</v>
      </c>
      <c r="R763">
        <f>IF(Table1[[#This Row],[rating]]="",2.6,Table1[[#This Row],[rating]])</f>
        <v>2.6</v>
      </c>
      <c r="S763" t="s">
        <v>74</v>
      </c>
      <c r="T763" t="str">
        <f>TRIM(CLEAN(Table1[[#This Row],[is_active]]))</f>
        <v>Y</v>
      </c>
      <c r="U7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63" s="11" t="str">
        <f>TRIM(IF(Table1[[#This Row],[is_active3]]="Unknown","TRUE",Table1[[#This Row],[is_active3]]))</f>
        <v>TRUE</v>
      </c>
      <c r="W763">
        <v>0.82</v>
      </c>
      <c r="X763">
        <f>IF(Table1[[#This Row],[client_satisfaction]]&gt;1,Table1[[#This Row],[client_satisfaction]]/100,Table1[[#This Row],[client_satisfaction]])</f>
        <v>0.82</v>
      </c>
      <c r="Y763">
        <f>IF(Table1[[#This Row],[client_satisfaction2]]=0,0.75,Table1[[#This Row],[client_satisfaction2]])</f>
        <v>0.82</v>
      </c>
    </row>
    <row r="764" spans="1:25" x14ac:dyDescent="0.25">
      <c r="A764" t="s">
        <v>1603</v>
      </c>
      <c r="B764" t="s">
        <v>1604</v>
      </c>
      <c r="C764" t="str">
        <f>PROPER(TRIM(SUBSTITUTE(SUBSTITUTE(SUBSTITUTE(Table1[[#This Row],[name]],"Ms. ",""),"Mr. ",""),"Mrs. ","")))</f>
        <v>Christopher Sparks</v>
      </c>
      <c r="D764" t="s">
        <v>48</v>
      </c>
      <c r="E7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4">
        <v>37</v>
      </c>
      <c r="G764" t="str">
        <f>TRIM(IF(Table1[[#This Row],[age]]="","Unknown",Table1[[#This Row],[age]]))</f>
        <v>37</v>
      </c>
      <c r="H764" t="s">
        <v>28</v>
      </c>
      <c r="I764" t="s">
        <v>29</v>
      </c>
      <c r="J764" t="s">
        <v>30</v>
      </c>
      <c r="K764">
        <v>12</v>
      </c>
      <c r="L764" s="10" t="str">
        <f>TRIM(IF(Table1[[#This Row],[years_of_experience]]="","Unknown",Table1[[#This Row],[years_of_experience]]))</f>
        <v>12</v>
      </c>
      <c r="N764">
        <f>IF(Table1[[#This Row],[hourly_rate (USD)]]="",MEDIAN(Table1[hourly_rate (USD)]),Table1[[#This Row],[hourly_rate (USD)]])</f>
        <v>50</v>
      </c>
      <c r="O764" t="str">
        <f>TRIM(CLEAN(Table1[[#This Row],[Updated hourly_rate (USD)]]))</f>
        <v>50</v>
      </c>
      <c r="P764" t="str">
        <f>SUBSTITUTE(SUBSTITUTE(Table1[[#This Row],[Formatted hourly rate]],"USD ",""),"$","")</f>
        <v>50</v>
      </c>
      <c r="Q764">
        <v>4.9000000000000004</v>
      </c>
      <c r="R764">
        <f>IF(Table1[[#This Row],[rating]]="",2.6,Table1[[#This Row],[rating]])</f>
        <v>4.9000000000000004</v>
      </c>
      <c r="S764">
        <v>1</v>
      </c>
      <c r="T764" t="str">
        <f>TRIM(CLEAN(Table1[[#This Row],[is_active]]))</f>
        <v>1</v>
      </c>
      <c r="U7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64" s="11" t="str">
        <f>TRIM(IF(Table1[[#This Row],[is_active3]]="Unknown","TRUE",Table1[[#This Row],[is_active3]]))</f>
        <v>TRUE</v>
      </c>
      <c r="W764">
        <v>0.8</v>
      </c>
      <c r="X764">
        <f>IF(Table1[[#This Row],[client_satisfaction]]&gt;1,Table1[[#This Row],[client_satisfaction]]/100,Table1[[#This Row],[client_satisfaction]])</f>
        <v>0.8</v>
      </c>
      <c r="Y764">
        <f>IF(Table1[[#This Row],[client_satisfaction2]]=0,0.75,Table1[[#This Row],[client_satisfaction2]])</f>
        <v>0.8</v>
      </c>
    </row>
    <row r="765" spans="1:25" x14ac:dyDescent="0.25">
      <c r="A765" t="s">
        <v>1605</v>
      </c>
      <c r="B765" t="s">
        <v>1606</v>
      </c>
      <c r="C765" t="str">
        <f>PROPER(TRIM(SUBSTITUTE(SUBSTITUTE(SUBSTITUTE(Table1[[#This Row],[name]],"Ms. ",""),"Mr. ",""),"Mrs. ","")))</f>
        <v>Aaron Hicks</v>
      </c>
      <c r="D765" t="s">
        <v>27</v>
      </c>
      <c r="E7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5">
        <v>52</v>
      </c>
      <c r="G765" t="str">
        <f>TRIM(IF(Table1[[#This Row],[age]]="","Unknown",Table1[[#This Row],[age]]))</f>
        <v>52</v>
      </c>
      <c r="H765" t="s">
        <v>93</v>
      </c>
      <c r="I765" t="s">
        <v>94</v>
      </c>
      <c r="J765" t="s">
        <v>17</v>
      </c>
      <c r="K765">
        <v>7</v>
      </c>
      <c r="L765" s="10" t="str">
        <f>TRIM(IF(Table1[[#This Row],[years_of_experience]]="","Unknown",Table1[[#This Row],[years_of_experience]]))</f>
        <v>7</v>
      </c>
      <c r="M765">
        <v>40</v>
      </c>
      <c r="N765">
        <f>IF(Table1[[#This Row],[hourly_rate (USD)]]="",MEDIAN(Table1[hourly_rate (USD)]),Table1[[#This Row],[hourly_rate (USD)]])</f>
        <v>40</v>
      </c>
      <c r="O765" t="str">
        <f>TRIM(CLEAN(Table1[[#This Row],[Updated hourly_rate (USD)]]))</f>
        <v>40</v>
      </c>
      <c r="P765" t="str">
        <f>SUBSTITUTE(SUBSTITUTE(Table1[[#This Row],[Formatted hourly rate]],"USD ",""),"$","")</f>
        <v>40</v>
      </c>
      <c r="Q765">
        <v>2.2000000000000002</v>
      </c>
      <c r="R765">
        <f>IF(Table1[[#This Row],[rating]]="",2.6,Table1[[#This Row],[rating]])</f>
        <v>2.2000000000000002</v>
      </c>
      <c r="T765" t="str">
        <f>TRIM(CLEAN(Table1[[#This Row],[is_active]]))</f>
        <v/>
      </c>
      <c r="U76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65" s="11" t="str">
        <f>TRIM(IF(Table1[[#This Row],[is_active3]]="Unknown","TRUE",Table1[[#This Row],[is_active3]]))</f>
        <v>TRUE</v>
      </c>
      <c r="W765">
        <v>0.96</v>
      </c>
      <c r="X765">
        <f>IF(Table1[[#This Row],[client_satisfaction]]&gt;1,Table1[[#This Row],[client_satisfaction]]/100,Table1[[#This Row],[client_satisfaction]])</f>
        <v>0.96</v>
      </c>
      <c r="Y765">
        <f>IF(Table1[[#This Row],[client_satisfaction2]]=0,0.75,Table1[[#This Row],[client_satisfaction2]])</f>
        <v>0.96</v>
      </c>
    </row>
    <row r="766" spans="1:25" x14ac:dyDescent="0.25">
      <c r="A766" t="s">
        <v>1607</v>
      </c>
      <c r="B766" t="s">
        <v>1608</v>
      </c>
      <c r="C766" t="str">
        <f>PROPER(TRIM(SUBSTITUTE(SUBSTITUTE(SUBSTITUTE(Table1[[#This Row],[name]],"Ms. ",""),"Mr. ",""),"Mrs. ","")))</f>
        <v>Jose Patterson</v>
      </c>
      <c r="D766" t="s">
        <v>48</v>
      </c>
      <c r="E7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6">
        <v>27</v>
      </c>
      <c r="G766" t="str">
        <f>TRIM(IF(Table1[[#This Row],[age]]="","Unknown",Table1[[#This Row],[age]]))</f>
        <v>27</v>
      </c>
      <c r="H766" t="s">
        <v>49</v>
      </c>
      <c r="I766" t="s">
        <v>50</v>
      </c>
      <c r="J766" t="s">
        <v>17</v>
      </c>
      <c r="K766">
        <v>4</v>
      </c>
      <c r="L766" s="10" t="str">
        <f>TRIM(IF(Table1[[#This Row],[years_of_experience]]="","Unknown",Table1[[#This Row],[years_of_experience]]))</f>
        <v>4</v>
      </c>
      <c r="M766">
        <v>20</v>
      </c>
      <c r="N766">
        <f>IF(Table1[[#This Row],[hourly_rate (USD)]]="",MEDIAN(Table1[hourly_rate (USD)]),Table1[[#This Row],[hourly_rate (USD)]])</f>
        <v>20</v>
      </c>
      <c r="O766" t="str">
        <f>TRIM(CLEAN(Table1[[#This Row],[Updated hourly_rate (USD)]]))</f>
        <v>20</v>
      </c>
      <c r="P766" t="str">
        <f>SUBSTITUTE(SUBSTITUTE(Table1[[#This Row],[Formatted hourly rate]],"USD ",""),"$","")</f>
        <v>20</v>
      </c>
      <c r="R766">
        <f>IF(Table1[[#This Row],[rating]]="",2.6,Table1[[#This Row],[rating]])</f>
        <v>2.6</v>
      </c>
      <c r="S766">
        <v>0</v>
      </c>
      <c r="T766" t="str">
        <f>TRIM(CLEAN(Table1[[#This Row],[is_active]]))</f>
        <v>0</v>
      </c>
      <c r="U76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66" s="11" t="str">
        <f>TRIM(IF(Table1[[#This Row],[is_active3]]="Unknown","TRUE",Table1[[#This Row],[is_active3]]))</f>
        <v>FALSE</v>
      </c>
      <c r="W766">
        <v>0.63</v>
      </c>
      <c r="X766">
        <f>IF(Table1[[#This Row],[client_satisfaction]]&gt;1,Table1[[#This Row],[client_satisfaction]]/100,Table1[[#This Row],[client_satisfaction]])</f>
        <v>0.63</v>
      </c>
      <c r="Y766">
        <f>IF(Table1[[#This Row],[client_satisfaction2]]=0,0.75,Table1[[#This Row],[client_satisfaction2]])</f>
        <v>0.63</v>
      </c>
    </row>
    <row r="767" spans="1:25" x14ac:dyDescent="0.25">
      <c r="A767" t="s">
        <v>1609</v>
      </c>
      <c r="B767" t="s">
        <v>1610</v>
      </c>
      <c r="C767" t="str">
        <f>PROPER(TRIM(SUBSTITUTE(SUBSTITUTE(SUBSTITUTE(Table1[[#This Row],[name]],"Ms. ",""),"Mr. ",""),"Mrs. ","")))</f>
        <v>Bryan Long</v>
      </c>
      <c r="D767" t="s">
        <v>48</v>
      </c>
      <c r="E7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67">
        <v>48</v>
      </c>
      <c r="G767" t="str">
        <f>TRIM(IF(Table1[[#This Row],[age]]="","Unknown",Table1[[#This Row],[age]]))</f>
        <v>48</v>
      </c>
      <c r="H767" t="s">
        <v>21</v>
      </c>
      <c r="I767" t="s">
        <v>22</v>
      </c>
      <c r="J767" t="s">
        <v>30</v>
      </c>
      <c r="K767">
        <v>24</v>
      </c>
      <c r="L767" s="10" t="str">
        <f>TRIM(IF(Table1[[#This Row],[years_of_experience]]="","Unknown",Table1[[#This Row],[years_of_experience]]))</f>
        <v>24</v>
      </c>
      <c r="M767" t="s">
        <v>36</v>
      </c>
      <c r="N767" t="str">
        <f>IF(Table1[[#This Row],[hourly_rate (USD)]]="",MEDIAN(Table1[hourly_rate (USD)]),Table1[[#This Row],[hourly_rate (USD)]])</f>
        <v>$40</v>
      </c>
      <c r="O767" t="str">
        <f>TRIM(CLEAN(Table1[[#This Row],[Updated hourly_rate (USD)]]))</f>
        <v>$40</v>
      </c>
      <c r="P767" t="str">
        <f>SUBSTITUTE(SUBSTITUTE(Table1[[#This Row],[Formatted hourly rate]],"USD ",""),"$","")</f>
        <v>40</v>
      </c>
      <c r="Q767">
        <v>2.2000000000000002</v>
      </c>
      <c r="R767">
        <f>IF(Table1[[#This Row],[rating]]="",2.6,Table1[[#This Row],[rating]])</f>
        <v>2.2000000000000002</v>
      </c>
      <c r="S767">
        <v>0</v>
      </c>
      <c r="T767" t="str">
        <f>TRIM(CLEAN(Table1[[#This Row],[is_active]]))</f>
        <v>0</v>
      </c>
      <c r="U76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67" s="11" t="str">
        <f>TRIM(IF(Table1[[#This Row],[is_active3]]="Unknown","TRUE",Table1[[#This Row],[is_active3]]))</f>
        <v>FALSE</v>
      </c>
      <c r="W767">
        <v>0.67</v>
      </c>
      <c r="X767">
        <f>IF(Table1[[#This Row],[client_satisfaction]]&gt;1,Table1[[#This Row],[client_satisfaction]]/100,Table1[[#This Row],[client_satisfaction]])</f>
        <v>0.67</v>
      </c>
      <c r="Y767">
        <f>IF(Table1[[#This Row],[client_satisfaction2]]=0,0.75,Table1[[#This Row],[client_satisfaction2]])</f>
        <v>0.67</v>
      </c>
    </row>
    <row r="768" spans="1:25" x14ac:dyDescent="0.25">
      <c r="A768" t="s">
        <v>1611</v>
      </c>
      <c r="B768" t="s">
        <v>1612</v>
      </c>
      <c r="C768" t="str">
        <f>PROPER(TRIM(SUBSTITUTE(SUBSTITUTE(SUBSTITUTE(Table1[[#This Row],[name]],"Ms. ",""),"Mr. ",""),"Mrs. ","")))</f>
        <v>Tammy Gomez</v>
      </c>
      <c r="D768" t="s">
        <v>34</v>
      </c>
      <c r="E7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68">
        <v>22</v>
      </c>
      <c r="G768" t="str">
        <f>TRIM(IF(Table1[[#This Row],[age]]="","Unknown",Table1[[#This Row],[age]]))</f>
        <v>22</v>
      </c>
      <c r="H768" t="s">
        <v>85</v>
      </c>
      <c r="I768" t="s">
        <v>86</v>
      </c>
      <c r="J768" t="s">
        <v>51</v>
      </c>
      <c r="K768">
        <v>1</v>
      </c>
      <c r="L768" s="10" t="str">
        <f>TRIM(IF(Table1[[#This Row],[years_of_experience]]="","Unknown",Table1[[#This Row],[years_of_experience]]))</f>
        <v>1</v>
      </c>
      <c r="M768" t="s">
        <v>109</v>
      </c>
      <c r="N768" t="str">
        <f>IF(Table1[[#This Row],[hourly_rate (USD)]]="",MEDIAN(Table1[hourly_rate (USD)]),Table1[[#This Row],[hourly_rate (USD)]])</f>
        <v>USD 30</v>
      </c>
      <c r="O768" t="str">
        <f>TRIM(CLEAN(Table1[[#This Row],[Updated hourly_rate (USD)]]))</f>
        <v>USD 30</v>
      </c>
      <c r="P768" t="str">
        <f>SUBSTITUTE(SUBSTITUTE(Table1[[#This Row],[Formatted hourly rate]],"USD ",""),"$","")</f>
        <v>30</v>
      </c>
      <c r="Q768">
        <v>3.3</v>
      </c>
      <c r="R768">
        <f>IF(Table1[[#This Row],[rating]]="",2.6,Table1[[#This Row],[rating]])</f>
        <v>3.3</v>
      </c>
      <c r="S768">
        <v>1</v>
      </c>
      <c r="T768" t="str">
        <f>TRIM(CLEAN(Table1[[#This Row],[is_active]]))</f>
        <v>1</v>
      </c>
      <c r="U76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68" s="11" t="str">
        <f>TRIM(IF(Table1[[#This Row],[is_active3]]="Unknown","TRUE",Table1[[#This Row],[is_active3]]))</f>
        <v>TRUE</v>
      </c>
      <c r="W768">
        <v>0.61</v>
      </c>
      <c r="X768">
        <f>IF(Table1[[#This Row],[client_satisfaction]]&gt;1,Table1[[#This Row],[client_satisfaction]]/100,Table1[[#This Row],[client_satisfaction]])</f>
        <v>0.61</v>
      </c>
      <c r="Y768">
        <f>IF(Table1[[#This Row],[client_satisfaction2]]=0,0.75,Table1[[#This Row],[client_satisfaction2]])</f>
        <v>0.61</v>
      </c>
    </row>
    <row r="769" spans="1:25" x14ac:dyDescent="0.25">
      <c r="A769" t="s">
        <v>1613</v>
      </c>
      <c r="B769" t="s">
        <v>1614</v>
      </c>
      <c r="C769" t="str">
        <f>PROPER(TRIM(SUBSTITUTE(SUBSTITUTE(SUBSTITUTE(Table1[[#This Row],[name]],"Ms. ",""),"Mr. ",""),"Mrs. ","")))</f>
        <v>Diana Raymond</v>
      </c>
      <c r="D769" t="s">
        <v>20</v>
      </c>
      <c r="E7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69">
        <v>48</v>
      </c>
      <c r="G769" t="str">
        <f>TRIM(IF(Table1[[#This Row],[age]]="","Unknown",Table1[[#This Row],[age]]))</f>
        <v>48</v>
      </c>
      <c r="H769" t="s">
        <v>28</v>
      </c>
      <c r="I769" t="s">
        <v>29</v>
      </c>
      <c r="J769" t="s">
        <v>23</v>
      </c>
      <c r="K769">
        <v>28</v>
      </c>
      <c r="L769" s="10" t="str">
        <f>TRIM(IF(Table1[[#This Row],[years_of_experience]]="","Unknown",Table1[[#This Row],[years_of_experience]]))</f>
        <v>28</v>
      </c>
      <c r="M769" t="s">
        <v>109</v>
      </c>
      <c r="N769" t="str">
        <f>IF(Table1[[#This Row],[hourly_rate (USD)]]="",MEDIAN(Table1[hourly_rate (USD)]),Table1[[#This Row],[hourly_rate (USD)]])</f>
        <v>USD 30</v>
      </c>
      <c r="O769" t="str">
        <f>TRIM(CLEAN(Table1[[#This Row],[Updated hourly_rate (USD)]]))</f>
        <v>USD 30</v>
      </c>
      <c r="P769" t="str">
        <f>SUBSTITUTE(SUBSTITUTE(Table1[[#This Row],[Formatted hourly rate]],"USD ",""),"$","")</f>
        <v>30</v>
      </c>
      <c r="Q769">
        <v>4.9000000000000004</v>
      </c>
      <c r="R769">
        <f>IF(Table1[[#This Row],[rating]]="",2.6,Table1[[#This Row],[rating]])</f>
        <v>4.9000000000000004</v>
      </c>
      <c r="S769">
        <v>0</v>
      </c>
      <c r="T769" t="str">
        <f>TRIM(CLEAN(Table1[[#This Row],[is_active]]))</f>
        <v>0</v>
      </c>
      <c r="U76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69" s="11" t="str">
        <f>TRIM(IF(Table1[[#This Row],[is_active3]]="Unknown","TRUE",Table1[[#This Row],[is_active3]]))</f>
        <v>FALSE</v>
      </c>
      <c r="W769">
        <v>0.77</v>
      </c>
      <c r="X769">
        <f>IF(Table1[[#This Row],[client_satisfaction]]&gt;1,Table1[[#This Row],[client_satisfaction]]/100,Table1[[#This Row],[client_satisfaction]])</f>
        <v>0.77</v>
      </c>
      <c r="Y769">
        <f>IF(Table1[[#This Row],[client_satisfaction2]]=0,0.75,Table1[[#This Row],[client_satisfaction2]])</f>
        <v>0.77</v>
      </c>
    </row>
    <row r="770" spans="1:25" x14ac:dyDescent="0.25">
      <c r="A770" t="s">
        <v>1615</v>
      </c>
      <c r="B770" t="s">
        <v>1616</v>
      </c>
      <c r="C770" t="str">
        <f>PROPER(TRIM(SUBSTITUTE(SUBSTITUTE(SUBSTITUTE(Table1[[#This Row],[name]],"Ms. ",""),"Mr. ",""),"Mrs. ","")))</f>
        <v>Jessica Armstrong</v>
      </c>
      <c r="D770" t="s">
        <v>34</v>
      </c>
      <c r="E7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70">
        <v>54</v>
      </c>
      <c r="G770" t="str">
        <f>TRIM(IF(Table1[[#This Row],[age]]="","Unknown",Table1[[#This Row],[age]]))</f>
        <v>54</v>
      </c>
      <c r="H770" t="s">
        <v>58</v>
      </c>
      <c r="I770" t="s">
        <v>22</v>
      </c>
      <c r="J770" t="s">
        <v>23</v>
      </c>
      <c r="K770">
        <v>19</v>
      </c>
      <c r="L770" s="10" t="str">
        <f>TRIM(IF(Table1[[#This Row],[years_of_experience]]="","Unknown",Table1[[#This Row],[years_of_experience]]))</f>
        <v>19</v>
      </c>
      <c r="M770">
        <v>75</v>
      </c>
      <c r="N770">
        <f>IF(Table1[[#This Row],[hourly_rate (USD)]]="",MEDIAN(Table1[hourly_rate (USD)]),Table1[[#This Row],[hourly_rate (USD)]])</f>
        <v>75</v>
      </c>
      <c r="O770" t="str">
        <f>TRIM(CLEAN(Table1[[#This Row],[Updated hourly_rate (USD)]]))</f>
        <v>75</v>
      </c>
      <c r="P770" t="str">
        <f>SUBSTITUTE(SUBSTITUTE(Table1[[#This Row],[Formatted hourly rate]],"USD ",""),"$","")</f>
        <v>75</v>
      </c>
      <c r="Q770">
        <v>0</v>
      </c>
      <c r="R770">
        <f>IF(Table1[[#This Row],[rating]]="",2.6,Table1[[#This Row],[rating]])</f>
        <v>0</v>
      </c>
      <c r="T770" t="str">
        <f>TRIM(CLEAN(Table1[[#This Row],[is_active]]))</f>
        <v/>
      </c>
      <c r="U77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70" s="11" t="str">
        <f>TRIM(IF(Table1[[#This Row],[is_active3]]="Unknown","TRUE",Table1[[#This Row],[is_active3]]))</f>
        <v>TRUE</v>
      </c>
      <c r="X770">
        <f>IF(Table1[[#This Row],[client_satisfaction]]&gt;1,Table1[[#This Row],[client_satisfaction]]/100,Table1[[#This Row],[client_satisfaction]])</f>
        <v>0</v>
      </c>
      <c r="Y770">
        <f>IF(Table1[[#This Row],[client_satisfaction2]]=0,0.75,Table1[[#This Row],[client_satisfaction2]])</f>
        <v>0.75</v>
      </c>
    </row>
    <row r="771" spans="1:25" x14ac:dyDescent="0.25">
      <c r="A771" t="s">
        <v>1617</v>
      </c>
      <c r="B771" t="s">
        <v>1618</v>
      </c>
      <c r="C771" t="str">
        <f>PROPER(TRIM(SUBSTITUTE(SUBSTITUTE(SUBSTITUTE(Table1[[#This Row],[name]],"Ms. ",""),"Mr. ",""),"Mrs. ","")))</f>
        <v>Amanda Martin</v>
      </c>
      <c r="D771" t="s">
        <v>77</v>
      </c>
      <c r="E7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71">
        <v>52</v>
      </c>
      <c r="G771" t="str">
        <f>TRIM(IF(Table1[[#This Row],[age]]="","Unknown",Table1[[#This Row],[age]]))</f>
        <v>52</v>
      </c>
      <c r="H771" t="s">
        <v>112</v>
      </c>
      <c r="I771" t="s">
        <v>113</v>
      </c>
      <c r="J771" t="s">
        <v>51</v>
      </c>
      <c r="K771">
        <v>4</v>
      </c>
      <c r="L771" s="10" t="str">
        <f>TRIM(IF(Table1[[#This Row],[years_of_experience]]="","Unknown",Table1[[#This Row],[years_of_experience]]))</f>
        <v>4</v>
      </c>
      <c r="M771">
        <v>50</v>
      </c>
      <c r="N771">
        <f>IF(Table1[[#This Row],[hourly_rate (USD)]]="",MEDIAN(Table1[hourly_rate (USD)]),Table1[[#This Row],[hourly_rate (USD)]])</f>
        <v>50</v>
      </c>
      <c r="O771" t="str">
        <f>TRIM(CLEAN(Table1[[#This Row],[Updated hourly_rate (USD)]]))</f>
        <v>50</v>
      </c>
      <c r="P771" t="str">
        <f>SUBSTITUTE(SUBSTITUTE(Table1[[#This Row],[Formatted hourly rate]],"USD ",""),"$","")</f>
        <v>50</v>
      </c>
      <c r="R771">
        <f>IF(Table1[[#This Row],[rating]]="",2.6,Table1[[#This Row],[rating]])</f>
        <v>2.6</v>
      </c>
      <c r="S771" t="s">
        <v>31</v>
      </c>
      <c r="T771" t="str">
        <f>TRIM(CLEAN(Table1[[#This Row],[is_active]]))</f>
        <v>N</v>
      </c>
      <c r="U7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71" s="11" t="str">
        <f>TRIM(IF(Table1[[#This Row],[is_active3]]="Unknown","TRUE",Table1[[#This Row],[is_active3]]))</f>
        <v>FALSE</v>
      </c>
      <c r="W771">
        <v>0.84</v>
      </c>
      <c r="X771">
        <f>IF(Table1[[#This Row],[client_satisfaction]]&gt;1,Table1[[#This Row],[client_satisfaction]]/100,Table1[[#This Row],[client_satisfaction]])</f>
        <v>0.84</v>
      </c>
      <c r="Y771">
        <f>IF(Table1[[#This Row],[client_satisfaction2]]=0,0.75,Table1[[#This Row],[client_satisfaction2]])</f>
        <v>0.84</v>
      </c>
    </row>
    <row r="772" spans="1:25" x14ac:dyDescent="0.25">
      <c r="A772" t="s">
        <v>1619</v>
      </c>
      <c r="B772" t="s">
        <v>1620</v>
      </c>
      <c r="C772" t="str">
        <f>PROPER(TRIM(SUBSTITUTE(SUBSTITUTE(SUBSTITUTE(Table1[[#This Row],[name]],"Ms. ",""),"Mr. ",""),"Mrs. ","")))</f>
        <v>Anne Hamilton</v>
      </c>
      <c r="D772" t="s">
        <v>39</v>
      </c>
      <c r="E7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72">
        <v>39</v>
      </c>
      <c r="G772" t="str">
        <f>TRIM(IF(Table1[[#This Row],[age]]="","Unknown",Table1[[#This Row],[age]]))</f>
        <v>39</v>
      </c>
      <c r="H772" t="s">
        <v>62</v>
      </c>
      <c r="I772" t="s">
        <v>63</v>
      </c>
      <c r="J772" t="s">
        <v>35</v>
      </c>
      <c r="K772">
        <v>20</v>
      </c>
      <c r="L772" s="10" t="str">
        <f>TRIM(IF(Table1[[#This Row],[years_of_experience]]="","Unknown",Table1[[#This Row],[years_of_experience]]))</f>
        <v>20</v>
      </c>
      <c r="M772" t="s">
        <v>24</v>
      </c>
      <c r="N772" t="str">
        <f>IF(Table1[[#This Row],[hourly_rate (USD)]]="",MEDIAN(Table1[hourly_rate (USD)]),Table1[[#This Row],[hourly_rate (USD)]])</f>
        <v>USD 100</v>
      </c>
      <c r="O772" t="str">
        <f>TRIM(CLEAN(Table1[[#This Row],[Updated hourly_rate (USD)]]))</f>
        <v>USD 100</v>
      </c>
      <c r="P772" t="str">
        <f>SUBSTITUTE(SUBSTITUTE(Table1[[#This Row],[Formatted hourly rate]],"USD ",""),"$","")</f>
        <v>100</v>
      </c>
      <c r="R772">
        <f>IF(Table1[[#This Row],[rating]]="",2.6,Table1[[#This Row],[rating]])</f>
        <v>2.6</v>
      </c>
      <c r="S772" t="s">
        <v>74</v>
      </c>
      <c r="T772" t="str">
        <f>TRIM(CLEAN(Table1[[#This Row],[is_active]]))</f>
        <v>Y</v>
      </c>
      <c r="U77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72" s="11" t="str">
        <f>TRIM(IF(Table1[[#This Row],[is_active3]]="Unknown","TRUE",Table1[[#This Row],[is_active3]]))</f>
        <v>TRUE</v>
      </c>
      <c r="W772">
        <v>0.89</v>
      </c>
      <c r="X772">
        <f>IF(Table1[[#This Row],[client_satisfaction]]&gt;1,Table1[[#This Row],[client_satisfaction]]/100,Table1[[#This Row],[client_satisfaction]])</f>
        <v>0.89</v>
      </c>
      <c r="Y772">
        <f>IF(Table1[[#This Row],[client_satisfaction2]]=0,0.75,Table1[[#This Row],[client_satisfaction2]])</f>
        <v>0.89</v>
      </c>
    </row>
    <row r="773" spans="1:25" x14ac:dyDescent="0.25">
      <c r="A773" t="s">
        <v>1621</v>
      </c>
      <c r="B773" t="s">
        <v>1622</v>
      </c>
      <c r="C773" t="str">
        <f>PROPER(TRIM(SUBSTITUTE(SUBSTITUTE(SUBSTITUTE(Table1[[#This Row],[name]],"Ms. ",""),"Mr. ",""),"Mrs. ","")))</f>
        <v>Heather Curtis</v>
      </c>
      <c r="D773" t="s">
        <v>14</v>
      </c>
      <c r="E7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73">
        <v>54</v>
      </c>
      <c r="G773" t="str">
        <f>TRIM(IF(Table1[[#This Row],[age]]="","Unknown",Table1[[#This Row],[age]]))</f>
        <v>54</v>
      </c>
      <c r="H773" t="s">
        <v>124</v>
      </c>
      <c r="I773" t="s">
        <v>125</v>
      </c>
      <c r="J773" t="s">
        <v>23</v>
      </c>
      <c r="K773">
        <v>19</v>
      </c>
      <c r="L773" s="10" t="str">
        <f>TRIM(IF(Table1[[#This Row],[years_of_experience]]="","Unknown",Table1[[#This Row],[years_of_experience]]))</f>
        <v>19</v>
      </c>
      <c r="M773" t="s">
        <v>109</v>
      </c>
      <c r="N773" t="str">
        <f>IF(Table1[[#This Row],[hourly_rate (USD)]]="",MEDIAN(Table1[hourly_rate (USD)]),Table1[[#This Row],[hourly_rate (USD)]])</f>
        <v>USD 30</v>
      </c>
      <c r="O773" t="str">
        <f>TRIM(CLEAN(Table1[[#This Row],[Updated hourly_rate (USD)]]))</f>
        <v>USD 30</v>
      </c>
      <c r="P773" t="str">
        <f>SUBSTITUTE(SUBSTITUTE(Table1[[#This Row],[Formatted hourly rate]],"USD ",""),"$","")</f>
        <v>30</v>
      </c>
      <c r="Q773">
        <v>4</v>
      </c>
      <c r="R773">
        <f>IF(Table1[[#This Row],[rating]]="",2.6,Table1[[#This Row],[rating]])</f>
        <v>4</v>
      </c>
      <c r="T773" t="str">
        <f>TRIM(CLEAN(Table1[[#This Row],[is_active]]))</f>
        <v/>
      </c>
      <c r="U77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73" s="11" t="str">
        <f>TRIM(IF(Table1[[#This Row],[is_active3]]="Unknown","TRUE",Table1[[#This Row],[is_active3]]))</f>
        <v>TRUE</v>
      </c>
      <c r="W773">
        <v>0.9</v>
      </c>
      <c r="X773">
        <f>IF(Table1[[#This Row],[client_satisfaction]]&gt;1,Table1[[#This Row],[client_satisfaction]]/100,Table1[[#This Row],[client_satisfaction]])</f>
        <v>0.9</v>
      </c>
      <c r="Y773">
        <f>IF(Table1[[#This Row],[client_satisfaction2]]=0,0.75,Table1[[#This Row],[client_satisfaction2]])</f>
        <v>0.9</v>
      </c>
    </row>
    <row r="774" spans="1:25" x14ac:dyDescent="0.25">
      <c r="A774" t="s">
        <v>1623</v>
      </c>
      <c r="B774" t="s">
        <v>1624</v>
      </c>
      <c r="C774" t="str">
        <f>PROPER(TRIM(SUBSTITUTE(SUBSTITUTE(SUBSTITUTE(Table1[[#This Row],[name]],"Ms. ",""),"Mr. ",""),"Mrs. ","")))</f>
        <v>Tiffany Moses</v>
      </c>
      <c r="D774" t="s">
        <v>77</v>
      </c>
      <c r="E7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74">
        <v>22</v>
      </c>
      <c r="G774" t="str">
        <f>TRIM(IF(Table1[[#This Row],[age]]="","Unknown",Table1[[#This Row],[age]]))</f>
        <v>22</v>
      </c>
      <c r="H774" t="s">
        <v>58</v>
      </c>
      <c r="I774" t="s">
        <v>22</v>
      </c>
      <c r="J774" t="s">
        <v>78</v>
      </c>
      <c r="K774">
        <v>1</v>
      </c>
      <c r="L774" s="10" t="str">
        <f>TRIM(IF(Table1[[#This Row],[years_of_experience]]="","Unknown",Table1[[#This Row],[years_of_experience]]))</f>
        <v>1</v>
      </c>
      <c r="M774">
        <v>20</v>
      </c>
      <c r="N774">
        <f>IF(Table1[[#This Row],[hourly_rate (USD)]]="",MEDIAN(Table1[hourly_rate (USD)]),Table1[[#This Row],[hourly_rate (USD)]])</f>
        <v>20</v>
      </c>
      <c r="O774" t="str">
        <f>TRIM(CLEAN(Table1[[#This Row],[Updated hourly_rate (USD)]]))</f>
        <v>20</v>
      </c>
      <c r="P774" t="str">
        <f>SUBSTITUTE(SUBSTITUTE(Table1[[#This Row],[Formatted hourly rate]],"USD ",""),"$","")</f>
        <v>20</v>
      </c>
      <c r="Q774">
        <v>4.8</v>
      </c>
      <c r="R774">
        <f>IF(Table1[[#This Row],[rating]]="",2.6,Table1[[#This Row],[rating]])</f>
        <v>4.8</v>
      </c>
      <c r="S774" t="b">
        <v>0</v>
      </c>
      <c r="T774" t="str">
        <f>TRIM(CLEAN(Table1[[#This Row],[is_active]]))</f>
        <v>FALSE</v>
      </c>
      <c r="U77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74" s="11" t="str">
        <f>TRIM(IF(Table1[[#This Row],[is_active3]]="Unknown","TRUE",Table1[[#This Row],[is_active3]]))</f>
        <v>TRUE</v>
      </c>
      <c r="W774">
        <v>0.87</v>
      </c>
      <c r="X774">
        <f>IF(Table1[[#This Row],[client_satisfaction]]&gt;1,Table1[[#This Row],[client_satisfaction]]/100,Table1[[#This Row],[client_satisfaction]])</f>
        <v>0.87</v>
      </c>
      <c r="Y774">
        <f>IF(Table1[[#This Row],[client_satisfaction2]]=0,0.75,Table1[[#This Row],[client_satisfaction2]])</f>
        <v>0.87</v>
      </c>
    </row>
    <row r="775" spans="1:25" x14ac:dyDescent="0.25">
      <c r="A775" t="s">
        <v>1625</v>
      </c>
      <c r="B775" t="s">
        <v>1626</v>
      </c>
      <c r="C775" t="str">
        <f>PROPER(TRIM(SUBSTITUTE(SUBSTITUTE(SUBSTITUTE(Table1[[#This Row],[name]],"Ms. ",""),"Mr. ",""),"Mrs. ","")))</f>
        <v>Jacqueline Moon</v>
      </c>
      <c r="D775" t="s">
        <v>20</v>
      </c>
      <c r="E7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75">
        <v>29</v>
      </c>
      <c r="G775" t="str">
        <f>TRIM(IF(Table1[[#This Row],[age]]="","Unknown",Table1[[#This Row],[age]]))</f>
        <v>29</v>
      </c>
      <c r="H775" t="s">
        <v>153</v>
      </c>
      <c r="I775" t="s">
        <v>154</v>
      </c>
      <c r="J775" t="s">
        <v>23</v>
      </c>
      <c r="K775">
        <v>8</v>
      </c>
      <c r="L775" s="10" t="str">
        <f>TRIM(IF(Table1[[#This Row],[years_of_experience]]="","Unknown",Table1[[#This Row],[years_of_experience]]))</f>
        <v>8</v>
      </c>
      <c r="M775">
        <v>50</v>
      </c>
      <c r="N775">
        <f>IF(Table1[[#This Row],[hourly_rate (USD)]]="",MEDIAN(Table1[hourly_rate (USD)]),Table1[[#This Row],[hourly_rate (USD)]])</f>
        <v>50</v>
      </c>
      <c r="O775" t="str">
        <f>TRIM(CLEAN(Table1[[#This Row],[Updated hourly_rate (USD)]]))</f>
        <v>50</v>
      </c>
      <c r="P775" t="str">
        <f>SUBSTITUTE(SUBSTITUTE(Table1[[#This Row],[Formatted hourly rate]],"USD ",""),"$","")</f>
        <v>50</v>
      </c>
      <c r="Q775">
        <v>0</v>
      </c>
      <c r="R775">
        <f>IF(Table1[[#This Row],[rating]]="",2.6,Table1[[#This Row],[rating]])</f>
        <v>0</v>
      </c>
      <c r="S775">
        <v>0</v>
      </c>
      <c r="T775" t="str">
        <f>TRIM(CLEAN(Table1[[#This Row],[is_active]]))</f>
        <v>0</v>
      </c>
      <c r="U77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75" s="11" t="str">
        <f>TRIM(IF(Table1[[#This Row],[is_active3]]="Unknown","TRUE",Table1[[#This Row],[is_active3]]))</f>
        <v>FALSE</v>
      </c>
      <c r="W775">
        <v>0.77</v>
      </c>
      <c r="X775">
        <f>IF(Table1[[#This Row],[client_satisfaction]]&gt;1,Table1[[#This Row],[client_satisfaction]]/100,Table1[[#This Row],[client_satisfaction]])</f>
        <v>0.77</v>
      </c>
      <c r="Y775">
        <f>IF(Table1[[#This Row],[client_satisfaction2]]=0,0.75,Table1[[#This Row],[client_satisfaction2]])</f>
        <v>0.77</v>
      </c>
    </row>
    <row r="776" spans="1:25" x14ac:dyDescent="0.25">
      <c r="A776" t="s">
        <v>1627</v>
      </c>
      <c r="B776" t="s">
        <v>1628</v>
      </c>
      <c r="C776" t="str">
        <f>PROPER(TRIM(SUBSTITUTE(SUBSTITUTE(SUBSTITUTE(Table1[[#This Row],[name]],"Ms. ",""),"Mr. ",""),"Mrs. ","")))</f>
        <v>James Campbell</v>
      </c>
      <c r="D776" t="s">
        <v>92</v>
      </c>
      <c r="E7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76">
        <v>23</v>
      </c>
      <c r="G776" t="str">
        <f>TRIM(IF(Table1[[#This Row],[age]]="","Unknown",Table1[[#This Row],[age]]))</f>
        <v>23</v>
      </c>
      <c r="H776" t="s">
        <v>190</v>
      </c>
      <c r="I776" t="s">
        <v>72</v>
      </c>
      <c r="J776" t="s">
        <v>89</v>
      </c>
      <c r="K776">
        <v>3</v>
      </c>
      <c r="L776" s="10" t="str">
        <f>TRIM(IF(Table1[[#This Row],[years_of_experience]]="","Unknown",Table1[[#This Row],[years_of_experience]]))</f>
        <v>3</v>
      </c>
      <c r="M776" t="s">
        <v>109</v>
      </c>
      <c r="N776" t="str">
        <f>IF(Table1[[#This Row],[hourly_rate (USD)]]="",MEDIAN(Table1[hourly_rate (USD)]),Table1[[#This Row],[hourly_rate (USD)]])</f>
        <v>USD 30</v>
      </c>
      <c r="O776" t="str">
        <f>TRIM(CLEAN(Table1[[#This Row],[Updated hourly_rate (USD)]]))</f>
        <v>USD 30</v>
      </c>
      <c r="P776" t="str">
        <f>SUBSTITUTE(SUBSTITUTE(Table1[[#This Row],[Formatted hourly rate]],"USD ",""),"$","")</f>
        <v>30</v>
      </c>
      <c r="Q776">
        <v>1.6</v>
      </c>
      <c r="R776">
        <f>IF(Table1[[#This Row],[rating]]="",2.6,Table1[[#This Row],[rating]])</f>
        <v>1.6</v>
      </c>
      <c r="S776" t="s">
        <v>74</v>
      </c>
      <c r="T776" t="str">
        <f>TRIM(CLEAN(Table1[[#This Row],[is_active]]))</f>
        <v>Y</v>
      </c>
      <c r="U77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76" s="11" t="str">
        <f>TRIM(IF(Table1[[#This Row],[is_active3]]="Unknown","TRUE",Table1[[#This Row],[is_active3]]))</f>
        <v>TRUE</v>
      </c>
      <c r="W776">
        <v>0.72</v>
      </c>
      <c r="X776">
        <f>IF(Table1[[#This Row],[client_satisfaction]]&gt;1,Table1[[#This Row],[client_satisfaction]]/100,Table1[[#This Row],[client_satisfaction]])</f>
        <v>0.72</v>
      </c>
      <c r="Y776">
        <f>IF(Table1[[#This Row],[client_satisfaction2]]=0,0.75,Table1[[#This Row],[client_satisfaction2]])</f>
        <v>0.72</v>
      </c>
    </row>
    <row r="777" spans="1:25" x14ac:dyDescent="0.25">
      <c r="A777" t="s">
        <v>1629</v>
      </c>
      <c r="B777" t="s">
        <v>1630</v>
      </c>
      <c r="C777" t="str">
        <f>PROPER(TRIM(SUBSTITUTE(SUBSTITUTE(SUBSTITUTE(Table1[[#This Row],[name]],"Ms. ",""),"Mr. ",""),"Mrs. ","")))</f>
        <v>Melissa Vasquez</v>
      </c>
      <c r="D777" t="s">
        <v>34</v>
      </c>
      <c r="E7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77">
        <v>58</v>
      </c>
      <c r="G777" t="str">
        <f>TRIM(IF(Table1[[#This Row],[age]]="","Unknown",Table1[[#This Row],[age]]))</f>
        <v>58</v>
      </c>
      <c r="H777" t="s">
        <v>179</v>
      </c>
      <c r="I777" t="s">
        <v>72</v>
      </c>
      <c r="J777" t="s">
        <v>89</v>
      </c>
      <c r="K777">
        <v>30</v>
      </c>
      <c r="L777" s="10" t="str">
        <f>TRIM(IF(Table1[[#This Row],[years_of_experience]]="","Unknown",Table1[[#This Row],[years_of_experience]]))</f>
        <v>30</v>
      </c>
      <c r="M777">
        <v>50</v>
      </c>
      <c r="N777">
        <f>IF(Table1[[#This Row],[hourly_rate (USD)]]="",MEDIAN(Table1[hourly_rate (USD)]),Table1[[#This Row],[hourly_rate (USD)]])</f>
        <v>50</v>
      </c>
      <c r="O777" t="str">
        <f>TRIM(CLEAN(Table1[[#This Row],[Updated hourly_rate (USD)]]))</f>
        <v>50</v>
      </c>
      <c r="P777" t="str">
        <f>SUBSTITUTE(SUBSTITUTE(Table1[[#This Row],[Formatted hourly rate]],"USD ",""),"$","")</f>
        <v>50</v>
      </c>
      <c r="Q777">
        <v>1.3</v>
      </c>
      <c r="R777">
        <f>IF(Table1[[#This Row],[rating]]="",2.6,Table1[[#This Row],[rating]])</f>
        <v>1.3</v>
      </c>
      <c r="S777" t="s">
        <v>68</v>
      </c>
      <c r="T777" t="str">
        <f>TRIM(CLEAN(Table1[[#This Row],[is_active]]))</f>
        <v>yes</v>
      </c>
      <c r="U77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77" s="11" t="str">
        <f>TRIM(IF(Table1[[#This Row],[is_active3]]="Unknown","TRUE",Table1[[#This Row],[is_active3]]))</f>
        <v>TRUE</v>
      </c>
      <c r="W777">
        <v>0.87</v>
      </c>
      <c r="X777">
        <f>IF(Table1[[#This Row],[client_satisfaction]]&gt;1,Table1[[#This Row],[client_satisfaction]]/100,Table1[[#This Row],[client_satisfaction]])</f>
        <v>0.87</v>
      </c>
      <c r="Y777">
        <f>IF(Table1[[#This Row],[client_satisfaction2]]=0,0.75,Table1[[#This Row],[client_satisfaction2]])</f>
        <v>0.87</v>
      </c>
    </row>
    <row r="778" spans="1:25" x14ac:dyDescent="0.25">
      <c r="A778" t="s">
        <v>1631</v>
      </c>
      <c r="B778" t="s">
        <v>1632</v>
      </c>
      <c r="C778" t="str">
        <f>PROPER(TRIM(SUBSTITUTE(SUBSTITUTE(SUBSTITUTE(Table1[[#This Row],[name]],"Ms. ",""),"Mr. ",""),"Mrs. ","")))</f>
        <v>Katherine Carlson</v>
      </c>
      <c r="D778" t="s">
        <v>14</v>
      </c>
      <c r="E7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78">
        <v>56</v>
      </c>
      <c r="G778" t="str">
        <f>TRIM(IF(Table1[[#This Row],[age]]="","Unknown",Table1[[#This Row],[age]]))</f>
        <v>56</v>
      </c>
      <c r="H778" t="s">
        <v>175</v>
      </c>
      <c r="I778" t="s">
        <v>176</v>
      </c>
      <c r="J778" t="s">
        <v>17</v>
      </c>
      <c r="K778">
        <v>3</v>
      </c>
      <c r="L778" s="10" t="str">
        <f>TRIM(IF(Table1[[#This Row],[years_of_experience]]="","Unknown",Table1[[#This Row],[years_of_experience]]))</f>
        <v>3</v>
      </c>
      <c r="M778">
        <v>40</v>
      </c>
      <c r="N778">
        <f>IF(Table1[[#This Row],[hourly_rate (USD)]]="",MEDIAN(Table1[hourly_rate (USD)]),Table1[[#This Row],[hourly_rate (USD)]])</f>
        <v>40</v>
      </c>
      <c r="O778" t="str">
        <f>TRIM(CLEAN(Table1[[#This Row],[Updated hourly_rate (USD)]]))</f>
        <v>40</v>
      </c>
      <c r="P778" t="str">
        <f>SUBSTITUTE(SUBSTITUTE(Table1[[#This Row],[Formatted hourly rate]],"USD ",""),"$","")</f>
        <v>40</v>
      </c>
      <c r="Q778">
        <v>4.0999999999999996</v>
      </c>
      <c r="R778">
        <f>IF(Table1[[#This Row],[rating]]="",2.6,Table1[[#This Row],[rating]])</f>
        <v>4.0999999999999996</v>
      </c>
      <c r="S778" t="b">
        <v>1</v>
      </c>
      <c r="T778" t="str">
        <f>TRIM(CLEAN(Table1[[#This Row],[is_active]]))</f>
        <v>TRUE</v>
      </c>
      <c r="U77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78" s="11" t="str">
        <f>TRIM(IF(Table1[[#This Row],[is_active3]]="Unknown","TRUE",Table1[[#This Row],[is_active3]]))</f>
        <v>TRUE</v>
      </c>
      <c r="W778">
        <v>0.89</v>
      </c>
      <c r="X778">
        <f>IF(Table1[[#This Row],[client_satisfaction]]&gt;1,Table1[[#This Row],[client_satisfaction]]/100,Table1[[#This Row],[client_satisfaction]])</f>
        <v>0.89</v>
      </c>
      <c r="Y778">
        <f>IF(Table1[[#This Row],[client_satisfaction2]]=0,0.75,Table1[[#This Row],[client_satisfaction2]])</f>
        <v>0.89</v>
      </c>
    </row>
    <row r="779" spans="1:25" x14ac:dyDescent="0.25">
      <c r="A779" t="s">
        <v>1633</v>
      </c>
      <c r="B779" t="s">
        <v>1634</v>
      </c>
      <c r="C779" t="str">
        <f>PROPER(TRIM(SUBSTITUTE(SUBSTITUTE(SUBSTITUTE(Table1[[#This Row],[name]],"Ms. ",""),"Mr. ",""),"Mrs. ","")))</f>
        <v>Adam Clay</v>
      </c>
      <c r="D779" t="s">
        <v>92</v>
      </c>
      <c r="E7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79">
        <v>48</v>
      </c>
      <c r="G779" t="str">
        <f>TRIM(IF(Table1[[#This Row],[age]]="","Unknown",Table1[[#This Row],[age]]))</f>
        <v>48</v>
      </c>
      <c r="H779" t="s">
        <v>62</v>
      </c>
      <c r="I779" t="s">
        <v>63</v>
      </c>
      <c r="J779" t="s">
        <v>35</v>
      </c>
      <c r="K779">
        <v>19</v>
      </c>
      <c r="L779" s="10" t="str">
        <f>TRIM(IF(Table1[[#This Row],[years_of_experience]]="","Unknown",Table1[[#This Row],[years_of_experience]]))</f>
        <v>19</v>
      </c>
      <c r="M779">
        <v>40</v>
      </c>
      <c r="N779">
        <f>IF(Table1[[#This Row],[hourly_rate (USD)]]="",MEDIAN(Table1[hourly_rate (USD)]),Table1[[#This Row],[hourly_rate (USD)]])</f>
        <v>40</v>
      </c>
      <c r="O779" t="str">
        <f>TRIM(CLEAN(Table1[[#This Row],[Updated hourly_rate (USD)]]))</f>
        <v>40</v>
      </c>
      <c r="P779" t="str">
        <f>SUBSTITUTE(SUBSTITUTE(Table1[[#This Row],[Formatted hourly rate]],"USD ",""),"$","")</f>
        <v>40</v>
      </c>
      <c r="Q779">
        <v>1.5</v>
      </c>
      <c r="R779">
        <f>IF(Table1[[#This Row],[rating]]="",2.6,Table1[[#This Row],[rating]])</f>
        <v>1.5</v>
      </c>
      <c r="S779">
        <v>0</v>
      </c>
      <c r="T779" t="str">
        <f>TRIM(CLEAN(Table1[[#This Row],[is_active]]))</f>
        <v>0</v>
      </c>
      <c r="U77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79" s="11" t="str">
        <f>TRIM(IF(Table1[[#This Row],[is_active3]]="Unknown","TRUE",Table1[[#This Row],[is_active3]]))</f>
        <v>FALSE</v>
      </c>
      <c r="W779">
        <v>0.87</v>
      </c>
      <c r="X779">
        <f>IF(Table1[[#This Row],[client_satisfaction]]&gt;1,Table1[[#This Row],[client_satisfaction]]/100,Table1[[#This Row],[client_satisfaction]])</f>
        <v>0.87</v>
      </c>
      <c r="Y779">
        <f>IF(Table1[[#This Row],[client_satisfaction2]]=0,0.75,Table1[[#This Row],[client_satisfaction2]])</f>
        <v>0.87</v>
      </c>
    </row>
    <row r="780" spans="1:25" x14ac:dyDescent="0.25">
      <c r="A780" t="s">
        <v>1635</v>
      </c>
      <c r="B780" t="s">
        <v>1636</v>
      </c>
      <c r="C780" t="str">
        <f>PROPER(TRIM(SUBSTITUTE(SUBSTITUTE(SUBSTITUTE(Table1[[#This Row],[name]],"Ms. ",""),"Mr. ",""),"Mrs. ","")))</f>
        <v>Amy Combs</v>
      </c>
      <c r="D780" t="s">
        <v>77</v>
      </c>
      <c r="E7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80">
        <v>31</v>
      </c>
      <c r="G780" t="str">
        <f>TRIM(IF(Table1[[#This Row],[age]]="","Unknown",Table1[[#This Row],[age]]))</f>
        <v>31</v>
      </c>
      <c r="H780" t="s">
        <v>124</v>
      </c>
      <c r="I780" t="s">
        <v>125</v>
      </c>
      <c r="J780" t="s">
        <v>23</v>
      </c>
      <c r="K780">
        <v>11</v>
      </c>
      <c r="L780" s="10" t="str">
        <f>TRIM(IF(Table1[[#This Row],[years_of_experience]]="","Unknown",Table1[[#This Row],[years_of_experience]]))</f>
        <v>11</v>
      </c>
      <c r="M780" t="s">
        <v>55</v>
      </c>
      <c r="N780" t="str">
        <f>IF(Table1[[#This Row],[hourly_rate (USD)]]="",MEDIAN(Table1[hourly_rate (USD)]),Table1[[#This Row],[hourly_rate (USD)]])</f>
        <v>USD 40</v>
      </c>
      <c r="O780" t="str">
        <f>TRIM(CLEAN(Table1[[#This Row],[Updated hourly_rate (USD)]]))</f>
        <v>USD 40</v>
      </c>
      <c r="P780" t="str">
        <f>SUBSTITUTE(SUBSTITUTE(Table1[[#This Row],[Formatted hourly rate]],"USD ",""),"$","")</f>
        <v>40</v>
      </c>
      <c r="Q780">
        <v>4.3</v>
      </c>
      <c r="R780">
        <f>IF(Table1[[#This Row],[rating]]="",2.6,Table1[[#This Row],[rating]])</f>
        <v>4.3</v>
      </c>
      <c r="S780" t="s">
        <v>74</v>
      </c>
      <c r="T780" t="str">
        <f>TRIM(CLEAN(Table1[[#This Row],[is_active]]))</f>
        <v>Y</v>
      </c>
      <c r="U78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80" s="11" t="str">
        <f>TRIM(IF(Table1[[#This Row],[is_active3]]="Unknown","TRUE",Table1[[#This Row],[is_active3]]))</f>
        <v>TRUE</v>
      </c>
      <c r="W780">
        <v>0.76</v>
      </c>
      <c r="X780">
        <f>IF(Table1[[#This Row],[client_satisfaction]]&gt;1,Table1[[#This Row],[client_satisfaction]]/100,Table1[[#This Row],[client_satisfaction]])</f>
        <v>0.76</v>
      </c>
      <c r="Y780">
        <f>IF(Table1[[#This Row],[client_satisfaction2]]=0,0.75,Table1[[#This Row],[client_satisfaction2]])</f>
        <v>0.76</v>
      </c>
    </row>
    <row r="781" spans="1:25" x14ac:dyDescent="0.25">
      <c r="A781" t="s">
        <v>1637</v>
      </c>
      <c r="B781" t="s">
        <v>1638</v>
      </c>
      <c r="C781" t="str">
        <f>PROPER(TRIM(SUBSTITUTE(SUBSTITUTE(SUBSTITUTE(Table1[[#This Row],[name]],"Ms. ",""),"Mr. ",""),"Mrs. ","")))</f>
        <v>Anthony Case</v>
      </c>
      <c r="D781" t="s">
        <v>92</v>
      </c>
      <c r="E7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81">
        <v>44</v>
      </c>
      <c r="G781" t="str">
        <f>TRIM(IF(Table1[[#This Row],[age]]="","Unknown",Table1[[#This Row],[age]]))</f>
        <v>44</v>
      </c>
      <c r="H781" t="s">
        <v>21</v>
      </c>
      <c r="I781" t="s">
        <v>22</v>
      </c>
      <c r="J781" t="s">
        <v>114</v>
      </c>
      <c r="K781">
        <v>26</v>
      </c>
      <c r="L781" s="10" t="str">
        <f>TRIM(IF(Table1[[#This Row],[years_of_experience]]="","Unknown",Table1[[#This Row],[years_of_experience]]))</f>
        <v>26</v>
      </c>
      <c r="M781">
        <v>50</v>
      </c>
      <c r="N781">
        <f>IF(Table1[[#This Row],[hourly_rate (USD)]]="",MEDIAN(Table1[hourly_rate (USD)]),Table1[[#This Row],[hourly_rate (USD)]])</f>
        <v>50</v>
      </c>
      <c r="O781" t="str">
        <f>TRIM(CLEAN(Table1[[#This Row],[Updated hourly_rate (USD)]]))</f>
        <v>50</v>
      </c>
      <c r="P781" t="str">
        <f>SUBSTITUTE(SUBSTITUTE(Table1[[#This Row],[Formatted hourly rate]],"USD ",""),"$","")</f>
        <v>50</v>
      </c>
      <c r="Q781">
        <v>1.6</v>
      </c>
      <c r="R781">
        <f>IF(Table1[[#This Row],[rating]]="",2.6,Table1[[#This Row],[rating]])</f>
        <v>1.6</v>
      </c>
      <c r="T781" t="str">
        <f>TRIM(CLEAN(Table1[[#This Row],[is_active]]))</f>
        <v/>
      </c>
      <c r="U78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81" s="11" t="str">
        <f>TRIM(IF(Table1[[#This Row],[is_active3]]="Unknown","TRUE",Table1[[#This Row],[is_active3]]))</f>
        <v>TRUE</v>
      </c>
      <c r="W781">
        <v>1</v>
      </c>
      <c r="X781">
        <f>IF(Table1[[#This Row],[client_satisfaction]]&gt;1,Table1[[#This Row],[client_satisfaction]]/100,Table1[[#This Row],[client_satisfaction]])</f>
        <v>1</v>
      </c>
      <c r="Y781">
        <f>IF(Table1[[#This Row],[client_satisfaction2]]=0,0.75,Table1[[#This Row],[client_satisfaction2]])</f>
        <v>1</v>
      </c>
    </row>
    <row r="782" spans="1:25" x14ac:dyDescent="0.25">
      <c r="A782" t="s">
        <v>1639</v>
      </c>
      <c r="B782" t="s">
        <v>1640</v>
      </c>
      <c r="C782" t="str">
        <f>PROPER(TRIM(SUBSTITUTE(SUBSTITUTE(SUBSTITUTE(Table1[[#This Row],[name]],"Ms. ",""),"Mr. ",""),"Mrs. ","")))</f>
        <v>Kimberly Brown</v>
      </c>
      <c r="D782" t="s">
        <v>34</v>
      </c>
      <c r="E7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82">
        <v>42</v>
      </c>
      <c r="G782" t="str">
        <f>TRIM(IF(Table1[[#This Row],[age]]="","Unknown",Table1[[#This Row],[age]]))</f>
        <v>42</v>
      </c>
      <c r="H782" t="s">
        <v>139</v>
      </c>
      <c r="I782" t="s">
        <v>140</v>
      </c>
      <c r="J782" t="s">
        <v>23</v>
      </c>
      <c r="K782">
        <v>10</v>
      </c>
      <c r="L782" s="10" t="str">
        <f>TRIM(IF(Table1[[#This Row],[years_of_experience]]="","Unknown",Table1[[#This Row],[years_of_experience]]))</f>
        <v>10</v>
      </c>
      <c r="M782">
        <v>100</v>
      </c>
      <c r="N782">
        <f>IF(Table1[[#This Row],[hourly_rate (USD)]]="",MEDIAN(Table1[hourly_rate (USD)]),Table1[[#This Row],[hourly_rate (USD)]])</f>
        <v>100</v>
      </c>
      <c r="O782" t="str">
        <f>TRIM(CLEAN(Table1[[#This Row],[Updated hourly_rate (USD)]]))</f>
        <v>100</v>
      </c>
      <c r="P782" t="str">
        <f>SUBSTITUTE(SUBSTITUTE(Table1[[#This Row],[Formatted hourly rate]],"USD ",""),"$","")</f>
        <v>100</v>
      </c>
      <c r="Q782">
        <v>3.7</v>
      </c>
      <c r="R782">
        <f>IF(Table1[[#This Row],[rating]]="",2.6,Table1[[#This Row],[rating]])</f>
        <v>3.7</v>
      </c>
      <c r="S782" t="s">
        <v>74</v>
      </c>
      <c r="T782" t="str">
        <f>TRIM(CLEAN(Table1[[#This Row],[is_active]]))</f>
        <v>Y</v>
      </c>
      <c r="U78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82" s="11" t="str">
        <f>TRIM(IF(Table1[[#This Row],[is_active3]]="Unknown","TRUE",Table1[[#This Row],[is_active3]]))</f>
        <v>TRUE</v>
      </c>
      <c r="W782">
        <v>0.94</v>
      </c>
      <c r="X782">
        <f>IF(Table1[[#This Row],[client_satisfaction]]&gt;1,Table1[[#This Row],[client_satisfaction]]/100,Table1[[#This Row],[client_satisfaction]])</f>
        <v>0.94</v>
      </c>
      <c r="Y782">
        <f>IF(Table1[[#This Row],[client_satisfaction2]]=0,0.75,Table1[[#This Row],[client_satisfaction2]])</f>
        <v>0.94</v>
      </c>
    </row>
    <row r="783" spans="1:25" x14ac:dyDescent="0.25">
      <c r="A783" t="s">
        <v>1641</v>
      </c>
      <c r="B783" t="s">
        <v>1642</v>
      </c>
      <c r="C783" t="str">
        <f>PROPER(TRIM(SUBSTITUTE(SUBSTITUTE(SUBSTITUTE(Table1[[#This Row],[name]],"Ms. ",""),"Mr. ",""),"Mrs. ","")))</f>
        <v>Joshua Holloway</v>
      </c>
      <c r="D783" t="s">
        <v>97</v>
      </c>
      <c r="E7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83">
        <v>59</v>
      </c>
      <c r="G783" t="str">
        <f>TRIM(IF(Table1[[#This Row],[age]]="","Unknown",Table1[[#This Row],[age]]))</f>
        <v>59</v>
      </c>
      <c r="H783" t="s">
        <v>58</v>
      </c>
      <c r="I783" t="s">
        <v>22</v>
      </c>
      <c r="J783" t="s">
        <v>78</v>
      </c>
      <c r="K783">
        <v>17</v>
      </c>
      <c r="L783" s="10" t="str">
        <f>TRIM(IF(Table1[[#This Row],[years_of_experience]]="","Unknown",Table1[[#This Row],[years_of_experience]]))</f>
        <v>17</v>
      </c>
      <c r="M783">
        <v>50</v>
      </c>
      <c r="N783">
        <f>IF(Table1[[#This Row],[hourly_rate (USD)]]="",MEDIAN(Table1[hourly_rate (USD)]),Table1[[#This Row],[hourly_rate (USD)]])</f>
        <v>50</v>
      </c>
      <c r="O783" t="str">
        <f>TRIM(CLEAN(Table1[[#This Row],[Updated hourly_rate (USD)]]))</f>
        <v>50</v>
      </c>
      <c r="P783" t="str">
        <f>SUBSTITUTE(SUBSTITUTE(Table1[[#This Row],[Formatted hourly rate]],"USD ",""),"$","")</f>
        <v>50</v>
      </c>
      <c r="Q783">
        <v>1.4</v>
      </c>
      <c r="R783">
        <f>IF(Table1[[#This Row],[rating]]="",2.6,Table1[[#This Row],[rating]])</f>
        <v>1.4</v>
      </c>
      <c r="S783" t="s">
        <v>68</v>
      </c>
      <c r="T783" t="str">
        <f>TRIM(CLEAN(Table1[[#This Row],[is_active]]))</f>
        <v>yes</v>
      </c>
      <c r="U7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83" s="11" t="str">
        <f>TRIM(IF(Table1[[#This Row],[is_active3]]="Unknown","TRUE",Table1[[#This Row],[is_active3]]))</f>
        <v>TRUE</v>
      </c>
      <c r="X783">
        <f>IF(Table1[[#This Row],[client_satisfaction]]&gt;1,Table1[[#This Row],[client_satisfaction]]/100,Table1[[#This Row],[client_satisfaction]])</f>
        <v>0</v>
      </c>
      <c r="Y783">
        <f>IF(Table1[[#This Row],[client_satisfaction2]]=0,0.75,Table1[[#This Row],[client_satisfaction2]])</f>
        <v>0.75</v>
      </c>
    </row>
    <row r="784" spans="1:25" x14ac:dyDescent="0.25">
      <c r="A784" t="s">
        <v>1643</v>
      </c>
      <c r="B784" t="s">
        <v>1644</v>
      </c>
      <c r="C784" t="str">
        <f>PROPER(TRIM(SUBSTITUTE(SUBSTITUTE(SUBSTITUTE(Table1[[#This Row],[name]],"Ms. ",""),"Mr. ",""),"Mrs. ","")))</f>
        <v>Cynthia Walton</v>
      </c>
      <c r="D784" t="s">
        <v>34</v>
      </c>
      <c r="E7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784" t="str">
        <f>TRIM(IF(Table1[[#This Row],[age]]="","Unknown",Table1[[#This Row],[age]]))</f>
        <v>Unknown</v>
      </c>
      <c r="H784" t="s">
        <v>71</v>
      </c>
      <c r="I784" t="s">
        <v>72</v>
      </c>
      <c r="J784" t="s">
        <v>17</v>
      </c>
      <c r="K784">
        <v>9</v>
      </c>
      <c r="L784" s="10" t="str">
        <f>TRIM(IF(Table1[[#This Row],[years_of_experience]]="","Unknown",Table1[[#This Row],[years_of_experience]]))</f>
        <v>9</v>
      </c>
      <c r="M784" t="s">
        <v>229</v>
      </c>
      <c r="N784" t="str">
        <f>IF(Table1[[#This Row],[hourly_rate (USD)]]="",MEDIAN(Table1[hourly_rate (USD)]),Table1[[#This Row],[hourly_rate (USD)]])</f>
        <v>$100</v>
      </c>
      <c r="O784" t="str">
        <f>TRIM(CLEAN(Table1[[#This Row],[Updated hourly_rate (USD)]]))</f>
        <v>$100</v>
      </c>
      <c r="P784" t="str">
        <f>SUBSTITUTE(SUBSTITUTE(Table1[[#This Row],[Formatted hourly rate]],"USD ",""),"$","")</f>
        <v>100</v>
      </c>
      <c r="Q784">
        <v>4.5</v>
      </c>
      <c r="R784">
        <f>IF(Table1[[#This Row],[rating]]="",2.6,Table1[[#This Row],[rating]])</f>
        <v>4.5</v>
      </c>
      <c r="S784" t="s">
        <v>74</v>
      </c>
      <c r="T784" t="str">
        <f>TRIM(CLEAN(Table1[[#This Row],[is_active]]))</f>
        <v>Y</v>
      </c>
      <c r="U78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84" s="11" t="str">
        <f>TRIM(IF(Table1[[#This Row],[is_active3]]="Unknown","TRUE",Table1[[#This Row],[is_active3]]))</f>
        <v>TRUE</v>
      </c>
      <c r="W784">
        <v>83</v>
      </c>
      <c r="X784">
        <f>IF(Table1[[#This Row],[client_satisfaction]]&gt;1,Table1[[#This Row],[client_satisfaction]]/100,Table1[[#This Row],[client_satisfaction]])</f>
        <v>0.83</v>
      </c>
      <c r="Y784">
        <f>IF(Table1[[#This Row],[client_satisfaction2]]=0,0.75,Table1[[#This Row],[client_satisfaction2]])</f>
        <v>0.83</v>
      </c>
    </row>
    <row r="785" spans="1:25" x14ac:dyDescent="0.25">
      <c r="A785" t="s">
        <v>1645</v>
      </c>
      <c r="B785" t="s">
        <v>1646</v>
      </c>
      <c r="C785" t="str">
        <f>PROPER(TRIM(SUBSTITUTE(SUBSTITUTE(SUBSTITUTE(Table1[[#This Row],[name]],"Ms. ",""),"Mr. ",""),"Mrs. ","")))</f>
        <v>Shawn Delgado</v>
      </c>
      <c r="D785" t="s">
        <v>92</v>
      </c>
      <c r="E7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85">
        <v>21</v>
      </c>
      <c r="G785" t="str">
        <f>TRIM(IF(Table1[[#This Row],[age]]="","Unknown",Table1[[#This Row],[age]]))</f>
        <v>21</v>
      </c>
      <c r="H785" t="s">
        <v>175</v>
      </c>
      <c r="I785" t="s">
        <v>176</v>
      </c>
      <c r="J785" t="s">
        <v>51</v>
      </c>
      <c r="K785">
        <v>0</v>
      </c>
      <c r="L785" s="10" t="str">
        <f>TRIM(IF(Table1[[#This Row],[years_of_experience]]="","Unknown",Table1[[#This Row],[years_of_experience]]))</f>
        <v>0</v>
      </c>
      <c r="M785" t="s">
        <v>55</v>
      </c>
      <c r="N785" t="str">
        <f>IF(Table1[[#This Row],[hourly_rate (USD)]]="",MEDIAN(Table1[hourly_rate (USD)]),Table1[[#This Row],[hourly_rate (USD)]])</f>
        <v>USD 40</v>
      </c>
      <c r="O785" t="str">
        <f>TRIM(CLEAN(Table1[[#This Row],[Updated hourly_rate (USD)]]))</f>
        <v>USD 40</v>
      </c>
      <c r="P785" t="str">
        <f>SUBSTITUTE(SUBSTITUTE(Table1[[#This Row],[Formatted hourly rate]],"USD ",""),"$","")</f>
        <v>40</v>
      </c>
      <c r="Q785">
        <v>3.7</v>
      </c>
      <c r="R785">
        <f>IF(Table1[[#This Row],[rating]]="",2.6,Table1[[#This Row],[rating]])</f>
        <v>3.7</v>
      </c>
      <c r="S785">
        <v>0</v>
      </c>
      <c r="T785" t="str">
        <f>TRIM(CLEAN(Table1[[#This Row],[is_active]]))</f>
        <v>0</v>
      </c>
      <c r="U78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85" s="11" t="str">
        <f>TRIM(IF(Table1[[#This Row],[is_active3]]="Unknown","TRUE",Table1[[#This Row],[is_active3]]))</f>
        <v>FALSE</v>
      </c>
      <c r="W785">
        <v>0.74</v>
      </c>
      <c r="X785">
        <f>IF(Table1[[#This Row],[client_satisfaction]]&gt;1,Table1[[#This Row],[client_satisfaction]]/100,Table1[[#This Row],[client_satisfaction]])</f>
        <v>0.74</v>
      </c>
      <c r="Y785">
        <f>IF(Table1[[#This Row],[client_satisfaction2]]=0,0.75,Table1[[#This Row],[client_satisfaction2]])</f>
        <v>0.74</v>
      </c>
    </row>
    <row r="786" spans="1:25" x14ac:dyDescent="0.25">
      <c r="A786" t="s">
        <v>1647</v>
      </c>
      <c r="B786" t="s">
        <v>1648</v>
      </c>
      <c r="C786" t="str">
        <f>PROPER(TRIM(SUBSTITUTE(SUBSTITUTE(SUBSTITUTE(Table1[[#This Row],[name]],"Ms. ",""),"Mr. ",""),"Mrs. ","")))</f>
        <v>Jeremy Smith</v>
      </c>
      <c r="D786" t="s">
        <v>97</v>
      </c>
      <c r="E7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86">
        <v>53</v>
      </c>
      <c r="G786" t="str">
        <f>TRIM(IF(Table1[[#This Row],[age]]="","Unknown",Table1[[#This Row],[age]]))</f>
        <v>53</v>
      </c>
      <c r="H786" t="s">
        <v>67</v>
      </c>
      <c r="I786" t="s">
        <v>22</v>
      </c>
      <c r="J786" t="s">
        <v>89</v>
      </c>
      <c r="K786">
        <v>5</v>
      </c>
      <c r="L786" s="10" t="str">
        <f>TRIM(IF(Table1[[#This Row],[years_of_experience]]="","Unknown",Table1[[#This Row],[years_of_experience]]))</f>
        <v>5</v>
      </c>
      <c r="M786">
        <v>75</v>
      </c>
      <c r="N786">
        <f>IF(Table1[[#This Row],[hourly_rate (USD)]]="",MEDIAN(Table1[hourly_rate (USD)]),Table1[[#This Row],[hourly_rate (USD)]])</f>
        <v>75</v>
      </c>
      <c r="O786" t="str">
        <f>TRIM(CLEAN(Table1[[#This Row],[Updated hourly_rate (USD)]]))</f>
        <v>75</v>
      </c>
      <c r="P786" t="str">
        <f>SUBSTITUTE(SUBSTITUTE(Table1[[#This Row],[Formatted hourly rate]],"USD ",""),"$","")</f>
        <v>75</v>
      </c>
      <c r="Q786">
        <v>1.1000000000000001</v>
      </c>
      <c r="R786">
        <f>IF(Table1[[#This Row],[rating]]="",2.6,Table1[[#This Row],[rating]])</f>
        <v>1.1000000000000001</v>
      </c>
      <c r="S786">
        <v>0</v>
      </c>
      <c r="T786" t="str">
        <f>TRIM(CLEAN(Table1[[#This Row],[is_active]]))</f>
        <v>0</v>
      </c>
      <c r="U78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86" s="11" t="str">
        <f>TRIM(IF(Table1[[#This Row],[is_active3]]="Unknown","TRUE",Table1[[#This Row],[is_active3]]))</f>
        <v>FALSE</v>
      </c>
      <c r="W786">
        <v>92</v>
      </c>
      <c r="X786">
        <f>IF(Table1[[#This Row],[client_satisfaction]]&gt;1,Table1[[#This Row],[client_satisfaction]]/100,Table1[[#This Row],[client_satisfaction]])</f>
        <v>0.92</v>
      </c>
      <c r="Y786">
        <f>IF(Table1[[#This Row],[client_satisfaction2]]=0,0.75,Table1[[#This Row],[client_satisfaction2]])</f>
        <v>0.92</v>
      </c>
    </row>
    <row r="787" spans="1:25" x14ac:dyDescent="0.25">
      <c r="A787" t="s">
        <v>1649</v>
      </c>
      <c r="B787" t="s">
        <v>1650</v>
      </c>
      <c r="C787" t="str">
        <f>PROPER(TRIM(SUBSTITUTE(SUBSTITUTE(SUBSTITUTE(Table1[[#This Row],[name]],"Ms. ",""),"Mr. ",""),"Mrs. ","")))</f>
        <v>Marc Ortiz</v>
      </c>
      <c r="D787" t="s">
        <v>92</v>
      </c>
      <c r="E7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87">
        <v>35</v>
      </c>
      <c r="G787" t="str">
        <f>TRIM(IF(Table1[[#This Row],[age]]="","Unknown",Table1[[#This Row],[age]]))</f>
        <v>35</v>
      </c>
      <c r="H787" t="s">
        <v>71</v>
      </c>
      <c r="I787" t="s">
        <v>72</v>
      </c>
      <c r="J787" t="s">
        <v>23</v>
      </c>
      <c r="K787">
        <v>15</v>
      </c>
      <c r="L787" s="10" t="str">
        <f>TRIM(IF(Table1[[#This Row],[years_of_experience]]="","Unknown",Table1[[#This Row],[years_of_experience]]))</f>
        <v>15</v>
      </c>
      <c r="N787">
        <f>IF(Table1[[#This Row],[hourly_rate (USD)]]="",MEDIAN(Table1[hourly_rate (USD)]),Table1[[#This Row],[hourly_rate (USD)]])</f>
        <v>50</v>
      </c>
      <c r="O787" t="str">
        <f>TRIM(CLEAN(Table1[[#This Row],[Updated hourly_rate (USD)]]))</f>
        <v>50</v>
      </c>
      <c r="P787" t="str">
        <f>SUBSTITUTE(SUBSTITUTE(Table1[[#This Row],[Formatted hourly rate]],"USD ",""),"$","")</f>
        <v>50</v>
      </c>
      <c r="Q787">
        <v>3.7</v>
      </c>
      <c r="R787">
        <f>IF(Table1[[#This Row],[rating]]="",2.6,Table1[[#This Row],[rating]])</f>
        <v>3.7</v>
      </c>
      <c r="S787" t="b">
        <v>0</v>
      </c>
      <c r="T787" t="str">
        <f>TRIM(CLEAN(Table1[[#This Row],[is_active]]))</f>
        <v>FALSE</v>
      </c>
      <c r="U78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87" s="11" t="str">
        <f>TRIM(IF(Table1[[#This Row],[is_active3]]="Unknown","TRUE",Table1[[#This Row],[is_active3]]))</f>
        <v>TRUE</v>
      </c>
      <c r="W787">
        <v>0.66</v>
      </c>
      <c r="X787">
        <f>IF(Table1[[#This Row],[client_satisfaction]]&gt;1,Table1[[#This Row],[client_satisfaction]]/100,Table1[[#This Row],[client_satisfaction]])</f>
        <v>0.66</v>
      </c>
      <c r="Y787">
        <f>IF(Table1[[#This Row],[client_satisfaction2]]=0,0.75,Table1[[#This Row],[client_satisfaction2]])</f>
        <v>0.66</v>
      </c>
    </row>
    <row r="788" spans="1:25" x14ac:dyDescent="0.25">
      <c r="A788" t="s">
        <v>1651</v>
      </c>
      <c r="B788" t="s">
        <v>1652</v>
      </c>
      <c r="C788" t="str">
        <f>PROPER(TRIM(SUBSTITUTE(SUBSTITUTE(SUBSTITUTE(Table1[[#This Row],[name]],"Ms. ",""),"Mr. ",""),"Mrs. ","")))</f>
        <v>Michelle Gregory</v>
      </c>
      <c r="D788" t="s">
        <v>77</v>
      </c>
      <c r="E7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88">
        <v>25</v>
      </c>
      <c r="G788" t="str">
        <f>TRIM(IF(Table1[[#This Row],[age]]="","Unknown",Table1[[#This Row],[age]]))</f>
        <v>25</v>
      </c>
      <c r="H788" t="s">
        <v>107</v>
      </c>
      <c r="I788" t="s">
        <v>108</v>
      </c>
      <c r="J788" t="s">
        <v>114</v>
      </c>
      <c r="K788">
        <v>3</v>
      </c>
      <c r="L788" s="10" t="str">
        <f>TRIM(IF(Table1[[#This Row],[years_of_experience]]="","Unknown",Table1[[#This Row],[years_of_experience]]))</f>
        <v>3</v>
      </c>
      <c r="M788" t="s">
        <v>64</v>
      </c>
      <c r="N788" t="str">
        <f>IF(Table1[[#This Row],[hourly_rate (USD)]]="",MEDIAN(Table1[hourly_rate (USD)]),Table1[[#This Row],[hourly_rate (USD)]])</f>
        <v>$50</v>
      </c>
      <c r="O788" t="str">
        <f>TRIM(CLEAN(Table1[[#This Row],[Updated hourly_rate (USD)]]))</f>
        <v>$50</v>
      </c>
      <c r="P788" t="str">
        <f>SUBSTITUTE(SUBSTITUTE(Table1[[#This Row],[Formatted hourly rate]],"USD ",""),"$","")</f>
        <v>50</v>
      </c>
      <c r="Q788">
        <v>3.2</v>
      </c>
      <c r="R788">
        <f>IF(Table1[[#This Row],[rating]]="",2.6,Table1[[#This Row],[rating]])</f>
        <v>3.2</v>
      </c>
      <c r="S788" t="b">
        <v>1</v>
      </c>
      <c r="T788" t="str">
        <f>TRIM(CLEAN(Table1[[#This Row],[is_active]]))</f>
        <v>TRUE</v>
      </c>
      <c r="U78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88" s="11" t="str">
        <f>TRIM(IF(Table1[[#This Row],[is_active3]]="Unknown","TRUE",Table1[[#This Row],[is_active3]]))</f>
        <v>TRUE</v>
      </c>
      <c r="W788">
        <v>0.74</v>
      </c>
      <c r="X788">
        <f>IF(Table1[[#This Row],[client_satisfaction]]&gt;1,Table1[[#This Row],[client_satisfaction]]/100,Table1[[#This Row],[client_satisfaction]])</f>
        <v>0.74</v>
      </c>
      <c r="Y788">
        <f>IF(Table1[[#This Row],[client_satisfaction2]]=0,0.75,Table1[[#This Row],[client_satisfaction2]])</f>
        <v>0.74</v>
      </c>
    </row>
    <row r="789" spans="1:25" x14ac:dyDescent="0.25">
      <c r="A789" t="s">
        <v>1653</v>
      </c>
      <c r="B789" t="s">
        <v>1654</v>
      </c>
      <c r="C789" t="str">
        <f>PROPER(TRIM(SUBSTITUTE(SUBSTITUTE(SUBSTITUTE(Table1[[#This Row],[name]],"Ms. ",""),"Mr. ",""),"Mrs. ","")))</f>
        <v>Melanie Gay</v>
      </c>
      <c r="D789" t="s">
        <v>39</v>
      </c>
      <c r="E7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89">
        <v>23</v>
      </c>
      <c r="G789" t="str">
        <f>TRIM(IF(Table1[[#This Row],[age]]="","Unknown",Table1[[#This Row],[age]]))</f>
        <v>23</v>
      </c>
      <c r="H789" t="s">
        <v>15</v>
      </c>
      <c r="I789" t="s">
        <v>16</v>
      </c>
      <c r="J789" t="s">
        <v>73</v>
      </c>
      <c r="K789">
        <v>1</v>
      </c>
      <c r="L789" s="10" t="str">
        <f>TRIM(IF(Table1[[#This Row],[years_of_experience]]="","Unknown",Table1[[#This Row],[years_of_experience]]))</f>
        <v>1</v>
      </c>
      <c r="M789">
        <v>30</v>
      </c>
      <c r="N789">
        <f>IF(Table1[[#This Row],[hourly_rate (USD)]]="",MEDIAN(Table1[hourly_rate (USD)]),Table1[[#This Row],[hourly_rate (USD)]])</f>
        <v>30</v>
      </c>
      <c r="O789" t="str">
        <f>TRIM(CLEAN(Table1[[#This Row],[Updated hourly_rate (USD)]]))</f>
        <v>30</v>
      </c>
      <c r="P789" t="str">
        <f>SUBSTITUTE(SUBSTITUTE(Table1[[#This Row],[Formatted hourly rate]],"USD ",""),"$","")</f>
        <v>30</v>
      </c>
      <c r="Q789">
        <v>5</v>
      </c>
      <c r="R789">
        <f>IF(Table1[[#This Row],[rating]]="",2.6,Table1[[#This Row],[rating]])</f>
        <v>5</v>
      </c>
      <c r="S789" t="s">
        <v>31</v>
      </c>
      <c r="T789" t="str">
        <f>TRIM(CLEAN(Table1[[#This Row],[is_active]]))</f>
        <v>N</v>
      </c>
      <c r="U78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89" s="11" t="str">
        <f>TRIM(IF(Table1[[#This Row],[is_active3]]="Unknown","TRUE",Table1[[#This Row],[is_active3]]))</f>
        <v>FALSE</v>
      </c>
      <c r="W789">
        <v>0.97</v>
      </c>
      <c r="X789">
        <f>IF(Table1[[#This Row],[client_satisfaction]]&gt;1,Table1[[#This Row],[client_satisfaction]]/100,Table1[[#This Row],[client_satisfaction]])</f>
        <v>0.97</v>
      </c>
      <c r="Y789">
        <f>IF(Table1[[#This Row],[client_satisfaction2]]=0,0.75,Table1[[#This Row],[client_satisfaction2]])</f>
        <v>0.97</v>
      </c>
    </row>
    <row r="790" spans="1:25" x14ac:dyDescent="0.25">
      <c r="A790" t="s">
        <v>1655</v>
      </c>
      <c r="B790" t="s">
        <v>1656</v>
      </c>
      <c r="C790" t="str">
        <f>PROPER(TRIM(SUBSTITUTE(SUBSTITUTE(SUBSTITUTE(Table1[[#This Row],[name]],"Ms. ",""),"Mr. ",""),"Mrs. ","")))</f>
        <v>Brittany Lambert</v>
      </c>
      <c r="D790" t="s">
        <v>34</v>
      </c>
      <c r="E7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90">
        <v>56</v>
      </c>
      <c r="G790" t="str">
        <f>TRIM(IF(Table1[[#This Row],[age]]="","Unknown",Table1[[#This Row],[age]]))</f>
        <v>56</v>
      </c>
      <c r="H790" t="s">
        <v>139</v>
      </c>
      <c r="I790" t="s">
        <v>140</v>
      </c>
      <c r="J790" t="s">
        <v>30</v>
      </c>
      <c r="K790">
        <v>13</v>
      </c>
      <c r="L790" s="10" t="str">
        <f>TRIM(IF(Table1[[#This Row],[years_of_experience]]="","Unknown",Table1[[#This Row],[years_of_experience]]))</f>
        <v>13</v>
      </c>
      <c r="M790">
        <v>30</v>
      </c>
      <c r="N790">
        <f>IF(Table1[[#This Row],[hourly_rate (USD)]]="",MEDIAN(Table1[hourly_rate (USD)]),Table1[[#This Row],[hourly_rate (USD)]])</f>
        <v>30</v>
      </c>
      <c r="O790" t="str">
        <f>TRIM(CLEAN(Table1[[#This Row],[Updated hourly_rate (USD)]]))</f>
        <v>30</v>
      </c>
      <c r="P790" t="str">
        <f>SUBSTITUTE(SUBSTITUTE(Table1[[#This Row],[Formatted hourly rate]],"USD ",""),"$","")</f>
        <v>30</v>
      </c>
      <c r="Q790">
        <v>0</v>
      </c>
      <c r="R790">
        <f>IF(Table1[[#This Row],[rating]]="",2.6,Table1[[#This Row],[rating]])</f>
        <v>0</v>
      </c>
      <c r="T790" t="str">
        <f>TRIM(CLEAN(Table1[[#This Row],[is_active]]))</f>
        <v/>
      </c>
      <c r="U79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90" s="11" t="str">
        <f>TRIM(IF(Table1[[#This Row],[is_active3]]="Unknown","TRUE",Table1[[#This Row],[is_active3]]))</f>
        <v>TRUE</v>
      </c>
      <c r="W790">
        <v>77</v>
      </c>
      <c r="X790">
        <f>IF(Table1[[#This Row],[client_satisfaction]]&gt;1,Table1[[#This Row],[client_satisfaction]]/100,Table1[[#This Row],[client_satisfaction]])</f>
        <v>0.77</v>
      </c>
      <c r="Y790">
        <f>IF(Table1[[#This Row],[client_satisfaction2]]=0,0.75,Table1[[#This Row],[client_satisfaction2]])</f>
        <v>0.77</v>
      </c>
    </row>
    <row r="791" spans="1:25" x14ac:dyDescent="0.25">
      <c r="A791" t="s">
        <v>1657</v>
      </c>
      <c r="B791" t="s">
        <v>1658</v>
      </c>
      <c r="C791" t="str">
        <f>PROPER(TRIM(SUBSTITUTE(SUBSTITUTE(SUBSTITUTE(Table1[[#This Row],[name]],"Ms. ",""),"Mr. ",""),"Mrs. ","")))</f>
        <v>Mary Hernandez</v>
      </c>
      <c r="D791" t="s">
        <v>39</v>
      </c>
      <c r="E7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91">
        <v>31</v>
      </c>
      <c r="G791" t="str">
        <f>TRIM(IF(Table1[[#This Row],[age]]="","Unknown",Table1[[#This Row],[age]]))</f>
        <v>31</v>
      </c>
      <c r="H791" t="s">
        <v>179</v>
      </c>
      <c r="I791" t="s">
        <v>72</v>
      </c>
      <c r="J791" t="s">
        <v>73</v>
      </c>
      <c r="K791">
        <v>6</v>
      </c>
      <c r="L791" s="10" t="str">
        <f>TRIM(IF(Table1[[#This Row],[years_of_experience]]="","Unknown",Table1[[#This Row],[years_of_experience]]))</f>
        <v>6</v>
      </c>
      <c r="N791">
        <f>IF(Table1[[#This Row],[hourly_rate (USD)]]="",MEDIAN(Table1[hourly_rate (USD)]),Table1[[#This Row],[hourly_rate (USD)]])</f>
        <v>50</v>
      </c>
      <c r="O791" t="str">
        <f>TRIM(CLEAN(Table1[[#This Row],[Updated hourly_rate (USD)]]))</f>
        <v>50</v>
      </c>
      <c r="P791" t="str">
        <f>SUBSTITUTE(SUBSTITUTE(Table1[[#This Row],[Formatted hourly rate]],"USD ",""),"$","")</f>
        <v>50</v>
      </c>
      <c r="Q791">
        <v>3.5</v>
      </c>
      <c r="R791">
        <f>IF(Table1[[#This Row],[rating]]="",2.6,Table1[[#This Row],[rating]])</f>
        <v>3.5</v>
      </c>
      <c r="S791" t="s">
        <v>159</v>
      </c>
      <c r="T791" t="str">
        <f>TRIM(CLEAN(Table1[[#This Row],[is_active]]))</f>
        <v>no</v>
      </c>
      <c r="U79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91" s="11" t="str">
        <f>TRIM(IF(Table1[[#This Row],[is_active3]]="Unknown","TRUE",Table1[[#This Row],[is_active3]]))</f>
        <v>FALSE</v>
      </c>
      <c r="W791">
        <v>0.86</v>
      </c>
      <c r="X791">
        <f>IF(Table1[[#This Row],[client_satisfaction]]&gt;1,Table1[[#This Row],[client_satisfaction]]/100,Table1[[#This Row],[client_satisfaction]])</f>
        <v>0.86</v>
      </c>
      <c r="Y791">
        <f>IF(Table1[[#This Row],[client_satisfaction2]]=0,0.75,Table1[[#This Row],[client_satisfaction2]])</f>
        <v>0.86</v>
      </c>
    </row>
    <row r="792" spans="1:25" x14ac:dyDescent="0.25">
      <c r="A792" t="s">
        <v>1659</v>
      </c>
      <c r="B792" t="s">
        <v>1660</v>
      </c>
      <c r="C792" t="str">
        <f>PROPER(TRIM(SUBSTITUTE(SUBSTITUTE(SUBSTITUTE(Table1[[#This Row],[name]],"Ms. ",""),"Mr. ",""),"Mrs. ","")))</f>
        <v>Jonathan Jones</v>
      </c>
      <c r="D792" t="s">
        <v>92</v>
      </c>
      <c r="E7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92">
        <v>24</v>
      </c>
      <c r="G792" t="str">
        <f>TRIM(IF(Table1[[#This Row],[age]]="","Unknown",Table1[[#This Row],[age]]))</f>
        <v>24</v>
      </c>
      <c r="H792" t="s">
        <v>58</v>
      </c>
      <c r="I792" t="s">
        <v>22</v>
      </c>
      <c r="J792" t="s">
        <v>78</v>
      </c>
      <c r="K792">
        <v>4</v>
      </c>
      <c r="L792" s="10" t="str">
        <f>TRIM(IF(Table1[[#This Row],[years_of_experience]]="","Unknown",Table1[[#This Row],[years_of_experience]]))</f>
        <v>4</v>
      </c>
      <c r="M792">
        <v>50</v>
      </c>
      <c r="N792">
        <f>IF(Table1[[#This Row],[hourly_rate (USD)]]="",MEDIAN(Table1[hourly_rate (USD)]),Table1[[#This Row],[hourly_rate (USD)]])</f>
        <v>50</v>
      </c>
      <c r="O792" t="str">
        <f>TRIM(CLEAN(Table1[[#This Row],[Updated hourly_rate (USD)]]))</f>
        <v>50</v>
      </c>
      <c r="P792" t="str">
        <f>SUBSTITUTE(SUBSTITUTE(Table1[[#This Row],[Formatted hourly rate]],"USD ",""),"$","")</f>
        <v>50</v>
      </c>
      <c r="Q792">
        <v>3.1</v>
      </c>
      <c r="R792">
        <f>IF(Table1[[#This Row],[rating]]="",2.6,Table1[[#This Row],[rating]])</f>
        <v>3.1</v>
      </c>
      <c r="S792" t="b">
        <v>0</v>
      </c>
      <c r="T792" t="str">
        <f>TRIM(CLEAN(Table1[[#This Row],[is_active]]))</f>
        <v>FALSE</v>
      </c>
      <c r="U79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92" s="11" t="str">
        <f>TRIM(IF(Table1[[#This Row],[is_active3]]="Unknown","TRUE",Table1[[#This Row],[is_active3]]))</f>
        <v>TRUE</v>
      </c>
      <c r="W792">
        <v>0.95</v>
      </c>
      <c r="X792">
        <f>IF(Table1[[#This Row],[client_satisfaction]]&gt;1,Table1[[#This Row],[client_satisfaction]]/100,Table1[[#This Row],[client_satisfaction]])</f>
        <v>0.95</v>
      </c>
      <c r="Y792">
        <f>IF(Table1[[#This Row],[client_satisfaction2]]=0,0.75,Table1[[#This Row],[client_satisfaction2]])</f>
        <v>0.95</v>
      </c>
    </row>
    <row r="793" spans="1:25" x14ac:dyDescent="0.25">
      <c r="A793" t="s">
        <v>1661</v>
      </c>
      <c r="B793" t="s">
        <v>1662</v>
      </c>
      <c r="C793" t="str">
        <f>PROPER(TRIM(SUBSTITUTE(SUBSTITUTE(SUBSTITUTE(Table1[[#This Row],[name]],"Ms. ",""),"Mr. ",""),"Mrs. ","")))</f>
        <v>Gina Williams</v>
      </c>
      <c r="D793" t="s">
        <v>20</v>
      </c>
      <c r="E7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93">
        <v>35</v>
      </c>
      <c r="G793" t="str">
        <f>TRIM(IF(Table1[[#This Row],[age]]="","Unknown",Table1[[#This Row],[age]]))</f>
        <v>35</v>
      </c>
      <c r="H793" t="s">
        <v>107</v>
      </c>
      <c r="I793" t="s">
        <v>108</v>
      </c>
      <c r="J793" t="s">
        <v>78</v>
      </c>
      <c r="K793">
        <v>7</v>
      </c>
      <c r="L793" s="10" t="str">
        <f>TRIM(IF(Table1[[#This Row],[years_of_experience]]="","Unknown",Table1[[#This Row],[years_of_experience]]))</f>
        <v>7</v>
      </c>
      <c r="N793">
        <f>IF(Table1[[#This Row],[hourly_rate (USD)]]="",MEDIAN(Table1[hourly_rate (USD)]),Table1[[#This Row],[hourly_rate (USD)]])</f>
        <v>50</v>
      </c>
      <c r="O793" t="str">
        <f>TRIM(CLEAN(Table1[[#This Row],[Updated hourly_rate (USD)]]))</f>
        <v>50</v>
      </c>
      <c r="P793" t="str">
        <f>SUBSTITUTE(SUBSTITUTE(Table1[[#This Row],[Formatted hourly rate]],"USD ",""),"$","")</f>
        <v>50</v>
      </c>
      <c r="Q793">
        <v>3.9</v>
      </c>
      <c r="R793">
        <f>IF(Table1[[#This Row],[rating]]="",2.6,Table1[[#This Row],[rating]])</f>
        <v>3.9</v>
      </c>
      <c r="S793">
        <v>0</v>
      </c>
      <c r="T793" t="str">
        <f>TRIM(CLEAN(Table1[[#This Row],[is_active]]))</f>
        <v>0</v>
      </c>
      <c r="U7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93" s="11" t="str">
        <f>TRIM(IF(Table1[[#This Row],[is_active3]]="Unknown","TRUE",Table1[[#This Row],[is_active3]]))</f>
        <v>FALSE</v>
      </c>
      <c r="W793">
        <v>0.72</v>
      </c>
      <c r="X793">
        <f>IF(Table1[[#This Row],[client_satisfaction]]&gt;1,Table1[[#This Row],[client_satisfaction]]/100,Table1[[#This Row],[client_satisfaction]])</f>
        <v>0.72</v>
      </c>
      <c r="Y793">
        <f>IF(Table1[[#This Row],[client_satisfaction2]]=0,0.75,Table1[[#This Row],[client_satisfaction2]])</f>
        <v>0.72</v>
      </c>
    </row>
    <row r="794" spans="1:25" x14ac:dyDescent="0.25">
      <c r="A794" t="s">
        <v>1663</v>
      </c>
      <c r="B794" t="s">
        <v>1664</v>
      </c>
      <c r="C794" t="str">
        <f>PROPER(TRIM(SUBSTITUTE(SUBSTITUTE(SUBSTITUTE(Table1[[#This Row],[name]],"Ms. ",""),"Mr. ",""),"Mrs. ","")))</f>
        <v>Kelly Lawson</v>
      </c>
      <c r="D794" t="s">
        <v>20</v>
      </c>
      <c r="E7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94">
        <v>20</v>
      </c>
      <c r="G794" t="str">
        <f>TRIM(IF(Table1[[#This Row],[age]]="","Unknown",Table1[[#This Row],[age]]))</f>
        <v>20</v>
      </c>
      <c r="H794" t="s">
        <v>190</v>
      </c>
      <c r="I794" t="s">
        <v>72</v>
      </c>
      <c r="J794" t="s">
        <v>44</v>
      </c>
      <c r="K794">
        <v>1</v>
      </c>
      <c r="L794" s="10" t="str">
        <f>TRIM(IF(Table1[[#This Row],[years_of_experience]]="","Unknown",Table1[[#This Row],[years_of_experience]]))</f>
        <v>1</v>
      </c>
      <c r="N794">
        <f>IF(Table1[[#This Row],[hourly_rate (USD)]]="",MEDIAN(Table1[hourly_rate (USD)]),Table1[[#This Row],[hourly_rate (USD)]])</f>
        <v>50</v>
      </c>
      <c r="O794" t="str">
        <f>TRIM(CLEAN(Table1[[#This Row],[Updated hourly_rate (USD)]]))</f>
        <v>50</v>
      </c>
      <c r="P794" t="str">
        <f>SUBSTITUTE(SUBSTITUTE(Table1[[#This Row],[Formatted hourly rate]],"USD ",""),"$","")</f>
        <v>50</v>
      </c>
      <c r="Q794">
        <v>3.5</v>
      </c>
      <c r="R794">
        <f>IF(Table1[[#This Row],[rating]]="",2.6,Table1[[#This Row],[rating]])</f>
        <v>3.5</v>
      </c>
      <c r="S794">
        <v>0</v>
      </c>
      <c r="T794" t="str">
        <f>TRIM(CLEAN(Table1[[#This Row],[is_active]]))</f>
        <v>0</v>
      </c>
      <c r="U79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794" s="11" t="str">
        <f>TRIM(IF(Table1[[#This Row],[is_active3]]="Unknown","TRUE",Table1[[#This Row],[is_active3]]))</f>
        <v>FALSE</v>
      </c>
      <c r="W794">
        <v>0.71</v>
      </c>
      <c r="X794">
        <f>IF(Table1[[#This Row],[client_satisfaction]]&gt;1,Table1[[#This Row],[client_satisfaction]]/100,Table1[[#This Row],[client_satisfaction]])</f>
        <v>0.71</v>
      </c>
      <c r="Y794">
        <f>IF(Table1[[#This Row],[client_satisfaction2]]=0,0.75,Table1[[#This Row],[client_satisfaction2]])</f>
        <v>0.71</v>
      </c>
    </row>
    <row r="795" spans="1:25" x14ac:dyDescent="0.25">
      <c r="A795" t="s">
        <v>1665</v>
      </c>
      <c r="B795" t="s">
        <v>1666</v>
      </c>
      <c r="C795" t="str">
        <f>PROPER(TRIM(SUBSTITUTE(SUBSTITUTE(SUBSTITUTE(Table1[[#This Row],[name]],"Ms. ",""),"Mr. ",""),"Mrs. ","")))</f>
        <v>Keith Smith</v>
      </c>
      <c r="D795" t="s">
        <v>97</v>
      </c>
      <c r="E7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95">
        <v>26</v>
      </c>
      <c r="G795" t="str">
        <f>TRIM(IF(Table1[[#This Row],[age]]="","Unknown",Table1[[#This Row],[age]]))</f>
        <v>26</v>
      </c>
      <c r="H795" t="s">
        <v>21</v>
      </c>
      <c r="I795" t="s">
        <v>22</v>
      </c>
      <c r="J795" t="s">
        <v>51</v>
      </c>
      <c r="K795">
        <v>5</v>
      </c>
      <c r="L795" s="10" t="str">
        <f>TRIM(IF(Table1[[#This Row],[years_of_experience]]="","Unknown",Table1[[#This Row],[years_of_experience]]))</f>
        <v>5</v>
      </c>
      <c r="M795" t="s">
        <v>229</v>
      </c>
      <c r="N795" t="str">
        <f>IF(Table1[[#This Row],[hourly_rate (USD)]]="",MEDIAN(Table1[hourly_rate (USD)]),Table1[[#This Row],[hourly_rate (USD)]])</f>
        <v>$100</v>
      </c>
      <c r="O795" t="str">
        <f>TRIM(CLEAN(Table1[[#This Row],[Updated hourly_rate (USD)]]))</f>
        <v>$100</v>
      </c>
      <c r="P795" t="str">
        <f>SUBSTITUTE(SUBSTITUTE(Table1[[#This Row],[Formatted hourly rate]],"USD ",""),"$","")</f>
        <v>100</v>
      </c>
      <c r="Q795">
        <v>2.5</v>
      </c>
      <c r="R795">
        <f>IF(Table1[[#This Row],[rating]]="",2.6,Table1[[#This Row],[rating]])</f>
        <v>2.5</v>
      </c>
      <c r="S795" t="b">
        <v>1</v>
      </c>
      <c r="T795" t="str">
        <f>TRIM(CLEAN(Table1[[#This Row],[is_active]]))</f>
        <v>TRUE</v>
      </c>
      <c r="U79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95" s="11" t="str">
        <f>TRIM(IF(Table1[[#This Row],[is_active3]]="Unknown","TRUE",Table1[[#This Row],[is_active3]]))</f>
        <v>TRUE</v>
      </c>
      <c r="W795">
        <v>0.93</v>
      </c>
      <c r="X795">
        <f>IF(Table1[[#This Row],[client_satisfaction]]&gt;1,Table1[[#This Row],[client_satisfaction]]/100,Table1[[#This Row],[client_satisfaction]])</f>
        <v>0.93</v>
      </c>
      <c r="Y795">
        <f>IF(Table1[[#This Row],[client_satisfaction2]]=0,0.75,Table1[[#This Row],[client_satisfaction2]])</f>
        <v>0.93</v>
      </c>
    </row>
    <row r="796" spans="1:25" x14ac:dyDescent="0.25">
      <c r="A796" t="s">
        <v>1667</v>
      </c>
      <c r="B796" t="s">
        <v>1668</v>
      </c>
      <c r="C796" t="str">
        <f>PROPER(TRIM(SUBSTITUTE(SUBSTITUTE(SUBSTITUTE(Table1[[#This Row],[name]],"Ms. ",""),"Mr. ",""),"Mrs. ","")))</f>
        <v>Christopher Hunter</v>
      </c>
      <c r="D796" t="s">
        <v>92</v>
      </c>
      <c r="E7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96">
        <v>54</v>
      </c>
      <c r="G796" t="str">
        <f>TRIM(IF(Table1[[#This Row],[age]]="","Unknown",Table1[[#This Row],[age]]))</f>
        <v>54</v>
      </c>
      <c r="H796" t="s">
        <v>67</v>
      </c>
      <c r="I796" t="s">
        <v>22</v>
      </c>
      <c r="J796" t="s">
        <v>89</v>
      </c>
      <c r="K796">
        <v>29</v>
      </c>
      <c r="L796" s="10" t="str">
        <f>TRIM(IF(Table1[[#This Row],[years_of_experience]]="","Unknown",Table1[[#This Row],[years_of_experience]]))</f>
        <v>29</v>
      </c>
      <c r="M796" t="s">
        <v>55</v>
      </c>
      <c r="N796" t="str">
        <f>IF(Table1[[#This Row],[hourly_rate (USD)]]="",MEDIAN(Table1[hourly_rate (USD)]),Table1[[#This Row],[hourly_rate (USD)]])</f>
        <v>USD 40</v>
      </c>
      <c r="O796" t="str">
        <f>TRIM(CLEAN(Table1[[#This Row],[Updated hourly_rate (USD)]]))</f>
        <v>USD 40</v>
      </c>
      <c r="P796" t="str">
        <f>SUBSTITUTE(SUBSTITUTE(Table1[[#This Row],[Formatted hourly rate]],"USD ",""),"$","")</f>
        <v>40</v>
      </c>
      <c r="Q796">
        <v>3.1</v>
      </c>
      <c r="R796">
        <f>IF(Table1[[#This Row],[rating]]="",2.6,Table1[[#This Row],[rating]])</f>
        <v>3.1</v>
      </c>
      <c r="S796">
        <v>1</v>
      </c>
      <c r="T796" t="str">
        <f>TRIM(CLEAN(Table1[[#This Row],[is_active]]))</f>
        <v>1</v>
      </c>
      <c r="U7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96" s="11" t="str">
        <f>TRIM(IF(Table1[[#This Row],[is_active3]]="Unknown","TRUE",Table1[[#This Row],[is_active3]]))</f>
        <v>TRUE</v>
      </c>
      <c r="X796">
        <f>IF(Table1[[#This Row],[client_satisfaction]]&gt;1,Table1[[#This Row],[client_satisfaction]]/100,Table1[[#This Row],[client_satisfaction]])</f>
        <v>0</v>
      </c>
      <c r="Y796">
        <f>IF(Table1[[#This Row],[client_satisfaction2]]=0,0.75,Table1[[#This Row],[client_satisfaction2]])</f>
        <v>0.75</v>
      </c>
    </row>
    <row r="797" spans="1:25" x14ac:dyDescent="0.25">
      <c r="A797" t="s">
        <v>1669</v>
      </c>
      <c r="B797" t="s">
        <v>1670</v>
      </c>
      <c r="C797" t="str">
        <f>PROPER(TRIM(SUBSTITUTE(SUBSTITUTE(SUBSTITUTE(Table1[[#This Row],[name]],"Ms. ",""),"Mr. ",""),"Mrs. ","")))</f>
        <v>Dwayne Parks</v>
      </c>
      <c r="D797" t="s">
        <v>48</v>
      </c>
      <c r="E7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97">
        <v>53</v>
      </c>
      <c r="G797" t="str">
        <f>TRIM(IF(Table1[[#This Row],[age]]="","Unknown",Table1[[#This Row],[age]]))</f>
        <v>53</v>
      </c>
      <c r="H797" t="s">
        <v>124</v>
      </c>
      <c r="I797" t="s">
        <v>125</v>
      </c>
      <c r="J797" t="s">
        <v>78</v>
      </c>
      <c r="K797">
        <v>12</v>
      </c>
      <c r="L797" s="10" t="str">
        <f>TRIM(IF(Table1[[#This Row],[years_of_experience]]="","Unknown",Table1[[#This Row],[years_of_experience]]))</f>
        <v>12</v>
      </c>
      <c r="M797">
        <v>100</v>
      </c>
      <c r="N797">
        <f>IF(Table1[[#This Row],[hourly_rate (USD)]]="",MEDIAN(Table1[hourly_rate (USD)]),Table1[[#This Row],[hourly_rate (USD)]])</f>
        <v>100</v>
      </c>
      <c r="O797" t="str">
        <f>TRIM(CLEAN(Table1[[#This Row],[Updated hourly_rate (USD)]]))</f>
        <v>100</v>
      </c>
      <c r="P797" t="str">
        <f>SUBSTITUTE(SUBSTITUTE(Table1[[#This Row],[Formatted hourly rate]],"USD ",""),"$","")</f>
        <v>100</v>
      </c>
      <c r="Q797">
        <v>4.7</v>
      </c>
      <c r="R797">
        <f>IF(Table1[[#This Row],[rating]]="",2.6,Table1[[#This Row],[rating]])</f>
        <v>4.7</v>
      </c>
      <c r="S797">
        <v>1</v>
      </c>
      <c r="T797" t="str">
        <f>TRIM(CLEAN(Table1[[#This Row],[is_active]]))</f>
        <v>1</v>
      </c>
      <c r="U79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97" s="11" t="str">
        <f>TRIM(IF(Table1[[#This Row],[is_active3]]="Unknown","TRUE",Table1[[#This Row],[is_active3]]))</f>
        <v>TRUE</v>
      </c>
      <c r="W797">
        <v>0.87</v>
      </c>
      <c r="X797">
        <f>IF(Table1[[#This Row],[client_satisfaction]]&gt;1,Table1[[#This Row],[client_satisfaction]]/100,Table1[[#This Row],[client_satisfaction]])</f>
        <v>0.87</v>
      </c>
      <c r="Y797">
        <f>IF(Table1[[#This Row],[client_satisfaction2]]=0,0.75,Table1[[#This Row],[client_satisfaction2]])</f>
        <v>0.87</v>
      </c>
    </row>
    <row r="798" spans="1:25" x14ac:dyDescent="0.25">
      <c r="A798" t="s">
        <v>1671</v>
      </c>
      <c r="B798" t="s">
        <v>1672</v>
      </c>
      <c r="C798" t="str">
        <f>PROPER(TRIM(SUBSTITUTE(SUBSTITUTE(SUBSTITUTE(Table1[[#This Row],[name]],"Ms. ",""),"Mr. ",""),"Mrs. ","")))</f>
        <v>Mary Hall</v>
      </c>
      <c r="D798" t="s">
        <v>77</v>
      </c>
      <c r="E7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798">
        <v>33</v>
      </c>
      <c r="G798" t="str">
        <f>TRIM(IF(Table1[[#This Row],[age]]="","Unknown",Table1[[#This Row],[age]]))</f>
        <v>33</v>
      </c>
      <c r="H798" t="s">
        <v>128</v>
      </c>
      <c r="I798" t="s">
        <v>22</v>
      </c>
      <c r="J798" t="s">
        <v>89</v>
      </c>
      <c r="K798">
        <v>4</v>
      </c>
      <c r="L798" s="10" t="str">
        <f>TRIM(IF(Table1[[#This Row],[years_of_experience]]="","Unknown",Table1[[#This Row],[years_of_experience]]))</f>
        <v>4</v>
      </c>
      <c r="N798">
        <f>IF(Table1[[#This Row],[hourly_rate (USD)]]="",MEDIAN(Table1[hourly_rate (USD)]),Table1[[#This Row],[hourly_rate (USD)]])</f>
        <v>50</v>
      </c>
      <c r="O798" t="str">
        <f>TRIM(CLEAN(Table1[[#This Row],[Updated hourly_rate (USD)]]))</f>
        <v>50</v>
      </c>
      <c r="P798" t="str">
        <f>SUBSTITUTE(SUBSTITUTE(Table1[[#This Row],[Formatted hourly rate]],"USD ",""),"$","")</f>
        <v>50</v>
      </c>
      <c r="Q798">
        <v>1.9</v>
      </c>
      <c r="R798">
        <f>IF(Table1[[#This Row],[rating]]="",2.6,Table1[[#This Row],[rating]])</f>
        <v>1.9</v>
      </c>
      <c r="S798" t="b">
        <v>0</v>
      </c>
      <c r="T798" t="str">
        <f>TRIM(CLEAN(Table1[[#This Row],[is_active]]))</f>
        <v>FALSE</v>
      </c>
      <c r="U79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798" s="11" t="str">
        <f>TRIM(IF(Table1[[#This Row],[is_active3]]="Unknown","TRUE",Table1[[#This Row],[is_active3]]))</f>
        <v>TRUE</v>
      </c>
      <c r="W798">
        <v>73</v>
      </c>
      <c r="X798">
        <f>IF(Table1[[#This Row],[client_satisfaction]]&gt;1,Table1[[#This Row],[client_satisfaction]]/100,Table1[[#This Row],[client_satisfaction]])</f>
        <v>0.73</v>
      </c>
      <c r="Y798">
        <f>IF(Table1[[#This Row],[client_satisfaction2]]=0,0.75,Table1[[#This Row],[client_satisfaction2]])</f>
        <v>0.73</v>
      </c>
    </row>
    <row r="799" spans="1:25" x14ac:dyDescent="0.25">
      <c r="A799" t="s">
        <v>1673</v>
      </c>
      <c r="B799" t="s">
        <v>1674</v>
      </c>
      <c r="C799" t="str">
        <f>PROPER(TRIM(SUBSTITUTE(SUBSTITUTE(SUBSTITUTE(Table1[[#This Row],[name]],"Ms. ",""),"Mr. ",""),"Mrs. ","")))</f>
        <v>Jake Gilmore</v>
      </c>
      <c r="D799" t="s">
        <v>48</v>
      </c>
      <c r="E7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799">
        <v>43</v>
      </c>
      <c r="G799" t="str">
        <f>TRIM(IF(Table1[[#This Row],[age]]="","Unknown",Table1[[#This Row],[age]]))</f>
        <v>43</v>
      </c>
      <c r="H799" t="s">
        <v>42</v>
      </c>
      <c r="I799" t="s">
        <v>43</v>
      </c>
      <c r="J799" t="s">
        <v>35</v>
      </c>
      <c r="K799">
        <v>12</v>
      </c>
      <c r="L799" s="10" t="str">
        <f>TRIM(IF(Table1[[#This Row],[years_of_experience]]="","Unknown",Table1[[#This Row],[years_of_experience]]))</f>
        <v>12</v>
      </c>
      <c r="N799">
        <f>IF(Table1[[#This Row],[hourly_rate (USD)]]="",MEDIAN(Table1[hourly_rate (USD)]),Table1[[#This Row],[hourly_rate (USD)]])</f>
        <v>50</v>
      </c>
      <c r="O799" t="str">
        <f>TRIM(CLEAN(Table1[[#This Row],[Updated hourly_rate (USD)]]))</f>
        <v>50</v>
      </c>
      <c r="P799" t="str">
        <f>SUBSTITUTE(SUBSTITUTE(Table1[[#This Row],[Formatted hourly rate]],"USD ",""),"$","")</f>
        <v>50</v>
      </c>
      <c r="Q799">
        <v>1.6</v>
      </c>
      <c r="R799">
        <f>IF(Table1[[#This Row],[rating]]="",2.6,Table1[[#This Row],[rating]])</f>
        <v>1.6</v>
      </c>
      <c r="S799">
        <v>1</v>
      </c>
      <c r="T799" t="str">
        <f>TRIM(CLEAN(Table1[[#This Row],[is_active]]))</f>
        <v>1</v>
      </c>
      <c r="U79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799" s="11" t="str">
        <f>TRIM(IF(Table1[[#This Row],[is_active3]]="Unknown","TRUE",Table1[[#This Row],[is_active3]]))</f>
        <v>TRUE</v>
      </c>
      <c r="W799">
        <v>0.74</v>
      </c>
      <c r="X799">
        <f>IF(Table1[[#This Row],[client_satisfaction]]&gt;1,Table1[[#This Row],[client_satisfaction]]/100,Table1[[#This Row],[client_satisfaction]])</f>
        <v>0.74</v>
      </c>
      <c r="Y799">
        <f>IF(Table1[[#This Row],[client_satisfaction2]]=0,0.75,Table1[[#This Row],[client_satisfaction2]])</f>
        <v>0.74</v>
      </c>
    </row>
    <row r="800" spans="1:25" x14ac:dyDescent="0.25">
      <c r="A800" t="s">
        <v>1675</v>
      </c>
      <c r="B800" t="s">
        <v>1676</v>
      </c>
      <c r="C800" t="str">
        <f>PROPER(TRIM(SUBSTITUTE(SUBSTITUTE(SUBSTITUTE(Table1[[#This Row],[name]],"Ms. ",""),"Mr. ",""),"Mrs. ","")))</f>
        <v>Mark Lopez</v>
      </c>
      <c r="D800" t="s">
        <v>92</v>
      </c>
      <c r="E8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00">
        <v>37</v>
      </c>
      <c r="G800" t="str">
        <f>TRIM(IF(Table1[[#This Row],[age]]="","Unknown",Table1[[#This Row],[age]]))</f>
        <v>37</v>
      </c>
      <c r="H800" t="s">
        <v>128</v>
      </c>
      <c r="I800" t="s">
        <v>22</v>
      </c>
      <c r="J800" t="s">
        <v>89</v>
      </c>
      <c r="K800">
        <v>3</v>
      </c>
      <c r="L800" s="10" t="str">
        <f>TRIM(IF(Table1[[#This Row],[years_of_experience]]="","Unknown",Table1[[#This Row],[years_of_experience]]))</f>
        <v>3</v>
      </c>
      <c r="M800">
        <v>20</v>
      </c>
      <c r="N800">
        <f>IF(Table1[[#This Row],[hourly_rate (USD)]]="",MEDIAN(Table1[hourly_rate (USD)]),Table1[[#This Row],[hourly_rate (USD)]])</f>
        <v>20</v>
      </c>
      <c r="O800" t="str">
        <f>TRIM(CLEAN(Table1[[#This Row],[Updated hourly_rate (USD)]]))</f>
        <v>20</v>
      </c>
      <c r="P800" t="str">
        <f>SUBSTITUTE(SUBSTITUTE(Table1[[#This Row],[Formatted hourly rate]],"USD ",""),"$","")</f>
        <v>20</v>
      </c>
      <c r="Q800">
        <v>2.5</v>
      </c>
      <c r="R800">
        <f>IF(Table1[[#This Row],[rating]]="",2.6,Table1[[#This Row],[rating]])</f>
        <v>2.5</v>
      </c>
      <c r="S800" t="s">
        <v>31</v>
      </c>
      <c r="T800" t="str">
        <f>TRIM(CLEAN(Table1[[#This Row],[is_active]]))</f>
        <v>N</v>
      </c>
      <c r="U8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00" s="11" t="str">
        <f>TRIM(IF(Table1[[#This Row],[is_active3]]="Unknown","TRUE",Table1[[#This Row],[is_active3]]))</f>
        <v>FALSE</v>
      </c>
      <c r="W800">
        <v>0.62</v>
      </c>
      <c r="X800">
        <f>IF(Table1[[#This Row],[client_satisfaction]]&gt;1,Table1[[#This Row],[client_satisfaction]]/100,Table1[[#This Row],[client_satisfaction]])</f>
        <v>0.62</v>
      </c>
      <c r="Y800">
        <f>IF(Table1[[#This Row],[client_satisfaction2]]=0,0.75,Table1[[#This Row],[client_satisfaction2]])</f>
        <v>0.62</v>
      </c>
    </row>
    <row r="801" spans="1:25" x14ac:dyDescent="0.25">
      <c r="A801" t="s">
        <v>1677</v>
      </c>
      <c r="B801" t="s">
        <v>1678</v>
      </c>
      <c r="C801" t="str">
        <f>PROPER(TRIM(SUBSTITUTE(SUBSTITUTE(SUBSTITUTE(Table1[[#This Row],[name]],"Ms. ",""),"Mr. ",""),"Mrs. ","")))</f>
        <v>Dana Rice</v>
      </c>
      <c r="D801" t="s">
        <v>39</v>
      </c>
      <c r="E8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01">
        <v>58</v>
      </c>
      <c r="G801" t="str">
        <f>TRIM(IF(Table1[[#This Row],[age]]="","Unknown",Table1[[#This Row],[age]]))</f>
        <v>58</v>
      </c>
      <c r="H801" t="s">
        <v>135</v>
      </c>
      <c r="I801" t="s">
        <v>136</v>
      </c>
      <c r="J801" t="s">
        <v>51</v>
      </c>
      <c r="K801">
        <v>15</v>
      </c>
      <c r="L801" s="10" t="str">
        <f>TRIM(IF(Table1[[#This Row],[years_of_experience]]="","Unknown",Table1[[#This Row],[years_of_experience]]))</f>
        <v>15</v>
      </c>
      <c r="M801">
        <v>20</v>
      </c>
      <c r="N801">
        <f>IF(Table1[[#This Row],[hourly_rate (USD)]]="",MEDIAN(Table1[hourly_rate (USD)]),Table1[[#This Row],[hourly_rate (USD)]])</f>
        <v>20</v>
      </c>
      <c r="O801" t="str">
        <f>TRIM(CLEAN(Table1[[#This Row],[Updated hourly_rate (USD)]]))</f>
        <v>20</v>
      </c>
      <c r="P801" t="str">
        <f>SUBSTITUTE(SUBSTITUTE(Table1[[#This Row],[Formatted hourly rate]],"USD ",""),"$","")</f>
        <v>20</v>
      </c>
      <c r="Q801">
        <v>3.5</v>
      </c>
      <c r="R801">
        <f>IF(Table1[[#This Row],[rating]]="",2.6,Table1[[#This Row],[rating]])</f>
        <v>3.5</v>
      </c>
      <c r="T801" t="str">
        <f>TRIM(CLEAN(Table1[[#This Row],[is_active]]))</f>
        <v/>
      </c>
      <c r="U80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01" s="11" t="str">
        <f>TRIM(IF(Table1[[#This Row],[is_active3]]="Unknown","TRUE",Table1[[#This Row],[is_active3]]))</f>
        <v>TRUE</v>
      </c>
      <c r="W801">
        <v>0.98</v>
      </c>
      <c r="X801">
        <f>IF(Table1[[#This Row],[client_satisfaction]]&gt;1,Table1[[#This Row],[client_satisfaction]]/100,Table1[[#This Row],[client_satisfaction]])</f>
        <v>0.98</v>
      </c>
      <c r="Y801">
        <f>IF(Table1[[#This Row],[client_satisfaction2]]=0,0.75,Table1[[#This Row],[client_satisfaction2]])</f>
        <v>0.98</v>
      </c>
    </row>
    <row r="802" spans="1:25" x14ac:dyDescent="0.25">
      <c r="A802" t="s">
        <v>1679</v>
      </c>
      <c r="B802" t="s">
        <v>1680</v>
      </c>
      <c r="C802" t="str">
        <f>PROPER(TRIM(SUBSTITUTE(SUBSTITUTE(SUBSTITUTE(Table1[[#This Row],[name]],"Ms. ",""),"Mr. ",""),"Mrs. ","")))</f>
        <v>Beth Young</v>
      </c>
      <c r="D802" t="s">
        <v>20</v>
      </c>
      <c r="E8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02">
        <v>39</v>
      </c>
      <c r="G802" t="str">
        <f>TRIM(IF(Table1[[#This Row],[age]]="","Unknown",Table1[[#This Row],[age]]))</f>
        <v>39</v>
      </c>
      <c r="H802" t="s">
        <v>190</v>
      </c>
      <c r="I802" t="s">
        <v>72</v>
      </c>
      <c r="J802" t="s">
        <v>23</v>
      </c>
      <c r="K802">
        <v>15</v>
      </c>
      <c r="L802" s="10" t="str">
        <f>TRIM(IF(Table1[[#This Row],[years_of_experience]]="","Unknown",Table1[[#This Row],[years_of_experience]]))</f>
        <v>15</v>
      </c>
      <c r="M802">
        <v>50</v>
      </c>
      <c r="N802">
        <f>IF(Table1[[#This Row],[hourly_rate (USD)]]="",MEDIAN(Table1[hourly_rate (USD)]),Table1[[#This Row],[hourly_rate (USD)]])</f>
        <v>50</v>
      </c>
      <c r="O802" t="str">
        <f>TRIM(CLEAN(Table1[[#This Row],[Updated hourly_rate (USD)]]))</f>
        <v>50</v>
      </c>
      <c r="P802" t="str">
        <f>SUBSTITUTE(SUBSTITUTE(Table1[[#This Row],[Formatted hourly rate]],"USD ",""),"$","")</f>
        <v>50</v>
      </c>
      <c r="R802">
        <f>IF(Table1[[#This Row],[rating]]="",2.6,Table1[[#This Row],[rating]])</f>
        <v>2.6</v>
      </c>
      <c r="S802">
        <v>0</v>
      </c>
      <c r="T802" t="str">
        <f>TRIM(CLEAN(Table1[[#This Row],[is_active]]))</f>
        <v>0</v>
      </c>
      <c r="U80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02" s="11" t="str">
        <f>TRIM(IF(Table1[[#This Row],[is_active3]]="Unknown","TRUE",Table1[[#This Row],[is_active3]]))</f>
        <v>FALSE</v>
      </c>
      <c r="W802">
        <v>0.8</v>
      </c>
      <c r="X802">
        <f>IF(Table1[[#This Row],[client_satisfaction]]&gt;1,Table1[[#This Row],[client_satisfaction]]/100,Table1[[#This Row],[client_satisfaction]])</f>
        <v>0.8</v>
      </c>
      <c r="Y802">
        <f>IF(Table1[[#This Row],[client_satisfaction2]]=0,0.75,Table1[[#This Row],[client_satisfaction2]])</f>
        <v>0.8</v>
      </c>
    </row>
    <row r="803" spans="1:25" x14ac:dyDescent="0.25">
      <c r="A803" t="s">
        <v>1681</v>
      </c>
      <c r="B803" t="s">
        <v>1682</v>
      </c>
      <c r="C803" t="str">
        <f>PROPER(TRIM(SUBSTITUTE(SUBSTITUTE(SUBSTITUTE(Table1[[#This Row],[name]],"Ms. ",""),"Mr. ",""),"Mrs. ","")))</f>
        <v>Ryan Powell</v>
      </c>
      <c r="D803" t="s">
        <v>27</v>
      </c>
      <c r="E8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03">
        <v>43</v>
      </c>
      <c r="G803" t="str">
        <f>TRIM(IF(Table1[[#This Row],[age]]="","Unknown",Table1[[#This Row],[age]]))</f>
        <v>43</v>
      </c>
      <c r="H803" t="s">
        <v>62</v>
      </c>
      <c r="I803" t="s">
        <v>63</v>
      </c>
      <c r="J803" t="s">
        <v>30</v>
      </c>
      <c r="K803">
        <v>13</v>
      </c>
      <c r="L803" s="10" t="str">
        <f>TRIM(IF(Table1[[#This Row],[years_of_experience]]="","Unknown",Table1[[#This Row],[years_of_experience]]))</f>
        <v>13</v>
      </c>
      <c r="M803" t="s">
        <v>314</v>
      </c>
      <c r="N803" t="str">
        <f>IF(Table1[[#This Row],[hourly_rate (USD)]]="",MEDIAN(Table1[hourly_rate (USD)]),Table1[[#This Row],[hourly_rate (USD)]])</f>
        <v>USD 20</v>
      </c>
      <c r="O803" t="str">
        <f>TRIM(CLEAN(Table1[[#This Row],[Updated hourly_rate (USD)]]))</f>
        <v>USD 20</v>
      </c>
      <c r="P803" t="str">
        <f>SUBSTITUTE(SUBSTITUTE(Table1[[#This Row],[Formatted hourly rate]],"USD ",""),"$","")</f>
        <v>20</v>
      </c>
      <c r="Q803">
        <v>1.2</v>
      </c>
      <c r="R803">
        <f>IF(Table1[[#This Row],[rating]]="",2.6,Table1[[#This Row],[rating]])</f>
        <v>1.2</v>
      </c>
      <c r="S803" t="s">
        <v>74</v>
      </c>
      <c r="T803" t="str">
        <f>TRIM(CLEAN(Table1[[#This Row],[is_active]]))</f>
        <v>Y</v>
      </c>
      <c r="U80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03" s="11" t="str">
        <f>TRIM(IF(Table1[[#This Row],[is_active3]]="Unknown","TRUE",Table1[[#This Row],[is_active3]]))</f>
        <v>TRUE</v>
      </c>
      <c r="W803">
        <v>69</v>
      </c>
      <c r="X803">
        <f>IF(Table1[[#This Row],[client_satisfaction]]&gt;1,Table1[[#This Row],[client_satisfaction]]/100,Table1[[#This Row],[client_satisfaction]])</f>
        <v>0.69</v>
      </c>
      <c r="Y803">
        <f>IF(Table1[[#This Row],[client_satisfaction2]]=0,0.75,Table1[[#This Row],[client_satisfaction2]])</f>
        <v>0.69</v>
      </c>
    </row>
    <row r="804" spans="1:25" x14ac:dyDescent="0.25">
      <c r="A804" t="s">
        <v>1683</v>
      </c>
      <c r="B804" t="s">
        <v>1684</v>
      </c>
      <c r="C804" t="str">
        <f>PROPER(TRIM(SUBSTITUTE(SUBSTITUTE(SUBSTITUTE(Table1[[#This Row],[name]],"Ms. ",""),"Mr. ",""),"Mrs. ","")))</f>
        <v>Amanda Fowler</v>
      </c>
      <c r="D804" t="s">
        <v>77</v>
      </c>
      <c r="E8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04">
        <v>40</v>
      </c>
      <c r="G804" t="str">
        <f>TRIM(IF(Table1[[#This Row],[age]]="","Unknown",Table1[[#This Row],[age]]))</f>
        <v>40</v>
      </c>
      <c r="H804" t="s">
        <v>190</v>
      </c>
      <c r="I804" t="s">
        <v>72</v>
      </c>
      <c r="J804" t="s">
        <v>17</v>
      </c>
      <c r="K804">
        <v>20</v>
      </c>
      <c r="L804" s="10" t="str">
        <f>TRIM(IF(Table1[[#This Row],[years_of_experience]]="","Unknown",Table1[[#This Row],[years_of_experience]]))</f>
        <v>20</v>
      </c>
      <c r="M804" t="s">
        <v>109</v>
      </c>
      <c r="N804" t="str">
        <f>IF(Table1[[#This Row],[hourly_rate (USD)]]="",MEDIAN(Table1[hourly_rate (USD)]),Table1[[#This Row],[hourly_rate (USD)]])</f>
        <v>USD 30</v>
      </c>
      <c r="O804" t="str">
        <f>TRIM(CLEAN(Table1[[#This Row],[Updated hourly_rate (USD)]]))</f>
        <v>USD 30</v>
      </c>
      <c r="P804" t="str">
        <f>SUBSTITUTE(SUBSTITUTE(Table1[[#This Row],[Formatted hourly rate]],"USD ",""),"$","")</f>
        <v>30</v>
      </c>
      <c r="R804">
        <f>IF(Table1[[#This Row],[rating]]="",2.6,Table1[[#This Row],[rating]])</f>
        <v>2.6</v>
      </c>
      <c r="S804" t="b">
        <v>0</v>
      </c>
      <c r="T804" t="str">
        <f>TRIM(CLEAN(Table1[[#This Row],[is_active]]))</f>
        <v>FALSE</v>
      </c>
      <c r="U80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04" s="11" t="str">
        <f>TRIM(IF(Table1[[#This Row],[is_active3]]="Unknown","TRUE",Table1[[#This Row],[is_active3]]))</f>
        <v>TRUE</v>
      </c>
      <c r="W804">
        <v>90</v>
      </c>
      <c r="X804">
        <f>IF(Table1[[#This Row],[client_satisfaction]]&gt;1,Table1[[#This Row],[client_satisfaction]]/100,Table1[[#This Row],[client_satisfaction]])</f>
        <v>0.9</v>
      </c>
      <c r="Y804">
        <f>IF(Table1[[#This Row],[client_satisfaction2]]=0,0.75,Table1[[#This Row],[client_satisfaction2]])</f>
        <v>0.9</v>
      </c>
    </row>
    <row r="805" spans="1:25" x14ac:dyDescent="0.25">
      <c r="A805" t="s">
        <v>1685</v>
      </c>
      <c r="B805" t="s">
        <v>1686</v>
      </c>
      <c r="C805" t="str">
        <f>PROPER(TRIM(SUBSTITUTE(SUBSTITUTE(SUBSTITUTE(Table1[[#This Row],[name]],"Ms. ",""),"Mr. ",""),"Mrs. ","")))</f>
        <v>Lindsay Rivera</v>
      </c>
      <c r="D805" t="s">
        <v>14</v>
      </c>
      <c r="E8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05">
        <v>51</v>
      </c>
      <c r="G805" t="str">
        <f>TRIM(IF(Table1[[#This Row],[age]]="","Unknown",Table1[[#This Row],[age]]))</f>
        <v>51</v>
      </c>
      <c r="H805" t="s">
        <v>67</v>
      </c>
      <c r="I805" t="s">
        <v>22</v>
      </c>
      <c r="J805" t="s">
        <v>114</v>
      </c>
      <c r="K805">
        <v>30</v>
      </c>
      <c r="L805" s="10" t="str">
        <f>TRIM(IF(Table1[[#This Row],[years_of_experience]]="","Unknown",Table1[[#This Row],[years_of_experience]]))</f>
        <v>30</v>
      </c>
      <c r="M805">
        <v>75</v>
      </c>
      <c r="N805">
        <f>IF(Table1[[#This Row],[hourly_rate (USD)]]="",MEDIAN(Table1[hourly_rate (USD)]),Table1[[#This Row],[hourly_rate (USD)]])</f>
        <v>75</v>
      </c>
      <c r="O805" t="str">
        <f>TRIM(CLEAN(Table1[[#This Row],[Updated hourly_rate (USD)]]))</f>
        <v>75</v>
      </c>
      <c r="P805" t="str">
        <f>SUBSTITUTE(SUBSTITUTE(Table1[[#This Row],[Formatted hourly rate]],"USD ",""),"$","")</f>
        <v>75</v>
      </c>
      <c r="R805">
        <f>IF(Table1[[#This Row],[rating]]="",2.6,Table1[[#This Row],[rating]])</f>
        <v>2.6</v>
      </c>
      <c r="S805" t="b">
        <v>1</v>
      </c>
      <c r="T805" t="str">
        <f>TRIM(CLEAN(Table1[[#This Row],[is_active]]))</f>
        <v>TRUE</v>
      </c>
      <c r="U80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05" s="11" t="str">
        <f>TRIM(IF(Table1[[#This Row],[is_active3]]="Unknown","TRUE",Table1[[#This Row],[is_active3]]))</f>
        <v>TRUE</v>
      </c>
      <c r="W805">
        <v>0.74</v>
      </c>
      <c r="X805">
        <f>IF(Table1[[#This Row],[client_satisfaction]]&gt;1,Table1[[#This Row],[client_satisfaction]]/100,Table1[[#This Row],[client_satisfaction]])</f>
        <v>0.74</v>
      </c>
      <c r="Y805">
        <f>IF(Table1[[#This Row],[client_satisfaction2]]=0,0.75,Table1[[#This Row],[client_satisfaction2]])</f>
        <v>0.74</v>
      </c>
    </row>
    <row r="806" spans="1:25" x14ac:dyDescent="0.25">
      <c r="A806" t="s">
        <v>1687</v>
      </c>
      <c r="B806" t="s">
        <v>1688</v>
      </c>
      <c r="C806" t="str">
        <f>PROPER(TRIM(SUBSTITUTE(SUBSTITUTE(SUBSTITUTE(Table1[[#This Row],[name]],"Ms. ",""),"Mr. ",""),"Mrs. ","")))</f>
        <v>Mark Ward</v>
      </c>
      <c r="D806" t="s">
        <v>27</v>
      </c>
      <c r="E8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06">
        <v>23</v>
      </c>
      <c r="G806" t="str">
        <f>TRIM(IF(Table1[[#This Row],[age]]="","Unknown",Table1[[#This Row],[age]]))</f>
        <v>23</v>
      </c>
      <c r="H806" t="s">
        <v>28</v>
      </c>
      <c r="I806" t="s">
        <v>29</v>
      </c>
      <c r="J806" t="s">
        <v>44</v>
      </c>
      <c r="K806">
        <v>4</v>
      </c>
      <c r="L806" s="10" t="str">
        <f>TRIM(IF(Table1[[#This Row],[years_of_experience]]="","Unknown",Table1[[#This Row],[years_of_experience]]))</f>
        <v>4</v>
      </c>
      <c r="M806">
        <v>50</v>
      </c>
      <c r="N806">
        <f>IF(Table1[[#This Row],[hourly_rate (USD)]]="",MEDIAN(Table1[hourly_rate (USD)]),Table1[[#This Row],[hourly_rate (USD)]])</f>
        <v>50</v>
      </c>
      <c r="O806" t="str">
        <f>TRIM(CLEAN(Table1[[#This Row],[Updated hourly_rate (USD)]]))</f>
        <v>50</v>
      </c>
      <c r="P806" t="str">
        <f>SUBSTITUTE(SUBSTITUTE(Table1[[#This Row],[Formatted hourly rate]],"USD ",""),"$","")</f>
        <v>50</v>
      </c>
      <c r="Q806">
        <v>4.5</v>
      </c>
      <c r="R806">
        <f>IF(Table1[[#This Row],[rating]]="",2.6,Table1[[#This Row],[rating]])</f>
        <v>4.5</v>
      </c>
      <c r="S806" t="s">
        <v>31</v>
      </c>
      <c r="T806" t="str">
        <f>TRIM(CLEAN(Table1[[#This Row],[is_active]]))</f>
        <v>N</v>
      </c>
      <c r="U80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06" s="11" t="str">
        <f>TRIM(IF(Table1[[#This Row],[is_active3]]="Unknown","TRUE",Table1[[#This Row],[is_active3]]))</f>
        <v>FALSE</v>
      </c>
      <c r="W806">
        <v>0.98</v>
      </c>
      <c r="X806">
        <f>IF(Table1[[#This Row],[client_satisfaction]]&gt;1,Table1[[#This Row],[client_satisfaction]]/100,Table1[[#This Row],[client_satisfaction]])</f>
        <v>0.98</v>
      </c>
      <c r="Y806">
        <f>IF(Table1[[#This Row],[client_satisfaction2]]=0,0.75,Table1[[#This Row],[client_satisfaction2]])</f>
        <v>0.98</v>
      </c>
    </row>
    <row r="807" spans="1:25" x14ac:dyDescent="0.25">
      <c r="A807" t="s">
        <v>1689</v>
      </c>
      <c r="B807" t="s">
        <v>1690</v>
      </c>
      <c r="C807" t="str">
        <f>PROPER(TRIM(SUBSTITUTE(SUBSTITUTE(SUBSTITUTE(Table1[[#This Row],[name]],"Ms. ",""),"Mr. ",""),"Mrs. ","")))</f>
        <v>Amanda Smith</v>
      </c>
      <c r="D807" t="s">
        <v>14</v>
      </c>
      <c r="E8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07">
        <v>31</v>
      </c>
      <c r="G807" t="str">
        <f>TRIM(IF(Table1[[#This Row],[age]]="","Unknown",Table1[[#This Row],[age]]))</f>
        <v>31</v>
      </c>
      <c r="H807" t="s">
        <v>49</v>
      </c>
      <c r="I807" t="s">
        <v>50</v>
      </c>
      <c r="J807" t="s">
        <v>30</v>
      </c>
      <c r="L807" s="10" t="str">
        <f>TRIM(IF(Table1[[#This Row],[years_of_experience]]="","Unknown",Table1[[#This Row],[years_of_experience]]))</f>
        <v>Unknown</v>
      </c>
      <c r="M807" t="s">
        <v>314</v>
      </c>
      <c r="N807" t="str">
        <f>IF(Table1[[#This Row],[hourly_rate (USD)]]="",MEDIAN(Table1[hourly_rate (USD)]),Table1[[#This Row],[hourly_rate (USD)]])</f>
        <v>USD 20</v>
      </c>
      <c r="O807" t="str">
        <f>TRIM(CLEAN(Table1[[#This Row],[Updated hourly_rate (USD)]]))</f>
        <v>USD 20</v>
      </c>
      <c r="P807" t="str">
        <f>SUBSTITUTE(SUBSTITUTE(Table1[[#This Row],[Formatted hourly rate]],"USD ",""),"$","")</f>
        <v>20</v>
      </c>
      <c r="R807">
        <f>IF(Table1[[#This Row],[rating]]="",2.6,Table1[[#This Row],[rating]])</f>
        <v>2.6</v>
      </c>
      <c r="S807" t="s">
        <v>74</v>
      </c>
      <c r="T807" t="str">
        <f>TRIM(CLEAN(Table1[[#This Row],[is_active]]))</f>
        <v>Y</v>
      </c>
      <c r="U80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07" s="11" t="str">
        <f>TRIM(IF(Table1[[#This Row],[is_active3]]="Unknown","TRUE",Table1[[#This Row],[is_active3]]))</f>
        <v>TRUE</v>
      </c>
      <c r="W807">
        <v>0.84</v>
      </c>
      <c r="X807">
        <f>IF(Table1[[#This Row],[client_satisfaction]]&gt;1,Table1[[#This Row],[client_satisfaction]]/100,Table1[[#This Row],[client_satisfaction]])</f>
        <v>0.84</v>
      </c>
      <c r="Y807">
        <f>IF(Table1[[#This Row],[client_satisfaction2]]=0,0.75,Table1[[#This Row],[client_satisfaction2]])</f>
        <v>0.84</v>
      </c>
    </row>
    <row r="808" spans="1:25" x14ac:dyDescent="0.25">
      <c r="A808" t="s">
        <v>1691</v>
      </c>
      <c r="B808" t="s">
        <v>1692</v>
      </c>
      <c r="C808" t="str">
        <f>PROPER(TRIM(SUBSTITUTE(SUBSTITUTE(SUBSTITUTE(Table1[[#This Row],[name]],"Ms. ",""),"Mr. ",""),"Mrs. ","")))</f>
        <v>Emily Brown</v>
      </c>
      <c r="D808" t="s">
        <v>20</v>
      </c>
      <c r="E8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08">
        <v>44</v>
      </c>
      <c r="G808" t="str">
        <f>TRIM(IF(Table1[[#This Row],[age]]="","Unknown",Table1[[#This Row],[age]]))</f>
        <v>44</v>
      </c>
      <c r="H808" t="s">
        <v>124</v>
      </c>
      <c r="I808" t="s">
        <v>125</v>
      </c>
      <c r="J808" t="s">
        <v>35</v>
      </c>
      <c r="K808">
        <v>3</v>
      </c>
      <c r="L808" s="10" t="str">
        <f>TRIM(IF(Table1[[#This Row],[years_of_experience]]="","Unknown",Table1[[#This Row],[years_of_experience]]))</f>
        <v>3</v>
      </c>
      <c r="M808" t="s">
        <v>121</v>
      </c>
      <c r="N808" t="str">
        <f>IF(Table1[[#This Row],[hourly_rate (USD)]]="",MEDIAN(Table1[hourly_rate (USD)]),Table1[[#This Row],[hourly_rate (USD)]])</f>
        <v>$20</v>
      </c>
      <c r="O808" t="str">
        <f>TRIM(CLEAN(Table1[[#This Row],[Updated hourly_rate (USD)]]))</f>
        <v>$20</v>
      </c>
      <c r="P808" t="str">
        <f>SUBSTITUTE(SUBSTITUTE(Table1[[#This Row],[Formatted hourly rate]],"USD ",""),"$","")</f>
        <v>20</v>
      </c>
      <c r="Q808">
        <v>5</v>
      </c>
      <c r="R808">
        <f>IF(Table1[[#This Row],[rating]]="",2.6,Table1[[#This Row],[rating]])</f>
        <v>5</v>
      </c>
      <c r="S808" t="s">
        <v>68</v>
      </c>
      <c r="T808" t="str">
        <f>TRIM(CLEAN(Table1[[#This Row],[is_active]]))</f>
        <v>yes</v>
      </c>
      <c r="U80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08" s="11" t="str">
        <f>TRIM(IF(Table1[[#This Row],[is_active3]]="Unknown","TRUE",Table1[[#This Row],[is_active3]]))</f>
        <v>TRUE</v>
      </c>
      <c r="W808">
        <v>0.75</v>
      </c>
      <c r="X808">
        <f>IF(Table1[[#This Row],[client_satisfaction]]&gt;1,Table1[[#This Row],[client_satisfaction]]/100,Table1[[#This Row],[client_satisfaction]])</f>
        <v>0.75</v>
      </c>
      <c r="Y808">
        <f>IF(Table1[[#This Row],[client_satisfaction2]]=0,0.75,Table1[[#This Row],[client_satisfaction2]])</f>
        <v>0.75</v>
      </c>
    </row>
    <row r="809" spans="1:25" x14ac:dyDescent="0.25">
      <c r="A809" t="s">
        <v>1693</v>
      </c>
      <c r="B809" t="s">
        <v>1694</v>
      </c>
      <c r="C809" t="str">
        <f>PROPER(TRIM(SUBSTITUTE(SUBSTITUTE(SUBSTITUTE(Table1[[#This Row],[name]],"Ms. ",""),"Mr. ",""),"Mrs. ","")))</f>
        <v>Dwayne Cardenas</v>
      </c>
      <c r="D809" t="s">
        <v>97</v>
      </c>
      <c r="E8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09">
        <v>56</v>
      </c>
      <c r="G809" t="str">
        <f>TRIM(IF(Table1[[#This Row],[age]]="","Unknown",Table1[[#This Row],[age]]))</f>
        <v>56</v>
      </c>
      <c r="H809" t="s">
        <v>28</v>
      </c>
      <c r="I809" t="s">
        <v>29</v>
      </c>
      <c r="J809" t="s">
        <v>23</v>
      </c>
      <c r="K809">
        <v>23</v>
      </c>
      <c r="L809" s="10" t="str">
        <f>TRIM(IF(Table1[[#This Row],[years_of_experience]]="","Unknown",Table1[[#This Row],[years_of_experience]]))</f>
        <v>23</v>
      </c>
      <c r="M809">
        <v>75</v>
      </c>
      <c r="N809">
        <f>IF(Table1[[#This Row],[hourly_rate (USD)]]="",MEDIAN(Table1[hourly_rate (USD)]),Table1[[#This Row],[hourly_rate (USD)]])</f>
        <v>75</v>
      </c>
      <c r="O809" t="str">
        <f>TRIM(CLEAN(Table1[[#This Row],[Updated hourly_rate (USD)]]))</f>
        <v>75</v>
      </c>
      <c r="P809" t="str">
        <f>SUBSTITUTE(SUBSTITUTE(Table1[[#This Row],[Formatted hourly rate]],"USD ",""),"$","")</f>
        <v>75</v>
      </c>
      <c r="Q809">
        <v>3.9</v>
      </c>
      <c r="R809">
        <f>IF(Table1[[#This Row],[rating]]="",2.6,Table1[[#This Row],[rating]])</f>
        <v>3.9</v>
      </c>
      <c r="S809">
        <v>1</v>
      </c>
      <c r="T809" t="str">
        <f>TRIM(CLEAN(Table1[[#This Row],[is_active]]))</f>
        <v>1</v>
      </c>
      <c r="U80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09" s="11" t="str">
        <f>TRIM(IF(Table1[[#This Row],[is_active3]]="Unknown","TRUE",Table1[[#This Row],[is_active3]]))</f>
        <v>TRUE</v>
      </c>
      <c r="X809">
        <f>IF(Table1[[#This Row],[client_satisfaction]]&gt;1,Table1[[#This Row],[client_satisfaction]]/100,Table1[[#This Row],[client_satisfaction]])</f>
        <v>0</v>
      </c>
      <c r="Y809">
        <f>IF(Table1[[#This Row],[client_satisfaction2]]=0,0.75,Table1[[#This Row],[client_satisfaction2]])</f>
        <v>0.75</v>
      </c>
    </row>
    <row r="810" spans="1:25" x14ac:dyDescent="0.25">
      <c r="A810" t="s">
        <v>1695</v>
      </c>
      <c r="B810" t="s">
        <v>1696</v>
      </c>
      <c r="C810" t="str">
        <f>PROPER(TRIM(SUBSTITUTE(SUBSTITUTE(SUBSTITUTE(Table1[[#This Row],[name]],"Ms. ",""),"Mr. ",""),"Mrs. ","")))</f>
        <v>Dr. Rhonda Hernandez</v>
      </c>
      <c r="D810" t="s">
        <v>20</v>
      </c>
      <c r="E8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10">
        <v>48</v>
      </c>
      <c r="G810" t="str">
        <f>TRIM(IF(Table1[[#This Row],[age]]="","Unknown",Table1[[#This Row],[age]]))</f>
        <v>48</v>
      </c>
      <c r="H810" t="s">
        <v>21</v>
      </c>
      <c r="I810" t="s">
        <v>22</v>
      </c>
      <c r="J810" t="s">
        <v>78</v>
      </c>
      <c r="K810">
        <v>5</v>
      </c>
      <c r="L810" s="10" t="str">
        <f>TRIM(IF(Table1[[#This Row],[years_of_experience]]="","Unknown",Table1[[#This Row],[years_of_experience]]))</f>
        <v>5</v>
      </c>
      <c r="M810" t="s">
        <v>229</v>
      </c>
      <c r="N810" t="str">
        <f>IF(Table1[[#This Row],[hourly_rate (USD)]]="",MEDIAN(Table1[hourly_rate (USD)]),Table1[[#This Row],[hourly_rate (USD)]])</f>
        <v>$100</v>
      </c>
      <c r="O810" t="str">
        <f>TRIM(CLEAN(Table1[[#This Row],[Updated hourly_rate (USD)]]))</f>
        <v>$100</v>
      </c>
      <c r="P810" t="str">
        <f>SUBSTITUTE(SUBSTITUTE(Table1[[#This Row],[Formatted hourly rate]],"USD ",""),"$","")</f>
        <v>100</v>
      </c>
      <c r="Q810">
        <v>1.8</v>
      </c>
      <c r="R810">
        <f>IF(Table1[[#This Row],[rating]]="",2.6,Table1[[#This Row],[rating]])</f>
        <v>1.8</v>
      </c>
      <c r="S810" t="b">
        <v>1</v>
      </c>
      <c r="T810" t="str">
        <f>TRIM(CLEAN(Table1[[#This Row],[is_active]]))</f>
        <v>TRUE</v>
      </c>
      <c r="U81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10" s="11" t="str">
        <f>TRIM(IF(Table1[[#This Row],[is_active3]]="Unknown","TRUE",Table1[[#This Row],[is_active3]]))</f>
        <v>TRUE</v>
      </c>
      <c r="W810">
        <v>0.97</v>
      </c>
      <c r="X810">
        <f>IF(Table1[[#This Row],[client_satisfaction]]&gt;1,Table1[[#This Row],[client_satisfaction]]/100,Table1[[#This Row],[client_satisfaction]])</f>
        <v>0.97</v>
      </c>
      <c r="Y810">
        <f>IF(Table1[[#This Row],[client_satisfaction2]]=0,0.75,Table1[[#This Row],[client_satisfaction2]])</f>
        <v>0.97</v>
      </c>
    </row>
    <row r="811" spans="1:25" x14ac:dyDescent="0.25">
      <c r="A811" t="s">
        <v>1697</v>
      </c>
      <c r="B811" t="s">
        <v>1698</v>
      </c>
      <c r="C811" t="str">
        <f>PROPER(TRIM(SUBSTITUTE(SUBSTITUTE(SUBSTITUTE(Table1[[#This Row],[name]],"Ms. ",""),"Mr. ",""),"Mrs. ","")))</f>
        <v>Melody Barker</v>
      </c>
      <c r="D811" t="s">
        <v>14</v>
      </c>
      <c r="E8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11">
        <v>46</v>
      </c>
      <c r="G811" t="str">
        <f>TRIM(IF(Table1[[#This Row],[age]]="","Unknown",Table1[[#This Row],[age]]))</f>
        <v>46</v>
      </c>
      <c r="H811" t="s">
        <v>124</v>
      </c>
      <c r="I811" t="s">
        <v>125</v>
      </c>
      <c r="J811" t="s">
        <v>35</v>
      </c>
      <c r="K811">
        <v>28</v>
      </c>
      <c r="L811" s="10" t="str">
        <f>TRIM(IF(Table1[[#This Row],[years_of_experience]]="","Unknown",Table1[[#This Row],[years_of_experience]]))</f>
        <v>28</v>
      </c>
      <c r="M811">
        <v>30</v>
      </c>
      <c r="N811">
        <f>IF(Table1[[#This Row],[hourly_rate (USD)]]="",MEDIAN(Table1[hourly_rate (USD)]),Table1[[#This Row],[hourly_rate (USD)]])</f>
        <v>30</v>
      </c>
      <c r="O811" t="str">
        <f>TRIM(CLEAN(Table1[[#This Row],[Updated hourly_rate (USD)]]))</f>
        <v>30</v>
      </c>
      <c r="P811" t="str">
        <f>SUBSTITUTE(SUBSTITUTE(Table1[[#This Row],[Formatted hourly rate]],"USD ",""),"$","")</f>
        <v>30</v>
      </c>
      <c r="Q811">
        <v>4.2</v>
      </c>
      <c r="R811">
        <f>IF(Table1[[#This Row],[rating]]="",2.6,Table1[[#This Row],[rating]])</f>
        <v>4.2</v>
      </c>
      <c r="S811" t="b">
        <v>1</v>
      </c>
      <c r="T811" t="str">
        <f>TRIM(CLEAN(Table1[[#This Row],[is_active]]))</f>
        <v>TRUE</v>
      </c>
      <c r="U81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11" s="11" t="str">
        <f>TRIM(IF(Table1[[#This Row],[is_active3]]="Unknown","TRUE",Table1[[#This Row],[is_active3]]))</f>
        <v>TRUE</v>
      </c>
      <c r="X811">
        <f>IF(Table1[[#This Row],[client_satisfaction]]&gt;1,Table1[[#This Row],[client_satisfaction]]/100,Table1[[#This Row],[client_satisfaction]])</f>
        <v>0</v>
      </c>
      <c r="Y811">
        <f>IF(Table1[[#This Row],[client_satisfaction2]]=0,0.75,Table1[[#This Row],[client_satisfaction2]])</f>
        <v>0.75</v>
      </c>
    </row>
    <row r="812" spans="1:25" x14ac:dyDescent="0.25">
      <c r="A812" t="s">
        <v>1699</v>
      </c>
      <c r="B812" t="s">
        <v>1700</v>
      </c>
      <c r="C812" t="str">
        <f>PROPER(TRIM(SUBSTITUTE(SUBSTITUTE(SUBSTITUTE(Table1[[#This Row],[name]],"Ms. ",""),"Mr. ",""),"Mrs. ","")))</f>
        <v>Russell Carpenter</v>
      </c>
      <c r="D812" t="s">
        <v>92</v>
      </c>
      <c r="E8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12">
        <v>21</v>
      </c>
      <c r="G812" t="str">
        <f>TRIM(IF(Table1[[#This Row],[age]]="","Unknown",Table1[[#This Row],[age]]))</f>
        <v>21</v>
      </c>
      <c r="H812" t="s">
        <v>139</v>
      </c>
      <c r="I812" t="s">
        <v>140</v>
      </c>
      <c r="J812" t="s">
        <v>44</v>
      </c>
      <c r="K812">
        <v>0</v>
      </c>
      <c r="L812" s="10" t="str">
        <f>TRIM(IF(Table1[[#This Row],[years_of_experience]]="","Unknown",Table1[[#This Row],[years_of_experience]]))</f>
        <v>0</v>
      </c>
      <c r="M812">
        <v>20</v>
      </c>
      <c r="N812">
        <f>IF(Table1[[#This Row],[hourly_rate (USD)]]="",MEDIAN(Table1[hourly_rate (USD)]),Table1[[#This Row],[hourly_rate (USD)]])</f>
        <v>20</v>
      </c>
      <c r="O812" t="str">
        <f>TRIM(CLEAN(Table1[[#This Row],[Updated hourly_rate (USD)]]))</f>
        <v>20</v>
      </c>
      <c r="P812" t="str">
        <f>SUBSTITUTE(SUBSTITUTE(Table1[[#This Row],[Formatted hourly rate]],"USD ",""),"$","")</f>
        <v>20</v>
      </c>
      <c r="Q812">
        <v>2.6</v>
      </c>
      <c r="R812">
        <f>IF(Table1[[#This Row],[rating]]="",2.6,Table1[[#This Row],[rating]])</f>
        <v>2.6</v>
      </c>
      <c r="S812" t="s">
        <v>159</v>
      </c>
      <c r="T812" t="str">
        <f>TRIM(CLEAN(Table1[[#This Row],[is_active]]))</f>
        <v>no</v>
      </c>
      <c r="U81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12" s="11" t="str">
        <f>TRIM(IF(Table1[[#This Row],[is_active3]]="Unknown","TRUE",Table1[[#This Row],[is_active3]]))</f>
        <v>FALSE</v>
      </c>
      <c r="W812">
        <v>0.64</v>
      </c>
      <c r="X812">
        <f>IF(Table1[[#This Row],[client_satisfaction]]&gt;1,Table1[[#This Row],[client_satisfaction]]/100,Table1[[#This Row],[client_satisfaction]])</f>
        <v>0.64</v>
      </c>
      <c r="Y812">
        <f>IF(Table1[[#This Row],[client_satisfaction2]]=0,0.75,Table1[[#This Row],[client_satisfaction2]])</f>
        <v>0.64</v>
      </c>
    </row>
    <row r="813" spans="1:25" x14ac:dyDescent="0.25">
      <c r="A813" t="s">
        <v>1701</v>
      </c>
      <c r="B813" t="s">
        <v>1702</v>
      </c>
      <c r="C813" t="str">
        <f>PROPER(TRIM(SUBSTITUTE(SUBSTITUTE(SUBSTITUTE(Table1[[#This Row],[name]],"Ms. ",""),"Mr. ",""),"Mrs. ","")))</f>
        <v>Richard Hill</v>
      </c>
      <c r="D813" t="s">
        <v>48</v>
      </c>
      <c r="E8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13">
        <v>52</v>
      </c>
      <c r="G813" t="str">
        <f>TRIM(IF(Table1[[#This Row],[age]]="","Unknown",Table1[[#This Row],[age]]))</f>
        <v>52</v>
      </c>
      <c r="H813" t="s">
        <v>124</v>
      </c>
      <c r="I813" t="s">
        <v>125</v>
      </c>
      <c r="J813" t="s">
        <v>51</v>
      </c>
      <c r="K813">
        <v>30</v>
      </c>
      <c r="L813" s="10" t="str">
        <f>TRIM(IF(Table1[[#This Row],[years_of_experience]]="","Unknown",Table1[[#This Row],[years_of_experience]]))</f>
        <v>30</v>
      </c>
      <c r="M813">
        <v>30</v>
      </c>
      <c r="N813">
        <f>IF(Table1[[#This Row],[hourly_rate (USD)]]="",MEDIAN(Table1[hourly_rate (USD)]),Table1[[#This Row],[hourly_rate (USD)]])</f>
        <v>30</v>
      </c>
      <c r="O813" t="str">
        <f>TRIM(CLEAN(Table1[[#This Row],[Updated hourly_rate (USD)]]))</f>
        <v>30</v>
      </c>
      <c r="P813" t="str">
        <f>SUBSTITUTE(SUBSTITUTE(Table1[[#This Row],[Formatted hourly rate]],"USD ",""),"$","")</f>
        <v>30</v>
      </c>
      <c r="Q813">
        <v>2</v>
      </c>
      <c r="R813">
        <f>IF(Table1[[#This Row],[rating]]="",2.6,Table1[[#This Row],[rating]])</f>
        <v>2</v>
      </c>
      <c r="S813">
        <v>1</v>
      </c>
      <c r="T813" t="str">
        <f>TRIM(CLEAN(Table1[[#This Row],[is_active]]))</f>
        <v>1</v>
      </c>
      <c r="U8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13" s="11" t="str">
        <f>TRIM(IF(Table1[[#This Row],[is_active3]]="Unknown","TRUE",Table1[[#This Row],[is_active3]]))</f>
        <v>TRUE</v>
      </c>
      <c r="W813">
        <v>0.68</v>
      </c>
      <c r="X813">
        <f>IF(Table1[[#This Row],[client_satisfaction]]&gt;1,Table1[[#This Row],[client_satisfaction]]/100,Table1[[#This Row],[client_satisfaction]])</f>
        <v>0.68</v>
      </c>
      <c r="Y813">
        <f>IF(Table1[[#This Row],[client_satisfaction2]]=0,0.75,Table1[[#This Row],[client_satisfaction2]])</f>
        <v>0.68</v>
      </c>
    </row>
    <row r="814" spans="1:25" x14ac:dyDescent="0.25">
      <c r="A814" t="s">
        <v>1703</v>
      </c>
      <c r="B814" t="s">
        <v>1704</v>
      </c>
      <c r="C814" t="str">
        <f>PROPER(TRIM(SUBSTITUTE(SUBSTITUTE(SUBSTITUTE(Table1[[#This Row],[name]],"Ms. ",""),"Mr. ",""),"Mrs. ","")))</f>
        <v>Lindsay Potts</v>
      </c>
      <c r="D814" t="s">
        <v>14</v>
      </c>
      <c r="E8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14">
        <v>39</v>
      </c>
      <c r="G814" t="str">
        <f>TRIM(IF(Table1[[#This Row],[age]]="","Unknown",Table1[[#This Row],[age]]))</f>
        <v>39</v>
      </c>
      <c r="H814" t="s">
        <v>124</v>
      </c>
      <c r="I814" t="s">
        <v>125</v>
      </c>
      <c r="J814" t="s">
        <v>30</v>
      </c>
      <c r="K814">
        <v>20</v>
      </c>
      <c r="L814" s="10" t="str">
        <f>TRIM(IF(Table1[[#This Row],[years_of_experience]]="","Unknown",Table1[[#This Row],[years_of_experience]]))</f>
        <v>20</v>
      </c>
      <c r="M814" t="s">
        <v>170</v>
      </c>
      <c r="N814" t="str">
        <f>IF(Table1[[#This Row],[hourly_rate (USD)]]="",MEDIAN(Table1[hourly_rate (USD)]),Table1[[#This Row],[hourly_rate (USD)]])</f>
        <v>$75</v>
      </c>
      <c r="O814" t="str">
        <f>TRIM(CLEAN(Table1[[#This Row],[Updated hourly_rate (USD)]]))</f>
        <v>$75</v>
      </c>
      <c r="P814" t="str">
        <f>SUBSTITUTE(SUBSTITUTE(Table1[[#This Row],[Formatted hourly rate]],"USD ",""),"$","")</f>
        <v>75</v>
      </c>
      <c r="Q814">
        <v>2.7</v>
      </c>
      <c r="R814">
        <f>IF(Table1[[#This Row],[rating]]="",2.6,Table1[[#This Row],[rating]])</f>
        <v>2.7</v>
      </c>
      <c r="S814">
        <v>1</v>
      </c>
      <c r="T814" t="str">
        <f>TRIM(CLEAN(Table1[[#This Row],[is_active]]))</f>
        <v>1</v>
      </c>
      <c r="U81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14" s="11" t="str">
        <f>TRIM(IF(Table1[[#This Row],[is_active3]]="Unknown","TRUE",Table1[[#This Row],[is_active3]]))</f>
        <v>TRUE</v>
      </c>
      <c r="W814">
        <v>0.67</v>
      </c>
      <c r="X814">
        <f>IF(Table1[[#This Row],[client_satisfaction]]&gt;1,Table1[[#This Row],[client_satisfaction]]/100,Table1[[#This Row],[client_satisfaction]])</f>
        <v>0.67</v>
      </c>
      <c r="Y814">
        <f>IF(Table1[[#This Row],[client_satisfaction2]]=0,0.75,Table1[[#This Row],[client_satisfaction2]])</f>
        <v>0.67</v>
      </c>
    </row>
    <row r="815" spans="1:25" x14ac:dyDescent="0.25">
      <c r="A815" t="s">
        <v>1705</v>
      </c>
      <c r="B815" t="s">
        <v>1706</v>
      </c>
      <c r="C815" t="str">
        <f>PROPER(TRIM(SUBSTITUTE(SUBSTITUTE(SUBSTITUTE(Table1[[#This Row],[name]],"Ms. ",""),"Mr. ",""),"Mrs. ","")))</f>
        <v>Michelle Campbell</v>
      </c>
      <c r="D815" t="s">
        <v>14</v>
      </c>
      <c r="E8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15">
        <v>31</v>
      </c>
      <c r="G815" t="str">
        <f>TRIM(IF(Table1[[#This Row],[age]]="","Unknown",Table1[[#This Row],[age]]))</f>
        <v>31</v>
      </c>
      <c r="H815" t="s">
        <v>21</v>
      </c>
      <c r="I815" t="s">
        <v>22</v>
      </c>
      <c r="J815" t="s">
        <v>23</v>
      </c>
      <c r="K815">
        <v>0</v>
      </c>
      <c r="L815" s="10" t="str">
        <f>TRIM(IF(Table1[[#This Row],[years_of_experience]]="","Unknown",Table1[[#This Row],[years_of_experience]]))</f>
        <v>0</v>
      </c>
      <c r="M815">
        <v>30</v>
      </c>
      <c r="N815">
        <f>IF(Table1[[#This Row],[hourly_rate (USD)]]="",MEDIAN(Table1[hourly_rate (USD)]),Table1[[#This Row],[hourly_rate (USD)]])</f>
        <v>30</v>
      </c>
      <c r="O815" t="str">
        <f>TRIM(CLEAN(Table1[[#This Row],[Updated hourly_rate (USD)]]))</f>
        <v>30</v>
      </c>
      <c r="P815" t="str">
        <f>SUBSTITUTE(SUBSTITUTE(Table1[[#This Row],[Formatted hourly rate]],"USD ",""),"$","")</f>
        <v>30</v>
      </c>
      <c r="Q815">
        <v>2.2999999999999998</v>
      </c>
      <c r="R815">
        <f>IF(Table1[[#This Row],[rating]]="",2.6,Table1[[#This Row],[rating]])</f>
        <v>2.2999999999999998</v>
      </c>
      <c r="S815" t="s">
        <v>159</v>
      </c>
      <c r="T815" t="str">
        <f>TRIM(CLEAN(Table1[[#This Row],[is_active]]))</f>
        <v>no</v>
      </c>
      <c r="U81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15" s="11" t="str">
        <f>TRIM(IF(Table1[[#This Row],[is_active3]]="Unknown","TRUE",Table1[[#This Row],[is_active3]]))</f>
        <v>FALSE</v>
      </c>
      <c r="W815">
        <v>0.79</v>
      </c>
      <c r="X815">
        <f>IF(Table1[[#This Row],[client_satisfaction]]&gt;1,Table1[[#This Row],[client_satisfaction]]/100,Table1[[#This Row],[client_satisfaction]])</f>
        <v>0.79</v>
      </c>
      <c r="Y815">
        <f>IF(Table1[[#This Row],[client_satisfaction2]]=0,0.75,Table1[[#This Row],[client_satisfaction2]])</f>
        <v>0.79</v>
      </c>
    </row>
    <row r="816" spans="1:25" x14ac:dyDescent="0.25">
      <c r="A816" t="s">
        <v>1707</v>
      </c>
      <c r="B816" t="s">
        <v>1708</v>
      </c>
      <c r="C816" t="str">
        <f>PROPER(TRIM(SUBSTITUTE(SUBSTITUTE(SUBSTITUTE(Table1[[#This Row],[name]],"Ms. ",""),"Mr. ",""),"Mrs. ","")))</f>
        <v>Alan Williams</v>
      </c>
      <c r="D816" t="s">
        <v>48</v>
      </c>
      <c r="E8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16">
        <v>22</v>
      </c>
      <c r="G816" t="str">
        <f>TRIM(IF(Table1[[#This Row],[age]]="","Unknown",Table1[[#This Row],[age]]))</f>
        <v>22</v>
      </c>
      <c r="H816" t="s">
        <v>112</v>
      </c>
      <c r="I816" t="s">
        <v>113</v>
      </c>
      <c r="J816" t="s">
        <v>73</v>
      </c>
      <c r="K816">
        <v>4</v>
      </c>
      <c r="L816" s="10" t="str">
        <f>TRIM(IF(Table1[[#This Row],[years_of_experience]]="","Unknown",Table1[[#This Row],[years_of_experience]]))</f>
        <v>4</v>
      </c>
      <c r="M816" t="s">
        <v>36</v>
      </c>
      <c r="N816" t="str">
        <f>IF(Table1[[#This Row],[hourly_rate (USD)]]="",MEDIAN(Table1[hourly_rate (USD)]),Table1[[#This Row],[hourly_rate (USD)]])</f>
        <v>$40</v>
      </c>
      <c r="O816" t="str">
        <f>TRIM(CLEAN(Table1[[#This Row],[Updated hourly_rate (USD)]]))</f>
        <v>$40</v>
      </c>
      <c r="P816" t="str">
        <f>SUBSTITUTE(SUBSTITUTE(Table1[[#This Row],[Formatted hourly rate]],"USD ",""),"$","")</f>
        <v>40</v>
      </c>
      <c r="Q816">
        <v>3.8</v>
      </c>
      <c r="R816">
        <f>IF(Table1[[#This Row],[rating]]="",2.6,Table1[[#This Row],[rating]])</f>
        <v>3.8</v>
      </c>
      <c r="S816" t="b">
        <v>1</v>
      </c>
      <c r="T816" t="str">
        <f>TRIM(CLEAN(Table1[[#This Row],[is_active]]))</f>
        <v>TRUE</v>
      </c>
      <c r="U81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16" s="11" t="str">
        <f>TRIM(IF(Table1[[#This Row],[is_active3]]="Unknown","TRUE",Table1[[#This Row],[is_active3]]))</f>
        <v>TRUE</v>
      </c>
      <c r="W816">
        <v>1</v>
      </c>
      <c r="X816">
        <f>IF(Table1[[#This Row],[client_satisfaction]]&gt;1,Table1[[#This Row],[client_satisfaction]]/100,Table1[[#This Row],[client_satisfaction]])</f>
        <v>1</v>
      </c>
      <c r="Y816">
        <f>IF(Table1[[#This Row],[client_satisfaction2]]=0,0.75,Table1[[#This Row],[client_satisfaction2]])</f>
        <v>1</v>
      </c>
    </row>
    <row r="817" spans="1:25" x14ac:dyDescent="0.25">
      <c r="A817" t="s">
        <v>1709</v>
      </c>
      <c r="B817" t="s">
        <v>1710</v>
      </c>
      <c r="C817" t="str">
        <f>PROPER(TRIM(SUBSTITUTE(SUBSTITUTE(SUBSTITUTE(Table1[[#This Row],[name]],"Ms. ",""),"Mr. ",""),"Mrs. ","")))</f>
        <v>Robin Hinton</v>
      </c>
      <c r="D817" t="s">
        <v>14</v>
      </c>
      <c r="E8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17">
        <v>38</v>
      </c>
      <c r="G817" t="str">
        <f>TRIM(IF(Table1[[#This Row],[age]]="","Unknown",Table1[[#This Row],[age]]))</f>
        <v>38</v>
      </c>
      <c r="H817" t="s">
        <v>67</v>
      </c>
      <c r="I817" t="s">
        <v>22</v>
      </c>
      <c r="J817" t="s">
        <v>73</v>
      </c>
      <c r="K817">
        <v>10</v>
      </c>
      <c r="L817" s="10" t="str">
        <f>TRIM(IF(Table1[[#This Row],[years_of_experience]]="","Unknown",Table1[[#This Row],[years_of_experience]]))</f>
        <v>10</v>
      </c>
      <c r="M817">
        <v>40</v>
      </c>
      <c r="N817">
        <f>IF(Table1[[#This Row],[hourly_rate (USD)]]="",MEDIAN(Table1[hourly_rate (USD)]),Table1[[#This Row],[hourly_rate (USD)]])</f>
        <v>40</v>
      </c>
      <c r="O817" t="str">
        <f>TRIM(CLEAN(Table1[[#This Row],[Updated hourly_rate (USD)]]))</f>
        <v>40</v>
      </c>
      <c r="P817" t="str">
        <f>SUBSTITUTE(SUBSTITUTE(Table1[[#This Row],[Formatted hourly rate]],"USD ",""),"$","")</f>
        <v>40</v>
      </c>
      <c r="R817">
        <f>IF(Table1[[#This Row],[rating]]="",2.6,Table1[[#This Row],[rating]])</f>
        <v>2.6</v>
      </c>
      <c r="S817" t="s">
        <v>31</v>
      </c>
      <c r="T817" t="str">
        <f>TRIM(CLEAN(Table1[[#This Row],[is_active]]))</f>
        <v>N</v>
      </c>
      <c r="U81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17" s="11" t="str">
        <f>TRIM(IF(Table1[[#This Row],[is_active3]]="Unknown","TRUE",Table1[[#This Row],[is_active3]]))</f>
        <v>FALSE</v>
      </c>
      <c r="W817">
        <v>0.66</v>
      </c>
      <c r="X817">
        <f>IF(Table1[[#This Row],[client_satisfaction]]&gt;1,Table1[[#This Row],[client_satisfaction]]/100,Table1[[#This Row],[client_satisfaction]])</f>
        <v>0.66</v>
      </c>
      <c r="Y817">
        <f>IF(Table1[[#This Row],[client_satisfaction2]]=0,0.75,Table1[[#This Row],[client_satisfaction2]])</f>
        <v>0.66</v>
      </c>
    </row>
    <row r="818" spans="1:25" x14ac:dyDescent="0.25">
      <c r="A818" t="s">
        <v>1711</v>
      </c>
      <c r="B818" t="s">
        <v>1712</v>
      </c>
      <c r="C818" t="str">
        <f>PROPER(TRIM(SUBSTITUTE(SUBSTITUTE(SUBSTITUTE(Table1[[#This Row],[name]],"Ms. ",""),"Mr. ",""),"Mrs. ","")))</f>
        <v>Brian Holland</v>
      </c>
      <c r="D818" t="s">
        <v>97</v>
      </c>
      <c r="E8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18">
        <v>44</v>
      </c>
      <c r="G818" t="str">
        <f>TRIM(IF(Table1[[#This Row],[age]]="","Unknown",Table1[[#This Row],[age]]))</f>
        <v>44</v>
      </c>
      <c r="H818" t="s">
        <v>71</v>
      </c>
      <c r="I818" t="s">
        <v>72</v>
      </c>
      <c r="J818" t="s">
        <v>30</v>
      </c>
      <c r="K818">
        <v>24</v>
      </c>
      <c r="L818" s="10" t="str">
        <f>TRIM(IF(Table1[[#This Row],[years_of_experience]]="","Unknown",Table1[[#This Row],[years_of_experience]]))</f>
        <v>24</v>
      </c>
      <c r="M818" t="s">
        <v>52</v>
      </c>
      <c r="N818" t="str">
        <f>IF(Table1[[#This Row],[hourly_rate (USD)]]="",MEDIAN(Table1[hourly_rate (USD)]),Table1[[#This Row],[hourly_rate (USD)]])</f>
        <v>USD 75</v>
      </c>
      <c r="O818" t="str">
        <f>TRIM(CLEAN(Table1[[#This Row],[Updated hourly_rate (USD)]]))</f>
        <v>USD 75</v>
      </c>
      <c r="P818" t="str">
        <f>SUBSTITUTE(SUBSTITUTE(Table1[[#This Row],[Formatted hourly rate]],"USD ",""),"$","")</f>
        <v>75</v>
      </c>
      <c r="Q818">
        <v>4.5999999999999996</v>
      </c>
      <c r="R818">
        <f>IF(Table1[[#This Row],[rating]]="",2.6,Table1[[#This Row],[rating]])</f>
        <v>4.5999999999999996</v>
      </c>
      <c r="S818" t="s">
        <v>159</v>
      </c>
      <c r="T818" t="str">
        <f>TRIM(CLEAN(Table1[[#This Row],[is_active]]))</f>
        <v>no</v>
      </c>
      <c r="U8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18" s="11" t="str">
        <f>TRIM(IF(Table1[[#This Row],[is_active3]]="Unknown","TRUE",Table1[[#This Row],[is_active3]]))</f>
        <v>FALSE</v>
      </c>
      <c r="W818">
        <v>0.97</v>
      </c>
      <c r="X818">
        <f>IF(Table1[[#This Row],[client_satisfaction]]&gt;1,Table1[[#This Row],[client_satisfaction]]/100,Table1[[#This Row],[client_satisfaction]])</f>
        <v>0.97</v>
      </c>
      <c r="Y818">
        <f>IF(Table1[[#This Row],[client_satisfaction2]]=0,0.75,Table1[[#This Row],[client_satisfaction2]])</f>
        <v>0.97</v>
      </c>
    </row>
    <row r="819" spans="1:25" x14ac:dyDescent="0.25">
      <c r="A819" t="s">
        <v>1713</v>
      </c>
      <c r="B819" t="s">
        <v>1714</v>
      </c>
      <c r="C819" t="str">
        <f>PROPER(TRIM(SUBSTITUTE(SUBSTITUTE(SUBSTITUTE(Table1[[#This Row],[name]],"Ms. ",""),"Mr. ",""),"Mrs. ","")))</f>
        <v>Adam Stone</v>
      </c>
      <c r="D819" t="s">
        <v>92</v>
      </c>
      <c r="E8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19">
        <v>53</v>
      </c>
      <c r="G819" t="str">
        <f>TRIM(IF(Table1[[#This Row],[age]]="","Unknown",Table1[[#This Row],[age]]))</f>
        <v>53</v>
      </c>
      <c r="H819" t="s">
        <v>49</v>
      </c>
      <c r="I819" t="s">
        <v>50</v>
      </c>
      <c r="J819" t="s">
        <v>114</v>
      </c>
      <c r="K819">
        <v>21</v>
      </c>
      <c r="L819" s="10" t="str">
        <f>TRIM(IF(Table1[[#This Row],[years_of_experience]]="","Unknown",Table1[[#This Row],[years_of_experience]]))</f>
        <v>21</v>
      </c>
      <c r="M819">
        <v>100</v>
      </c>
      <c r="N819">
        <f>IF(Table1[[#This Row],[hourly_rate (USD)]]="",MEDIAN(Table1[hourly_rate (USD)]),Table1[[#This Row],[hourly_rate (USD)]])</f>
        <v>100</v>
      </c>
      <c r="O819" t="str">
        <f>TRIM(CLEAN(Table1[[#This Row],[Updated hourly_rate (USD)]]))</f>
        <v>100</v>
      </c>
      <c r="P819" t="str">
        <f>SUBSTITUTE(SUBSTITUTE(Table1[[#This Row],[Formatted hourly rate]],"USD ",""),"$","")</f>
        <v>100</v>
      </c>
      <c r="Q819">
        <v>3.4</v>
      </c>
      <c r="R819">
        <f>IF(Table1[[#This Row],[rating]]="",2.6,Table1[[#This Row],[rating]])</f>
        <v>3.4</v>
      </c>
      <c r="S819">
        <v>0</v>
      </c>
      <c r="T819" t="str">
        <f>TRIM(CLEAN(Table1[[#This Row],[is_active]]))</f>
        <v>0</v>
      </c>
      <c r="U81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19" s="11" t="str">
        <f>TRIM(IF(Table1[[#This Row],[is_active3]]="Unknown","TRUE",Table1[[#This Row],[is_active3]]))</f>
        <v>FALSE</v>
      </c>
      <c r="W819">
        <v>0.62</v>
      </c>
      <c r="X819">
        <f>IF(Table1[[#This Row],[client_satisfaction]]&gt;1,Table1[[#This Row],[client_satisfaction]]/100,Table1[[#This Row],[client_satisfaction]])</f>
        <v>0.62</v>
      </c>
      <c r="Y819">
        <f>IF(Table1[[#This Row],[client_satisfaction2]]=0,0.75,Table1[[#This Row],[client_satisfaction2]])</f>
        <v>0.62</v>
      </c>
    </row>
    <row r="820" spans="1:25" x14ac:dyDescent="0.25">
      <c r="A820" t="s">
        <v>1715</v>
      </c>
      <c r="B820" t="s">
        <v>1716</v>
      </c>
      <c r="C820" t="str">
        <f>PROPER(TRIM(SUBSTITUTE(SUBSTITUTE(SUBSTITUTE(Table1[[#This Row],[name]],"Ms. ",""),"Mr. ",""),"Mrs. ","")))</f>
        <v>Curtis Lambert</v>
      </c>
      <c r="D820" t="s">
        <v>97</v>
      </c>
      <c r="E8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20">
        <v>22</v>
      </c>
      <c r="G820" t="str">
        <f>TRIM(IF(Table1[[#This Row],[age]]="","Unknown",Table1[[#This Row],[age]]))</f>
        <v>22</v>
      </c>
      <c r="H820" t="s">
        <v>175</v>
      </c>
      <c r="I820" t="s">
        <v>176</v>
      </c>
      <c r="J820" t="s">
        <v>51</v>
      </c>
      <c r="K820">
        <v>2</v>
      </c>
      <c r="L820" s="10" t="str">
        <f>TRIM(IF(Table1[[#This Row],[years_of_experience]]="","Unknown",Table1[[#This Row],[years_of_experience]]))</f>
        <v>2</v>
      </c>
      <c r="M820" t="s">
        <v>314</v>
      </c>
      <c r="N820" t="str">
        <f>IF(Table1[[#This Row],[hourly_rate (USD)]]="",MEDIAN(Table1[hourly_rate (USD)]),Table1[[#This Row],[hourly_rate (USD)]])</f>
        <v>USD 20</v>
      </c>
      <c r="O820" t="str">
        <f>TRIM(CLEAN(Table1[[#This Row],[Updated hourly_rate (USD)]]))</f>
        <v>USD 20</v>
      </c>
      <c r="P820" t="str">
        <f>SUBSTITUTE(SUBSTITUTE(Table1[[#This Row],[Formatted hourly rate]],"USD ",""),"$","")</f>
        <v>20</v>
      </c>
      <c r="R820">
        <f>IF(Table1[[#This Row],[rating]]="",2.6,Table1[[#This Row],[rating]])</f>
        <v>2.6</v>
      </c>
      <c r="S820" t="s">
        <v>159</v>
      </c>
      <c r="T820" t="str">
        <f>TRIM(CLEAN(Table1[[#This Row],[is_active]]))</f>
        <v>no</v>
      </c>
      <c r="U82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20" s="11" t="str">
        <f>TRIM(IF(Table1[[#This Row],[is_active3]]="Unknown","TRUE",Table1[[#This Row],[is_active3]]))</f>
        <v>FALSE</v>
      </c>
      <c r="X820">
        <f>IF(Table1[[#This Row],[client_satisfaction]]&gt;1,Table1[[#This Row],[client_satisfaction]]/100,Table1[[#This Row],[client_satisfaction]])</f>
        <v>0</v>
      </c>
      <c r="Y820">
        <f>IF(Table1[[#This Row],[client_satisfaction2]]=0,0.75,Table1[[#This Row],[client_satisfaction2]])</f>
        <v>0.75</v>
      </c>
    </row>
    <row r="821" spans="1:25" x14ac:dyDescent="0.25">
      <c r="A821" t="s">
        <v>1717</v>
      </c>
      <c r="B821" t="s">
        <v>1718</v>
      </c>
      <c r="C821" t="str">
        <f>PROPER(TRIM(SUBSTITUTE(SUBSTITUTE(SUBSTITUTE(Table1[[#This Row],[name]],"Ms. ",""),"Mr. ",""),"Mrs. ","")))</f>
        <v>Alexandra Sims</v>
      </c>
      <c r="D821" t="s">
        <v>77</v>
      </c>
      <c r="E8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21">
        <v>40</v>
      </c>
      <c r="G821" t="str">
        <f>TRIM(IF(Table1[[#This Row],[age]]="","Unknown",Table1[[#This Row],[age]]))</f>
        <v>40</v>
      </c>
      <c r="H821" t="s">
        <v>93</v>
      </c>
      <c r="I821" t="s">
        <v>94</v>
      </c>
      <c r="J821" t="s">
        <v>17</v>
      </c>
      <c r="K821">
        <v>14</v>
      </c>
      <c r="L821" s="10" t="str">
        <f>TRIM(IF(Table1[[#This Row],[years_of_experience]]="","Unknown",Table1[[#This Row],[years_of_experience]]))</f>
        <v>14</v>
      </c>
      <c r="M821">
        <v>75</v>
      </c>
      <c r="N821">
        <f>IF(Table1[[#This Row],[hourly_rate (USD)]]="",MEDIAN(Table1[hourly_rate (USD)]),Table1[[#This Row],[hourly_rate (USD)]])</f>
        <v>75</v>
      </c>
      <c r="O821" t="str">
        <f>TRIM(CLEAN(Table1[[#This Row],[Updated hourly_rate (USD)]]))</f>
        <v>75</v>
      </c>
      <c r="P821" t="str">
        <f>SUBSTITUTE(SUBSTITUTE(Table1[[#This Row],[Formatted hourly rate]],"USD ",""),"$","")</f>
        <v>75</v>
      </c>
      <c r="Q821">
        <v>0</v>
      </c>
      <c r="R821">
        <f>IF(Table1[[#This Row],[rating]]="",2.6,Table1[[#This Row],[rating]])</f>
        <v>0</v>
      </c>
      <c r="S821">
        <v>1</v>
      </c>
      <c r="T821" t="str">
        <f>TRIM(CLEAN(Table1[[#This Row],[is_active]]))</f>
        <v>1</v>
      </c>
      <c r="U82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21" s="11" t="str">
        <f>TRIM(IF(Table1[[#This Row],[is_active3]]="Unknown","TRUE",Table1[[#This Row],[is_active3]]))</f>
        <v>TRUE</v>
      </c>
      <c r="W821">
        <v>0.79</v>
      </c>
      <c r="X821">
        <f>IF(Table1[[#This Row],[client_satisfaction]]&gt;1,Table1[[#This Row],[client_satisfaction]]/100,Table1[[#This Row],[client_satisfaction]])</f>
        <v>0.79</v>
      </c>
      <c r="Y821">
        <f>IF(Table1[[#This Row],[client_satisfaction2]]=0,0.75,Table1[[#This Row],[client_satisfaction2]])</f>
        <v>0.79</v>
      </c>
    </row>
    <row r="822" spans="1:25" x14ac:dyDescent="0.25">
      <c r="A822" t="s">
        <v>1719</v>
      </c>
      <c r="B822" t="s">
        <v>1720</v>
      </c>
      <c r="C822" t="str">
        <f>PROPER(TRIM(SUBSTITUTE(SUBSTITUTE(SUBSTITUTE(Table1[[#This Row],[name]],"Ms. ",""),"Mr. ",""),"Mrs. ","")))</f>
        <v>Brenda Spencer</v>
      </c>
      <c r="D822" t="s">
        <v>39</v>
      </c>
      <c r="E8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22">
        <v>49</v>
      </c>
      <c r="G822" t="str">
        <f>TRIM(IF(Table1[[#This Row],[age]]="","Unknown",Table1[[#This Row],[age]]))</f>
        <v>49</v>
      </c>
      <c r="H822" t="s">
        <v>175</v>
      </c>
      <c r="I822" t="s">
        <v>176</v>
      </c>
      <c r="J822" t="s">
        <v>23</v>
      </c>
      <c r="K822">
        <v>15</v>
      </c>
      <c r="L822" s="10" t="str">
        <f>TRIM(IF(Table1[[#This Row],[years_of_experience]]="","Unknown",Table1[[#This Row],[years_of_experience]]))</f>
        <v>15</v>
      </c>
      <c r="M822">
        <v>40</v>
      </c>
      <c r="N822">
        <f>IF(Table1[[#This Row],[hourly_rate (USD)]]="",MEDIAN(Table1[hourly_rate (USD)]),Table1[[#This Row],[hourly_rate (USD)]])</f>
        <v>40</v>
      </c>
      <c r="O822" t="str">
        <f>TRIM(CLEAN(Table1[[#This Row],[Updated hourly_rate (USD)]]))</f>
        <v>40</v>
      </c>
      <c r="P822" t="str">
        <f>SUBSTITUTE(SUBSTITUTE(Table1[[#This Row],[Formatted hourly rate]],"USD ",""),"$","")</f>
        <v>40</v>
      </c>
      <c r="Q822">
        <v>3.9</v>
      </c>
      <c r="R822">
        <f>IF(Table1[[#This Row],[rating]]="",2.6,Table1[[#This Row],[rating]])</f>
        <v>3.9</v>
      </c>
      <c r="S822" t="b">
        <v>0</v>
      </c>
      <c r="T822" t="str">
        <f>TRIM(CLEAN(Table1[[#This Row],[is_active]]))</f>
        <v>FALSE</v>
      </c>
      <c r="U82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22" s="11" t="str">
        <f>TRIM(IF(Table1[[#This Row],[is_active3]]="Unknown","TRUE",Table1[[#This Row],[is_active3]]))</f>
        <v>TRUE</v>
      </c>
      <c r="W822">
        <v>0.86</v>
      </c>
      <c r="X822">
        <f>IF(Table1[[#This Row],[client_satisfaction]]&gt;1,Table1[[#This Row],[client_satisfaction]]/100,Table1[[#This Row],[client_satisfaction]])</f>
        <v>0.86</v>
      </c>
      <c r="Y822">
        <f>IF(Table1[[#This Row],[client_satisfaction2]]=0,0.75,Table1[[#This Row],[client_satisfaction2]])</f>
        <v>0.86</v>
      </c>
    </row>
    <row r="823" spans="1:25" x14ac:dyDescent="0.25">
      <c r="A823" t="s">
        <v>1721</v>
      </c>
      <c r="B823" t="s">
        <v>1722</v>
      </c>
      <c r="C823" t="str">
        <f>PROPER(TRIM(SUBSTITUTE(SUBSTITUTE(SUBSTITUTE(Table1[[#This Row],[name]],"Ms. ",""),"Mr. ",""),"Mrs. ","")))</f>
        <v>Joshua Bush</v>
      </c>
      <c r="D823" t="s">
        <v>61</v>
      </c>
      <c r="E8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23">
        <v>30</v>
      </c>
      <c r="G823" t="str">
        <f>TRIM(IF(Table1[[#This Row],[age]]="","Unknown",Table1[[#This Row],[age]]))</f>
        <v>30</v>
      </c>
      <c r="H823" t="s">
        <v>21</v>
      </c>
      <c r="I823" t="s">
        <v>22</v>
      </c>
      <c r="J823" t="s">
        <v>73</v>
      </c>
      <c r="K823">
        <v>11</v>
      </c>
      <c r="L823" s="10" t="str">
        <f>TRIM(IF(Table1[[#This Row],[years_of_experience]]="","Unknown",Table1[[#This Row],[years_of_experience]]))</f>
        <v>11</v>
      </c>
      <c r="M823" t="s">
        <v>45</v>
      </c>
      <c r="N823" t="str">
        <f>IF(Table1[[#This Row],[hourly_rate (USD)]]="",MEDIAN(Table1[hourly_rate (USD)]),Table1[[#This Row],[hourly_rate (USD)]])</f>
        <v>$30</v>
      </c>
      <c r="O823" t="str">
        <f>TRIM(CLEAN(Table1[[#This Row],[Updated hourly_rate (USD)]]))</f>
        <v>$30</v>
      </c>
      <c r="P823" t="str">
        <f>SUBSTITUTE(SUBSTITUTE(Table1[[#This Row],[Formatted hourly rate]],"USD ",""),"$","")</f>
        <v>30</v>
      </c>
      <c r="Q823">
        <v>4.2</v>
      </c>
      <c r="R823">
        <f>IF(Table1[[#This Row],[rating]]="",2.6,Table1[[#This Row],[rating]])</f>
        <v>4.2</v>
      </c>
      <c r="S823">
        <v>0</v>
      </c>
      <c r="T823" t="str">
        <f>TRIM(CLEAN(Table1[[#This Row],[is_active]]))</f>
        <v>0</v>
      </c>
      <c r="U82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23" s="11" t="str">
        <f>TRIM(IF(Table1[[#This Row],[is_active3]]="Unknown","TRUE",Table1[[#This Row],[is_active3]]))</f>
        <v>FALSE</v>
      </c>
      <c r="W823">
        <v>0.65</v>
      </c>
      <c r="X823">
        <f>IF(Table1[[#This Row],[client_satisfaction]]&gt;1,Table1[[#This Row],[client_satisfaction]]/100,Table1[[#This Row],[client_satisfaction]])</f>
        <v>0.65</v>
      </c>
      <c r="Y823">
        <f>IF(Table1[[#This Row],[client_satisfaction2]]=0,0.75,Table1[[#This Row],[client_satisfaction2]])</f>
        <v>0.65</v>
      </c>
    </row>
    <row r="824" spans="1:25" x14ac:dyDescent="0.25">
      <c r="A824" t="s">
        <v>1723</v>
      </c>
      <c r="B824" t="s">
        <v>1724</v>
      </c>
      <c r="C824" t="str">
        <f>PROPER(TRIM(SUBSTITUTE(SUBSTITUTE(SUBSTITUTE(Table1[[#This Row],[name]],"Ms. ",""),"Mr. ",""),"Mrs. ","")))</f>
        <v>Erin Martin</v>
      </c>
      <c r="D824" t="s">
        <v>39</v>
      </c>
      <c r="E8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24">
        <v>37</v>
      </c>
      <c r="G824" t="str">
        <f>TRIM(IF(Table1[[#This Row],[age]]="","Unknown",Table1[[#This Row],[age]]))</f>
        <v>37</v>
      </c>
      <c r="H824" t="s">
        <v>85</v>
      </c>
      <c r="I824" t="s">
        <v>86</v>
      </c>
      <c r="J824" t="s">
        <v>44</v>
      </c>
      <c r="K824">
        <v>6</v>
      </c>
      <c r="L824" s="10" t="str">
        <f>TRIM(IF(Table1[[#This Row],[years_of_experience]]="","Unknown",Table1[[#This Row],[years_of_experience]]))</f>
        <v>6</v>
      </c>
      <c r="M824">
        <v>20</v>
      </c>
      <c r="N824">
        <f>IF(Table1[[#This Row],[hourly_rate (USD)]]="",MEDIAN(Table1[hourly_rate (USD)]),Table1[[#This Row],[hourly_rate (USD)]])</f>
        <v>20</v>
      </c>
      <c r="O824" t="str">
        <f>TRIM(CLEAN(Table1[[#This Row],[Updated hourly_rate (USD)]]))</f>
        <v>20</v>
      </c>
      <c r="P824" t="str">
        <f>SUBSTITUTE(SUBSTITUTE(Table1[[#This Row],[Formatted hourly rate]],"USD ",""),"$","")</f>
        <v>20</v>
      </c>
      <c r="R824">
        <f>IF(Table1[[#This Row],[rating]]="",2.6,Table1[[#This Row],[rating]])</f>
        <v>2.6</v>
      </c>
      <c r="T824" t="str">
        <f>TRIM(CLEAN(Table1[[#This Row],[is_active]]))</f>
        <v/>
      </c>
      <c r="U82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24" s="11" t="str">
        <f>TRIM(IF(Table1[[#This Row],[is_active3]]="Unknown","TRUE",Table1[[#This Row],[is_active3]]))</f>
        <v>TRUE</v>
      </c>
      <c r="W824">
        <v>0.99</v>
      </c>
      <c r="X824">
        <f>IF(Table1[[#This Row],[client_satisfaction]]&gt;1,Table1[[#This Row],[client_satisfaction]]/100,Table1[[#This Row],[client_satisfaction]])</f>
        <v>0.99</v>
      </c>
      <c r="Y824">
        <f>IF(Table1[[#This Row],[client_satisfaction2]]=0,0.75,Table1[[#This Row],[client_satisfaction2]])</f>
        <v>0.99</v>
      </c>
    </row>
    <row r="825" spans="1:25" x14ac:dyDescent="0.25">
      <c r="A825" t="s">
        <v>1725</v>
      </c>
      <c r="B825" t="s">
        <v>1726</v>
      </c>
      <c r="C825" t="str">
        <f>PROPER(TRIM(SUBSTITUTE(SUBSTITUTE(SUBSTITUTE(Table1[[#This Row],[name]],"Ms. ",""),"Mr. ",""),"Mrs. ","")))</f>
        <v>Alexander Hogan</v>
      </c>
      <c r="D825" t="s">
        <v>27</v>
      </c>
      <c r="E8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25">
        <v>21</v>
      </c>
      <c r="G825" t="str">
        <f>TRIM(IF(Table1[[#This Row],[age]]="","Unknown",Table1[[#This Row],[age]]))</f>
        <v>21</v>
      </c>
      <c r="H825" t="s">
        <v>139</v>
      </c>
      <c r="I825" t="s">
        <v>140</v>
      </c>
      <c r="J825" t="s">
        <v>30</v>
      </c>
      <c r="K825">
        <v>2</v>
      </c>
      <c r="L825" s="10" t="str">
        <f>TRIM(IF(Table1[[#This Row],[years_of_experience]]="","Unknown",Table1[[#This Row],[years_of_experience]]))</f>
        <v>2</v>
      </c>
      <c r="M825">
        <v>100</v>
      </c>
      <c r="N825">
        <f>IF(Table1[[#This Row],[hourly_rate (USD)]]="",MEDIAN(Table1[hourly_rate (USD)]),Table1[[#This Row],[hourly_rate (USD)]])</f>
        <v>100</v>
      </c>
      <c r="O825" t="str">
        <f>TRIM(CLEAN(Table1[[#This Row],[Updated hourly_rate (USD)]]))</f>
        <v>100</v>
      </c>
      <c r="P825" t="str">
        <f>SUBSTITUTE(SUBSTITUTE(Table1[[#This Row],[Formatted hourly rate]],"USD ",""),"$","")</f>
        <v>100</v>
      </c>
      <c r="Q825">
        <v>3.6</v>
      </c>
      <c r="R825">
        <f>IF(Table1[[#This Row],[rating]]="",2.6,Table1[[#This Row],[rating]])</f>
        <v>3.6</v>
      </c>
      <c r="S825" t="b">
        <v>0</v>
      </c>
      <c r="T825" t="str">
        <f>TRIM(CLEAN(Table1[[#This Row],[is_active]]))</f>
        <v>FALSE</v>
      </c>
      <c r="U82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25" s="11" t="str">
        <f>TRIM(IF(Table1[[#This Row],[is_active3]]="Unknown","TRUE",Table1[[#This Row],[is_active3]]))</f>
        <v>TRUE</v>
      </c>
      <c r="W825">
        <v>85</v>
      </c>
      <c r="X825">
        <f>IF(Table1[[#This Row],[client_satisfaction]]&gt;1,Table1[[#This Row],[client_satisfaction]]/100,Table1[[#This Row],[client_satisfaction]])</f>
        <v>0.85</v>
      </c>
      <c r="Y825">
        <f>IF(Table1[[#This Row],[client_satisfaction2]]=0,0.75,Table1[[#This Row],[client_satisfaction2]])</f>
        <v>0.85</v>
      </c>
    </row>
    <row r="826" spans="1:25" x14ac:dyDescent="0.25">
      <c r="A826" t="s">
        <v>1727</v>
      </c>
      <c r="B826" t="s">
        <v>1728</v>
      </c>
      <c r="C826" t="str">
        <f>PROPER(TRIM(SUBSTITUTE(SUBSTITUTE(SUBSTITUTE(Table1[[#This Row],[name]],"Ms. ",""),"Mr. ",""),"Mrs. ","")))</f>
        <v>William Harris</v>
      </c>
      <c r="D826" t="s">
        <v>97</v>
      </c>
      <c r="E8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26">
        <v>20</v>
      </c>
      <c r="G826" t="str">
        <f>TRIM(IF(Table1[[#This Row],[age]]="","Unknown",Table1[[#This Row],[age]]))</f>
        <v>20</v>
      </c>
      <c r="H826" t="s">
        <v>112</v>
      </c>
      <c r="I826" t="s">
        <v>113</v>
      </c>
      <c r="J826" t="s">
        <v>44</v>
      </c>
      <c r="K826">
        <v>1</v>
      </c>
      <c r="L826" s="10" t="str">
        <f>TRIM(IF(Table1[[#This Row],[years_of_experience]]="","Unknown",Table1[[#This Row],[years_of_experience]]))</f>
        <v>1</v>
      </c>
      <c r="M826" t="s">
        <v>98</v>
      </c>
      <c r="N826" t="str">
        <f>IF(Table1[[#This Row],[hourly_rate (USD)]]="",MEDIAN(Table1[hourly_rate (USD)]),Table1[[#This Row],[hourly_rate (USD)]])</f>
        <v>USD 50</v>
      </c>
      <c r="O826" t="str">
        <f>TRIM(CLEAN(Table1[[#This Row],[Updated hourly_rate (USD)]]))</f>
        <v>USD 50</v>
      </c>
      <c r="P826" t="str">
        <f>SUBSTITUTE(SUBSTITUTE(Table1[[#This Row],[Formatted hourly rate]],"USD ",""),"$","")</f>
        <v>50</v>
      </c>
      <c r="R826">
        <f>IF(Table1[[#This Row],[rating]]="",2.6,Table1[[#This Row],[rating]])</f>
        <v>2.6</v>
      </c>
      <c r="S826" t="s">
        <v>68</v>
      </c>
      <c r="T826" t="str">
        <f>TRIM(CLEAN(Table1[[#This Row],[is_active]]))</f>
        <v>yes</v>
      </c>
      <c r="U82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26" s="11" t="str">
        <f>TRIM(IF(Table1[[#This Row],[is_active3]]="Unknown","TRUE",Table1[[#This Row],[is_active3]]))</f>
        <v>TRUE</v>
      </c>
      <c r="W826">
        <v>0.81</v>
      </c>
      <c r="X826">
        <f>IF(Table1[[#This Row],[client_satisfaction]]&gt;1,Table1[[#This Row],[client_satisfaction]]/100,Table1[[#This Row],[client_satisfaction]])</f>
        <v>0.81</v>
      </c>
      <c r="Y826">
        <f>IF(Table1[[#This Row],[client_satisfaction2]]=0,0.75,Table1[[#This Row],[client_satisfaction2]])</f>
        <v>0.81</v>
      </c>
    </row>
    <row r="827" spans="1:25" x14ac:dyDescent="0.25">
      <c r="A827" t="s">
        <v>1729</v>
      </c>
      <c r="B827" t="s">
        <v>1730</v>
      </c>
      <c r="C827" t="str">
        <f>PROPER(TRIM(SUBSTITUTE(SUBSTITUTE(SUBSTITUTE(Table1[[#This Row],[name]],"Ms. ",""),"Mr. ",""),"Mrs. ","")))</f>
        <v>Michael Mcmahon</v>
      </c>
      <c r="D827" t="s">
        <v>27</v>
      </c>
      <c r="E8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27">
        <v>20</v>
      </c>
      <c r="G827" t="str">
        <f>TRIM(IF(Table1[[#This Row],[age]]="","Unknown",Table1[[#This Row],[age]]))</f>
        <v>20</v>
      </c>
      <c r="H827" t="s">
        <v>175</v>
      </c>
      <c r="I827" t="s">
        <v>176</v>
      </c>
      <c r="J827" t="s">
        <v>51</v>
      </c>
      <c r="K827">
        <v>2</v>
      </c>
      <c r="L827" s="10" t="str">
        <f>TRIM(IF(Table1[[#This Row],[years_of_experience]]="","Unknown",Table1[[#This Row],[years_of_experience]]))</f>
        <v>2</v>
      </c>
      <c r="M827" t="s">
        <v>36</v>
      </c>
      <c r="N827" t="str">
        <f>IF(Table1[[#This Row],[hourly_rate (USD)]]="",MEDIAN(Table1[hourly_rate (USD)]),Table1[[#This Row],[hourly_rate (USD)]])</f>
        <v>$40</v>
      </c>
      <c r="O827" t="str">
        <f>TRIM(CLEAN(Table1[[#This Row],[Updated hourly_rate (USD)]]))</f>
        <v>$40</v>
      </c>
      <c r="P827" t="str">
        <f>SUBSTITUTE(SUBSTITUTE(Table1[[#This Row],[Formatted hourly rate]],"USD ",""),"$","")</f>
        <v>40</v>
      </c>
      <c r="Q827">
        <v>2.1</v>
      </c>
      <c r="R827">
        <f>IF(Table1[[#This Row],[rating]]="",2.6,Table1[[#This Row],[rating]])</f>
        <v>2.1</v>
      </c>
      <c r="S827" t="s">
        <v>31</v>
      </c>
      <c r="T827" t="str">
        <f>TRIM(CLEAN(Table1[[#This Row],[is_active]]))</f>
        <v>N</v>
      </c>
      <c r="U82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27" s="11" t="str">
        <f>TRIM(IF(Table1[[#This Row],[is_active3]]="Unknown","TRUE",Table1[[#This Row],[is_active3]]))</f>
        <v>FALSE</v>
      </c>
      <c r="W827">
        <v>0.64</v>
      </c>
      <c r="X827">
        <f>IF(Table1[[#This Row],[client_satisfaction]]&gt;1,Table1[[#This Row],[client_satisfaction]]/100,Table1[[#This Row],[client_satisfaction]])</f>
        <v>0.64</v>
      </c>
      <c r="Y827">
        <f>IF(Table1[[#This Row],[client_satisfaction2]]=0,0.75,Table1[[#This Row],[client_satisfaction2]])</f>
        <v>0.64</v>
      </c>
    </row>
    <row r="828" spans="1:25" x14ac:dyDescent="0.25">
      <c r="A828" t="s">
        <v>1731</v>
      </c>
      <c r="B828" t="s">
        <v>1732</v>
      </c>
      <c r="C828" t="str">
        <f>PROPER(TRIM(SUBSTITUTE(SUBSTITUTE(SUBSTITUTE(Table1[[#This Row],[name]],"Ms. ",""),"Mr. ",""),"Mrs. ","")))</f>
        <v>Michael Watson</v>
      </c>
      <c r="D828" t="s">
        <v>61</v>
      </c>
      <c r="E8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28">
        <v>20</v>
      </c>
      <c r="G828" t="str">
        <f>TRIM(IF(Table1[[#This Row],[age]]="","Unknown",Table1[[#This Row],[age]]))</f>
        <v>20</v>
      </c>
      <c r="H828" t="s">
        <v>71</v>
      </c>
      <c r="I828" t="s">
        <v>72</v>
      </c>
      <c r="J828" t="s">
        <v>114</v>
      </c>
      <c r="K828">
        <v>2</v>
      </c>
      <c r="L828" s="10" t="str">
        <f>TRIM(IF(Table1[[#This Row],[years_of_experience]]="","Unknown",Table1[[#This Row],[years_of_experience]]))</f>
        <v>2</v>
      </c>
      <c r="M828">
        <v>20</v>
      </c>
      <c r="N828">
        <f>IF(Table1[[#This Row],[hourly_rate (USD)]]="",MEDIAN(Table1[hourly_rate (USD)]),Table1[[#This Row],[hourly_rate (USD)]])</f>
        <v>20</v>
      </c>
      <c r="O828" t="str">
        <f>TRIM(CLEAN(Table1[[#This Row],[Updated hourly_rate (USD)]]))</f>
        <v>20</v>
      </c>
      <c r="P828" t="str">
        <f>SUBSTITUTE(SUBSTITUTE(Table1[[#This Row],[Formatted hourly rate]],"USD ",""),"$","")</f>
        <v>20</v>
      </c>
      <c r="Q828">
        <v>3.9</v>
      </c>
      <c r="R828">
        <f>IF(Table1[[#This Row],[rating]]="",2.6,Table1[[#This Row],[rating]])</f>
        <v>3.9</v>
      </c>
      <c r="S828" t="b">
        <v>0</v>
      </c>
      <c r="T828" t="str">
        <f>TRIM(CLEAN(Table1[[#This Row],[is_active]]))</f>
        <v>FALSE</v>
      </c>
      <c r="U82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28" s="11" t="str">
        <f>TRIM(IF(Table1[[#This Row],[is_active3]]="Unknown","TRUE",Table1[[#This Row],[is_active3]]))</f>
        <v>TRUE</v>
      </c>
      <c r="W828">
        <v>0.84</v>
      </c>
      <c r="X828">
        <f>IF(Table1[[#This Row],[client_satisfaction]]&gt;1,Table1[[#This Row],[client_satisfaction]]/100,Table1[[#This Row],[client_satisfaction]])</f>
        <v>0.84</v>
      </c>
      <c r="Y828">
        <f>IF(Table1[[#This Row],[client_satisfaction2]]=0,0.75,Table1[[#This Row],[client_satisfaction2]])</f>
        <v>0.84</v>
      </c>
    </row>
    <row r="829" spans="1:25" x14ac:dyDescent="0.25">
      <c r="A829" t="s">
        <v>1733</v>
      </c>
      <c r="B829" t="s">
        <v>1734</v>
      </c>
      <c r="C829" t="str">
        <f>PROPER(TRIM(SUBSTITUTE(SUBSTITUTE(SUBSTITUTE(Table1[[#This Row],[name]],"Ms. ",""),"Mr. ",""),"Mrs. ","")))</f>
        <v>Lori Perez</v>
      </c>
      <c r="D829" t="s">
        <v>14</v>
      </c>
      <c r="E8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29">
        <v>26</v>
      </c>
      <c r="G829" t="str">
        <f>TRIM(IF(Table1[[#This Row],[age]]="","Unknown",Table1[[#This Row],[age]]))</f>
        <v>26</v>
      </c>
      <c r="H829" t="s">
        <v>124</v>
      </c>
      <c r="I829" t="s">
        <v>125</v>
      </c>
      <c r="J829" t="s">
        <v>114</v>
      </c>
      <c r="K829">
        <v>2</v>
      </c>
      <c r="L829" s="10" t="str">
        <f>TRIM(IF(Table1[[#This Row],[years_of_experience]]="","Unknown",Table1[[#This Row],[years_of_experience]]))</f>
        <v>2</v>
      </c>
      <c r="M829">
        <v>40</v>
      </c>
      <c r="N829">
        <f>IF(Table1[[#This Row],[hourly_rate (USD)]]="",MEDIAN(Table1[hourly_rate (USD)]),Table1[[#This Row],[hourly_rate (USD)]])</f>
        <v>40</v>
      </c>
      <c r="O829" t="str">
        <f>TRIM(CLEAN(Table1[[#This Row],[Updated hourly_rate (USD)]]))</f>
        <v>40</v>
      </c>
      <c r="P829" t="str">
        <f>SUBSTITUTE(SUBSTITUTE(Table1[[#This Row],[Formatted hourly rate]],"USD ",""),"$","")</f>
        <v>40</v>
      </c>
      <c r="Q829">
        <v>0</v>
      </c>
      <c r="R829">
        <f>IF(Table1[[#This Row],[rating]]="",2.6,Table1[[#This Row],[rating]])</f>
        <v>0</v>
      </c>
      <c r="T829" t="str">
        <f>TRIM(CLEAN(Table1[[#This Row],[is_active]]))</f>
        <v/>
      </c>
      <c r="U82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29" s="11" t="str">
        <f>TRIM(IF(Table1[[#This Row],[is_active3]]="Unknown","TRUE",Table1[[#This Row],[is_active3]]))</f>
        <v>TRUE</v>
      </c>
      <c r="W829">
        <v>0.66</v>
      </c>
      <c r="X829">
        <f>IF(Table1[[#This Row],[client_satisfaction]]&gt;1,Table1[[#This Row],[client_satisfaction]]/100,Table1[[#This Row],[client_satisfaction]])</f>
        <v>0.66</v>
      </c>
      <c r="Y829">
        <f>IF(Table1[[#This Row],[client_satisfaction2]]=0,0.75,Table1[[#This Row],[client_satisfaction2]])</f>
        <v>0.66</v>
      </c>
    </row>
    <row r="830" spans="1:25" x14ac:dyDescent="0.25">
      <c r="A830" t="s">
        <v>1735</v>
      </c>
      <c r="B830" t="s">
        <v>1736</v>
      </c>
      <c r="C830" t="str">
        <f>PROPER(TRIM(SUBSTITUTE(SUBSTITUTE(SUBSTITUTE(Table1[[#This Row],[name]],"Ms. ",""),"Mr. ",""),"Mrs. ","")))</f>
        <v>Lindsay Le</v>
      </c>
      <c r="D830" t="s">
        <v>39</v>
      </c>
      <c r="E8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30">
        <v>50</v>
      </c>
      <c r="G830" t="str">
        <f>TRIM(IF(Table1[[#This Row],[age]]="","Unknown",Table1[[#This Row],[age]]))</f>
        <v>50</v>
      </c>
      <c r="H830" t="s">
        <v>112</v>
      </c>
      <c r="I830" t="s">
        <v>113</v>
      </c>
      <c r="J830" t="s">
        <v>35</v>
      </c>
      <c r="K830">
        <v>12</v>
      </c>
      <c r="L830" s="10" t="str">
        <f>TRIM(IF(Table1[[#This Row],[years_of_experience]]="","Unknown",Table1[[#This Row],[years_of_experience]]))</f>
        <v>12</v>
      </c>
      <c r="M830" t="s">
        <v>170</v>
      </c>
      <c r="N830" t="str">
        <f>IF(Table1[[#This Row],[hourly_rate (USD)]]="",MEDIAN(Table1[hourly_rate (USD)]),Table1[[#This Row],[hourly_rate (USD)]])</f>
        <v>$75</v>
      </c>
      <c r="O830" t="str">
        <f>TRIM(CLEAN(Table1[[#This Row],[Updated hourly_rate (USD)]]))</f>
        <v>$75</v>
      </c>
      <c r="P830" t="str">
        <f>SUBSTITUTE(SUBSTITUTE(Table1[[#This Row],[Formatted hourly rate]],"USD ",""),"$","")</f>
        <v>75</v>
      </c>
      <c r="Q830">
        <v>0</v>
      </c>
      <c r="R830">
        <f>IF(Table1[[#This Row],[rating]]="",2.6,Table1[[#This Row],[rating]])</f>
        <v>0</v>
      </c>
      <c r="S830" t="b">
        <v>0</v>
      </c>
      <c r="T830" t="str">
        <f>TRIM(CLEAN(Table1[[#This Row],[is_active]]))</f>
        <v>FALSE</v>
      </c>
      <c r="U83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30" s="11" t="str">
        <f>TRIM(IF(Table1[[#This Row],[is_active3]]="Unknown","TRUE",Table1[[#This Row],[is_active3]]))</f>
        <v>TRUE</v>
      </c>
      <c r="W830">
        <v>75</v>
      </c>
      <c r="X830">
        <f>IF(Table1[[#This Row],[client_satisfaction]]&gt;1,Table1[[#This Row],[client_satisfaction]]/100,Table1[[#This Row],[client_satisfaction]])</f>
        <v>0.75</v>
      </c>
      <c r="Y830">
        <f>IF(Table1[[#This Row],[client_satisfaction2]]=0,0.75,Table1[[#This Row],[client_satisfaction2]])</f>
        <v>0.75</v>
      </c>
    </row>
    <row r="831" spans="1:25" x14ac:dyDescent="0.25">
      <c r="A831" t="s">
        <v>1737</v>
      </c>
      <c r="B831" t="s">
        <v>1738</v>
      </c>
      <c r="C831" t="str">
        <f>PROPER(TRIM(SUBSTITUTE(SUBSTITUTE(SUBSTITUTE(Table1[[#This Row],[name]],"Ms. ",""),"Mr. ",""),"Mrs. ","")))</f>
        <v>Scott Long</v>
      </c>
      <c r="D831" t="s">
        <v>97</v>
      </c>
      <c r="E8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31">
        <v>50</v>
      </c>
      <c r="G831" t="str">
        <f>TRIM(IF(Table1[[#This Row],[age]]="","Unknown",Table1[[#This Row],[age]]))</f>
        <v>50</v>
      </c>
      <c r="H831" t="s">
        <v>190</v>
      </c>
      <c r="I831" t="s">
        <v>72</v>
      </c>
      <c r="J831" t="s">
        <v>44</v>
      </c>
      <c r="K831">
        <v>28</v>
      </c>
      <c r="L831" s="10" t="str">
        <f>TRIM(IF(Table1[[#This Row],[years_of_experience]]="","Unknown",Table1[[#This Row],[years_of_experience]]))</f>
        <v>28</v>
      </c>
      <c r="M831">
        <v>30</v>
      </c>
      <c r="N831">
        <f>IF(Table1[[#This Row],[hourly_rate (USD)]]="",MEDIAN(Table1[hourly_rate (USD)]),Table1[[#This Row],[hourly_rate (USD)]])</f>
        <v>30</v>
      </c>
      <c r="O831" t="str">
        <f>TRIM(CLEAN(Table1[[#This Row],[Updated hourly_rate (USD)]]))</f>
        <v>30</v>
      </c>
      <c r="P831" t="str">
        <f>SUBSTITUTE(SUBSTITUTE(Table1[[#This Row],[Formatted hourly rate]],"USD ",""),"$","")</f>
        <v>30</v>
      </c>
      <c r="Q831">
        <v>1.8</v>
      </c>
      <c r="R831">
        <f>IF(Table1[[#This Row],[rating]]="",2.6,Table1[[#This Row],[rating]])</f>
        <v>1.8</v>
      </c>
      <c r="T831" t="str">
        <f>TRIM(CLEAN(Table1[[#This Row],[is_active]]))</f>
        <v/>
      </c>
      <c r="U83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31" s="11" t="str">
        <f>TRIM(IF(Table1[[#This Row],[is_active3]]="Unknown","TRUE",Table1[[#This Row],[is_active3]]))</f>
        <v>TRUE</v>
      </c>
      <c r="X831">
        <f>IF(Table1[[#This Row],[client_satisfaction]]&gt;1,Table1[[#This Row],[client_satisfaction]]/100,Table1[[#This Row],[client_satisfaction]])</f>
        <v>0</v>
      </c>
      <c r="Y831">
        <f>IF(Table1[[#This Row],[client_satisfaction2]]=0,0.75,Table1[[#This Row],[client_satisfaction2]])</f>
        <v>0.75</v>
      </c>
    </row>
    <row r="832" spans="1:25" x14ac:dyDescent="0.25">
      <c r="A832" t="s">
        <v>1739</v>
      </c>
      <c r="B832" t="s">
        <v>1740</v>
      </c>
      <c r="C832" t="str">
        <f>PROPER(TRIM(SUBSTITUTE(SUBSTITUTE(SUBSTITUTE(Table1[[#This Row],[name]],"Ms. ",""),"Mr. ",""),"Mrs. ","")))</f>
        <v>Diana Ferguson</v>
      </c>
      <c r="D832" t="s">
        <v>77</v>
      </c>
      <c r="E8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32">
        <v>54</v>
      </c>
      <c r="G832" t="str">
        <f>TRIM(IF(Table1[[#This Row],[age]]="","Unknown",Table1[[#This Row],[age]]))</f>
        <v>54</v>
      </c>
      <c r="H832" t="s">
        <v>49</v>
      </c>
      <c r="I832" t="s">
        <v>50</v>
      </c>
      <c r="J832" t="s">
        <v>44</v>
      </c>
      <c r="K832">
        <v>4</v>
      </c>
      <c r="L832" s="10" t="str">
        <f>TRIM(IF(Table1[[#This Row],[years_of_experience]]="","Unknown",Table1[[#This Row],[years_of_experience]]))</f>
        <v>4</v>
      </c>
      <c r="M832">
        <v>20</v>
      </c>
      <c r="N832">
        <f>IF(Table1[[#This Row],[hourly_rate (USD)]]="",MEDIAN(Table1[hourly_rate (USD)]),Table1[[#This Row],[hourly_rate (USD)]])</f>
        <v>20</v>
      </c>
      <c r="O832" t="str">
        <f>TRIM(CLEAN(Table1[[#This Row],[Updated hourly_rate (USD)]]))</f>
        <v>20</v>
      </c>
      <c r="P832" t="str">
        <f>SUBSTITUTE(SUBSTITUTE(Table1[[#This Row],[Formatted hourly rate]],"USD ",""),"$","")</f>
        <v>20</v>
      </c>
      <c r="Q832">
        <v>1.1000000000000001</v>
      </c>
      <c r="R832">
        <f>IF(Table1[[#This Row],[rating]]="",2.6,Table1[[#This Row],[rating]])</f>
        <v>1.1000000000000001</v>
      </c>
      <c r="S832">
        <v>1</v>
      </c>
      <c r="T832" t="str">
        <f>TRIM(CLEAN(Table1[[#This Row],[is_active]]))</f>
        <v>1</v>
      </c>
      <c r="U83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32" s="11" t="str">
        <f>TRIM(IF(Table1[[#This Row],[is_active3]]="Unknown","TRUE",Table1[[#This Row],[is_active3]]))</f>
        <v>TRUE</v>
      </c>
      <c r="W832">
        <v>0.63</v>
      </c>
      <c r="X832">
        <f>IF(Table1[[#This Row],[client_satisfaction]]&gt;1,Table1[[#This Row],[client_satisfaction]]/100,Table1[[#This Row],[client_satisfaction]])</f>
        <v>0.63</v>
      </c>
      <c r="Y832">
        <f>IF(Table1[[#This Row],[client_satisfaction2]]=0,0.75,Table1[[#This Row],[client_satisfaction2]])</f>
        <v>0.63</v>
      </c>
    </row>
    <row r="833" spans="1:25" x14ac:dyDescent="0.25">
      <c r="A833" t="s">
        <v>1741</v>
      </c>
      <c r="B833" t="s">
        <v>1742</v>
      </c>
      <c r="C833" t="str">
        <f>PROPER(TRIM(SUBSTITUTE(SUBSTITUTE(SUBSTITUTE(Table1[[#This Row],[name]],"Ms. ",""),"Mr. ",""),"Mrs. ","")))</f>
        <v>Joseph Miller</v>
      </c>
      <c r="D833" t="s">
        <v>27</v>
      </c>
      <c r="E8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33">
        <v>54</v>
      </c>
      <c r="G833" t="str">
        <f>TRIM(IF(Table1[[#This Row],[age]]="","Unknown",Table1[[#This Row],[age]]))</f>
        <v>54</v>
      </c>
      <c r="H833" t="s">
        <v>190</v>
      </c>
      <c r="I833" t="s">
        <v>72</v>
      </c>
      <c r="J833" t="s">
        <v>17</v>
      </c>
      <c r="K833">
        <v>3</v>
      </c>
      <c r="L833" s="10" t="str">
        <f>TRIM(IF(Table1[[#This Row],[years_of_experience]]="","Unknown",Table1[[#This Row],[years_of_experience]]))</f>
        <v>3</v>
      </c>
      <c r="M833">
        <v>20</v>
      </c>
      <c r="N833">
        <f>IF(Table1[[#This Row],[hourly_rate (USD)]]="",MEDIAN(Table1[hourly_rate (USD)]),Table1[[#This Row],[hourly_rate (USD)]])</f>
        <v>20</v>
      </c>
      <c r="O833" t="str">
        <f>TRIM(CLEAN(Table1[[#This Row],[Updated hourly_rate (USD)]]))</f>
        <v>20</v>
      </c>
      <c r="P833" t="str">
        <f>SUBSTITUTE(SUBSTITUTE(Table1[[#This Row],[Formatted hourly rate]],"USD ",""),"$","")</f>
        <v>20</v>
      </c>
      <c r="Q833">
        <v>1.6</v>
      </c>
      <c r="R833">
        <f>IF(Table1[[#This Row],[rating]]="",2.6,Table1[[#This Row],[rating]])</f>
        <v>1.6</v>
      </c>
      <c r="S833" t="s">
        <v>74</v>
      </c>
      <c r="T833" t="str">
        <f>TRIM(CLEAN(Table1[[#This Row],[is_active]]))</f>
        <v>Y</v>
      </c>
      <c r="U8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33" s="11" t="str">
        <f>TRIM(IF(Table1[[#This Row],[is_active3]]="Unknown","TRUE",Table1[[#This Row],[is_active3]]))</f>
        <v>TRUE</v>
      </c>
      <c r="W833">
        <v>0.7</v>
      </c>
      <c r="X833">
        <f>IF(Table1[[#This Row],[client_satisfaction]]&gt;1,Table1[[#This Row],[client_satisfaction]]/100,Table1[[#This Row],[client_satisfaction]])</f>
        <v>0.7</v>
      </c>
      <c r="Y833">
        <f>IF(Table1[[#This Row],[client_satisfaction2]]=0,0.75,Table1[[#This Row],[client_satisfaction2]])</f>
        <v>0.7</v>
      </c>
    </row>
    <row r="834" spans="1:25" x14ac:dyDescent="0.25">
      <c r="A834" t="s">
        <v>1743</v>
      </c>
      <c r="B834" t="s">
        <v>1744</v>
      </c>
      <c r="C834" t="str">
        <f>PROPER(TRIM(SUBSTITUTE(SUBSTITUTE(SUBSTITUTE(Table1[[#This Row],[name]],"Ms. ",""),"Mr. ",""),"Mrs. ","")))</f>
        <v>Julia Reid</v>
      </c>
      <c r="D834" t="s">
        <v>77</v>
      </c>
      <c r="E8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34">
        <v>34</v>
      </c>
      <c r="G834" t="str">
        <f>TRIM(IF(Table1[[#This Row],[age]]="","Unknown",Table1[[#This Row],[age]]))</f>
        <v>34</v>
      </c>
      <c r="H834" t="s">
        <v>139</v>
      </c>
      <c r="I834" t="s">
        <v>140</v>
      </c>
      <c r="J834" t="s">
        <v>114</v>
      </c>
      <c r="K834">
        <v>4</v>
      </c>
      <c r="L834" s="10" t="str">
        <f>TRIM(IF(Table1[[#This Row],[years_of_experience]]="","Unknown",Table1[[#This Row],[years_of_experience]]))</f>
        <v>4</v>
      </c>
      <c r="M834" t="s">
        <v>45</v>
      </c>
      <c r="N834" t="str">
        <f>IF(Table1[[#This Row],[hourly_rate (USD)]]="",MEDIAN(Table1[hourly_rate (USD)]),Table1[[#This Row],[hourly_rate (USD)]])</f>
        <v>$30</v>
      </c>
      <c r="O834" t="str">
        <f>TRIM(CLEAN(Table1[[#This Row],[Updated hourly_rate (USD)]]))</f>
        <v>$30</v>
      </c>
      <c r="P834" t="str">
        <f>SUBSTITUTE(SUBSTITUTE(Table1[[#This Row],[Formatted hourly rate]],"USD ",""),"$","")</f>
        <v>30</v>
      </c>
      <c r="Q834">
        <v>3.1</v>
      </c>
      <c r="R834">
        <f>IF(Table1[[#This Row],[rating]]="",2.6,Table1[[#This Row],[rating]])</f>
        <v>3.1</v>
      </c>
      <c r="T834" t="str">
        <f>TRIM(CLEAN(Table1[[#This Row],[is_active]]))</f>
        <v/>
      </c>
      <c r="U83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34" s="11" t="str">
        <f>TRIM(IF(Table1[[#This Row],[is_active3]]="Unknown","TRUE",Table1[[#This Row],[is_active3]]))</f>
        <v>TRUE</v>
      </c>
      <c r="W834">
        <v>0.9</v>
      </c>
      <c r="X834">
        <f>IF(Table1[[#This Row],[client_satisfaction]]&gt;1,Table1[[#This Row],[client_satisfaction]]/100,Table1[[#This Row],[client_satisfaction]])</f>
        <v>0.9</v>
      </c>
      <c r="Y834">
        <f>IF(Table1[[#This Row],[client_satisfaction2]]=0,0.75,Table1[[#This Row],[client_satisfaction2]])</f>
        <v>0.9</v>
      </c>
    </row>
    <row r="835" spans="1:25" x14ac:dyDescent="0.25">
      <c r="A835" t="s">
        <v>1745</v>
      </c>
      <c r="B835" t="s">
        <v>1746</v>
      </c>
      <c r="C835" t="str">
        <f>PROPER(TRIM(SUBSTITUTE(SUBSTITUTE(SUBSTITUTE(Table1[[#This Row],[name]],"Ms. ",""),"Mr. ",""),"Mrs. ","")))</f>
        <v>Samantha Matthews</v>
      </c>
      <c r="D835" t="s">
        <v>77</v>
      </c>
      <c r="E8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35">
        <v>20</v>
      </c>
      <c r="G835" t="str">
        <f>TRIM(IF(Table1[[#This Row],[age]]="","Unknown",Table1[[#This Row],[age]]))</f>
        <v>20</v>
      </c>
      <c r="H835" t="s">
        <v>15</v>
      </c>
      <c r="I835" t="s">
        <v>16</v>
      </c>
      <c r="J835" t="s">
        <v>89</v>
      </c>
      <c r="K835">
        <v>1</v>
      </c>
      <c r="L835" s="10" t="str">
        <f>TRIM(IF(Table1[[#This Row],[years_of_experience]]="","Unknown",Table1[[#This Row],[years_of_experience]]))</f>
        <v>1</v>
      </c>
      <c r="M835">
        <v>50</v>
      </c>
      <c r="N835">
        <f>IF(Table1[[#This Row],[hourly_rate (USD)]]="",MEDIAN(Table1[hourly_rate (USD)]),Table1[[#This Row],[hourly_rate (USD)]])</f>
        <v>50</v>
      </c>
      <c r="O835" t="str">
        <f>TRIM(CLEAN(Table1[[#This Row],[Updated hourly_rate (USD)]]))</f>
        <v>50</v>
      </c>
      <c r="P835" t="str">
        <f>SUBSTITUTE(SUBSTITUTE(Table1[[#This Row],[Formatted hourly rate]],"USD ",""),"$","")</f>
        <v>50</v>
      </c>
      <c r="Q835">
        <v>3.4</v>
      </c>
      <c r="R835">
        <f>IF(Table1[[#This Row],[rating]]="",2.6,Table1[[#This Row],[rating]])</f>
        <v>3.4</v>
      </c>
      <c r="S835">
        <v>1</v>
      </c>
      <c r="T835" t="str">
        <f>TRIM(CLEAN(Table1[[#This Row],[is_active]]))</f>
        <v>1</v>
      </c>
      <c r="U83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35" s="11" t="str">
        <f>TRIM(IF(Table1[[#This Row],[is_active3]]="Unknown","TRUE",Table1[[#This Row],[is_active3]]))</f>
        <v>TRUE</v>
      </c>
      <c r="W835">
        <v>79</v>
      </c>
      <c r="X835">
        <f>IF(Table1[[#This Row],[client_satisfaction]]&gt;1,Table1[[#This Row],[client_satisfaction]]/100,Table1[[#This Row],[client_satisfaction]])</f>
        <v>0.79</v>
      </c>
      <c r="Y835">
        <f>IF(Table1[[#This Row],[client_satisfaction2]]=0,0.75,Table1[[#This Row],[client_satisfaction2]])</f>
        <v>0.79</v>
      </c>
    </row>
    <row r="836" spans="1:25" x14ac:dyDescent="0.25">
      <c r="A836" t="s">
        <v>1747</v>
      </c>
      <c r="B836" t="s">
        <v>1748</v>
      </c>
      <c r="C836" t="str">
        <f>PROPER(TRIM(SUBSTITUTE(SUBSTITUTE(SUBSTITUTE(Table1[[#This Row],[name]],"Ms. ",""),"Mr. ",""),"Mrs. ","")))</f>
        <v>Brian Bailey</v>
      </c>
      <c r="D836" t="s">
        <v>27</v>
      </c>
      <c r="E8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36">
        <v>29</v>
      </c>
      <c r="G836" t="str">
        <f>TRIM(IF(Table1[[#This Row],[age]]="","Unknown",Table1[[#This Row],[age]]))</f>
        <v>29</v>
      </c>
      <c r="H836" t="s">
        <v>28</v>
      </c>
      <c r="I836" t="s">
        <v>29</v>
      </c>
      <c r="J836" t="s">
        <v>44</v>
      </c>
      <c r="K836">
        <v>8</v>
      </c>
      <c r="L836" s="10" t="str">
        <f>TRIM(IF(Table1[[#This Row],[years_of_experience]]="","Unknown",Table1[[#This Row],[years_of_experience]]))</f>
        <v>8</v>
      </c>
      <c r="M836">
        <v>40</v>
      </c>
      <c r="N836">
        <f>IF(Table1[[#This Row],[hourly_rate (USD)]]="",MEDIAN(Table1[hourly_rate (USD)]),Table1[[#This Row],[hourly_rate (USD)]])</f>
        <v>40</v>
      </c>
      <c r="O836" t="str">
        <f>TRIM(CLEAN(Table1[[#This Row],[Updated hourly_rate (USD)]]))</f>
        <v>40</v>
      </c>
      <c r="P836" t="str">
        <f>SUBSTITUTE(SUBSTITUTE(Table1[[#This Row],[Formatted hourly rate]],"USD ",""),"$","")</f>
        <v>40</v>
      </c>
      <c r="Q836">
        <v>3.1</v>
      </c>
      <c r="R836">
        <f>IF(Table1[[#This Row],[rating]]="",2.6,Table1[[#This Row],[rating]])</f>
        <v>3.1</v>
      </c>
      <c r="S836" t="s">
        <v>31</v>
      </c>
      <c r="T836" t="str">
        <f>TRIM(CLEAN(Table1[[#This Row],[is_active]]))</f>
        <v>N</v>
      </c>
      <c r="U83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36" s="11" t="str">
        <f>TRIM(IF(Table1[[#This Row],[is_active3]]="Unknown","TRUE",Table1[[#This Row],[is_active3]]))</f>
        <v>FALSE</v>
      </c>
      <c r="W836">
        <v>0.6</v>
      </c>
      <c r="X836">
        <f>IF(Table1[[#This Row],[client_satisfaction]]&gt;1,Table1[[#This Row],[client_satisfaction]]/100,Table1[[#This Row],[client_satisfaction]])</f>
        <v>0.6</v>
      </c>
      <c r="Y836">
        <f>IF(Table1[[#This Row],[client_satisfaction2]]=0,0.75,Table1[[#This Row],[client_satisfaction2]])</f>
        <v>0.6</v>
      </c>
    </row>
    <row r="837" spans="1:25" x14ac:dyDescent="0.25">
      <c r="A837" t="s">
        <v>1749</v>
      </c>
      <c r="B837" t="s">
        <v>1750</v>
      </c>
      <c r="C837" t="str">
        <f>PROPER(TRIM(SUBSTITUTE(SUBSTITUTE(SUBSTITUTE(Table1[[#This Row],[name]],"Ms. ",""),"Mr. ",""),"Mrs. ","")))</f>
        <v>Toni Hinton</v>
      </c>
      <c r="D837" t="s">
        <v>39</v>
      </c>
      <c r="E8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37">
        <v>57</v>
      </c>
      <c r="G837" t="str">
        <f>TRIM(IF(Table1[[#This Row],[age]]="","Unknown",Table1[[#This Row],[age]]))</f>
        <v>57</v>
      </c>
      <c r="H837" t="s">
        <v>67</v>
      </c>
      <c r="I837" t="s">
        <v>22</v>
      </c>
      <c r="J837" t="s">
        <v>89</v>
      </c>
      <c r="K837">
        <v>11</v>
      </c>
      <c r="L837" s="10" t="str">
        <f>TRIM(IF(Table1[[#This Row],[years_of_experience]]="","Unknown",Table1[[#This Row],[years_of_experience]]))</f>
        <v>11</v>
      </c>
      <c r="M837" t="s">
        <v>52</v>
      </c>
      <c r="N837" t="str">
        <f>IF(Table1[[#This Row],[hourly_rate (USD)]]="",MEDIAN(Table1[hourly_rate (USD)]),Table1[[#This Row],[hourly_rate (USD)]])</f>
        <v>USD 75</v>
      </c>
      <c r="O837" t="str">
        <f>TRIM(CLEAN(Table1[[#This Row],[Updated hourly_rate (USD)]]))</f>
        <v>USD 75</v>
      </c>
      <c r="P837" t="str">
        <f>SUBSTITUTE(SUBSTITUTE(Table1[[#This Row],[Formatted hourly rate]],"USD ",""),"$","")</f>
        <v>75</v>
      </c>
      <c r="Q837">
        <v>2.2999999999999998</v>
      </c>
      <c r="R837">
        <f>IF(Table1[[#This Row],[rating]]="",2.6,Table1[[#This Row],[rating]])</f>
        <v>2.2999999999999998</v>
      </c>
      <c r="S837">
        <v>0</v>
      </c>
      <c r="T837" t="str">
        <f>TRIM(CLEAN(Table1[[#This Row],[is_active]]))</f>
        <v>0</v>
      </c>
      <c r="U8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37" s="11" t="str">
        <f>TRIM(IF(Table1[[#This Row],[is_active3]]="Unknown","TRUE",Table1[[#This Row],[is_active3]]))</f>
        <v>FALSE</v>
      </c>
      <c r="X837">
        <f>IF(Table1[[#This Row],[client_satisfaction]]&gt;1,Table1[[#This Row],[client_satisfaction]]/100,Table1[[#This Row],[client_satisfaction]])</f>
        <v>0</v>
      </c>
      <c r="Y837">
        <f>IF(Table1[[#This Row],[client_satisfaction2]]=0,0.75,Table1[[#This Row],[client_satisfaction2]])</f>
        <v>0.75</v>
      </c>
    </row>
    <row r="838" spans="1:25" x14ac:dyDescent="0.25">
      <c r="A838" t="s">
        <v>1751</v>
      </c>
      <c r="B838" t="s">
        <v>1752</v>
      </c>
      <c r="C838" t="str">
        <f>PROPER(TRIM(SUBSTITUTE(SUBSTITUTE(SUBSTITUTE(Table1[[#This Row],[name]],"Ms. ",""),"Mr. ",""),"Mrs. ","")))</f>
        <v>Robin Ortiz</v>
      </c>
      <c r="D838" t="s">
        <v>34</v>
      </c>
      <c r="E8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38">
        <v>36</v>
      </c>
      <c r="G838" t="str">
        <f>TRIM(IF(Table1[[#This Row],[age]]="","Unknown",Table1[[#This Row],[age]]))</f>
        <v>36</v>
      </c>
      <c r="H838" t="s">
        <v>42</v>
      </c>
      <c r="I838" t="s">
        <v>43</v>
      </c>
      <c r="J838" t="s">
        <v>44</v>
      </c>
      <c r="K838">
        <v>8</v>
      </c>
      <c r="L838" s="10" t="str">
        <f>TRIM(IF(Table1[[#This Row],[years_of_experience]]="","Unknown",Table1[[#This Row],[years_of_experience]]))</f>
        <v>8</v>
      </c>
      <c r="M838" t="s">
        <v>55</v>
      </c>
      <c r="N838" t="str">
        <f>IF(Table1[[#This Row],[hourly_rate (USD)]]="",MEDIAN(Table1[hourly_rate (USD)]),Table1[[#This Row],[hourly_rate (USD)]])</f>
        <v>USD 40</v>
      </c>
      <c r="O838" t="str">
        <f>TRIM(CLEAN(Table1[[#This Row],[Updated hourly_rate (USD)]]))</f>
        <v>USD 40</v>
      </c>
      <c r="P838" t="str">
        <f>SUBSTITUTE(SUBSTITUTE(Table1[[#This Row],[Formatted hourly rate]],"USD ",""),"$","")</f>
        <v>40</v>
      </c>
      <c r="R838">
        <f>IF(Table1[[#This Row],[rating]]="",2.6,Table1[[#This Row],[rating]])</f>
        <v>2.6</v>
      </c>
      <c r="S838" t="s">
        <v>31</v>
      </c>
      <c r="T838" t="str">
        <f>TRIM(CLEAN(Table1[[#This Row],[is_active]]))</f>
        <v>N</v>
      </c>
      <c r="U8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38" s="11" t="str">
        <f>TRIM(IF(Table1[[#This Row],[is_active3]]="Unknown","TRUE",Table1[[#This Row],[is_active3]]))</f>
        <v>FALSE</v>
      </c>
      <c r="W838">
        <v>0.8</v>
      </c>
      <c r="X838">
        <f>IF(Table1[[#This Row],[client_satisfaction]]&gt;1,Table1[[#This Row],[client_satisfaction]]/100,Table1[[#This Row],[client_satisfaction]])</f>
        <v>0.8</v>
      </c>
      <c r="Y838">
        <f>IF(Table1[[#This Row],[client_satisfaction2]]=0,0.75,Table1[[#This Row],[client_satisfaction2]])</f>
        <v>0.8</v>
      </c>
    </row>
    <row r="839" spans="1:25" x14ac:dyDescent="0.25">
      <c r="A839" t="s">
        <v>1753</v>
      </c>
      <c r="B839" t="s">
        <v>1754</v>
      </c>
      <c r="C839" t="str">
        <f>PROPER(TRIM(SUBSTITUTE(SUBSTITUTE(SUBSTITUTE(Table1[[#This Row],[name]],"Ms. ",""),"Mr. ",""),"Mrs. ","")))</f>
        <v>Adam Griffith</v>
      </c>
      <c r="D839" t="s">
        <v>97</v>
      </c>
      <c r="E8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39">
        <v>51</v>
      </c>
      <c r="G839" t="str">
        <f>TRIM(IF(Table1[[#This Row],[age]]="","Unknown",Table1[[#This Row],[age]]))</f>
        <v>51</v>
      </c>
      <c r="H839" t="s">
        <v>112</v>
      </c>
      <c r="I839" t="s">
        <v>113</v>
      </c>
      <c r="J839" t="s">
        <v>35</v>
      </c>
      <c r="K839">
        <v>32</v>
      </c>
      <c r="L839" s="10" t="str">
        <f>TRIM(IF(Table1[[#This Row],[years_of_experience]]="","Unknown",Table1[[#This Row],[years_of_experience]]))</f>
        <v>32</v>
      </c>
      <c r="M839" t="s">
        <v>64</v>
      </c>
      <c r="N839" t="str">
        <f>IF(Table1[[#This Row],[hourly_rate (USD)]]="",MEDIAN(Table1[hourly_rate (USD)]),Table1[[#This Row],[hourly_rate (USD)]])</f>
        <v>$50</v>
      </c>
      <c r="O839" t="str">
        <f>TRIM(CLEAN(Table1[[#This Row],[Updated hourly_rate (USD)]]))</f>
        <v>$50</v>
      </c>
      <c r="P839" t="str">
        <f>SUBSTITUTE(SUBSTITUTE(Table1[[#This Row],[Formatted hourly rate]],"USD ",""),"$","")</f>
        <v>50</v>
      </c>
      <c r="Q839">
        <v>3.2</v>
      </c>
      <c r="R839">
        <f>IF(Table1[[#This Row],[rating]]="",2.6,Table1[[#This Row],[rating]])</f>
        <v>3.2</v>
      </c>
      <c r="S839">
        <v>0</v>
      </c>
      <c r="T839" t="str">
        <f>TRIM(CLEAN(Table1[[#This Row],[is_active]]))</f>
        <v>0</v>
      </c>
      <c r="U83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39" s="11" t="str">
        <f>TRIM(IF(Table1[[#This Row],[is_active3]]="Unknown","TRUE",Table1[[#This Row],[is_active3]]))</f>
        <v>FALSE</v>
      </c>
      <c r="W839">
        <v>88</v>
      </c>
      <c r="X839">
        <f>IF(Table1[[#This Row],[client_satisfaction]]&gt;1,Table1[[#This Row],[client_satisfaction]]/100,Table1[[#This Row],[client_satisfaction]])</f>
        <v>0.88</v>
      </c>
      <c r="Y839">
        <f>IF(Table1[[#This Row],[client_satisfaction2]]=0,0.75,Table1[[#This Row],[client_satisfaction2]])</f>
        <v>0.88</v>
      </c>
    </row>
    <row r="840" spans="1:25" x14ac:dyDescent="0.25">
      <c r="A840" t="s">
        <v>1755</v>
      </c>
      <c r="B840" t="s">
        <v>1756</v>
      </c>
      <c r="C840" t="str">
        <f>PROPER(TRIM(SUBSTITUTE(SUBSTITUTE(SUBSTITUTE(Table1[[#This Row],[name]],"Ms. ",""),"Mr. ",""),"Mrs. ","")))</f>
        <v>Daniel Roberson</v>
      </c>
      <c r="D840" t="s">
        <v>48</v>
      </c>
      <c r="E8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40">
        <v>44</v>
      </c>
      <c r="G840" t="str">
        <f>TRIM(IF(Table1[[#This Row],[age]]="","Unknown",Table1[[#This Row],[age]]))</f>
        <v>44</v>
      </c>
      <c r="H840" t="s">
        <v>93</v>
      </c>
      <c r="I840" t="s">
        <v>94</v>
      </c>
      <c r="J840" t="s">
        <v>73</v>
      </c>
      <c r="K840">
        <v>4</v>
      </c>
      <c r="L840" s="10" t="str">
        <f>TRIM(IF(Table1[[#This Row],[years_of_experience]]="","Unknown",Table1[[#This Row],[years_of_experience]]))</f>
        <v>4</v>
      </c>
      <c r="M840" t="s">
        <v>109</v>
      </c>
      <c r="N840" t="str">
        <f>IF(Table1[[#This Row],[hourly_rate (USD)]]="",MEDIAN(Table1[hourly_rate (USD)]),Table1[[#This Row],[hourly_rate (USD)]])</f>
        <v>USD 30</v>
      </c>
      <c r="O840" t="str">
        <f>TRIM(CLEAN(Table1[[#This Row],[Updated hourly_rate (USD)]]))</f>
        <v>USD 30</v>
      </c>
      <c r="P840" t="str">
        <f>SUBSTITUTE(SUBSTITUTE(Table1[[#This Row],[Formatted hourly rate]],"USD ",""),"$","")</f>
        <v>30</v>
      </c>
      <c r="Q840">
        <v>0</v>
      </c>
      <c r="R840">
        <f>IF(Table1[[#This Row],[rating]]="",2.6,Table1[[#This Row],[rating]])</f>
        <v>0</v>
      </c>
      <c r="S840" t="s">
        <v>31</v>
      </c>
      <c r="T840" t="str">
        <f>TRIM(CLEAN(Table1[[#This Row],[is_active]]))</f>
        <v>N</v>
      </c>
      <c r="U84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40" s="11" t="str">
        <f>TRIM(IF(Table1[[#This Row],[is_active3]]="Unknown","TRUE",Table1[[#This Row],[is_active3]]))</f>
        <v>FALSE</v>
      </c>
      <c r="W840">
        <v>0.8</v>
      </c>
      <c r="X840">
        <f>IF(Table1[[#This Row],[client_satisfaction]]&gt;1,Table1[[#This Row],[client_satisfaction]]/100,Table1[[#This Row],[client_satisfaction]])</f>
        <v>0.8</v>
      </c>
      <c r="Y840">
        <f>IF(Table1[[#This Row],[client_satisfaction2]]=0,0.75,Table1[[#This Row],[client_satisfaction2]])</f>
        <v>0.8</v>
      </c>
    </row>
    <row r="841" spans="1:25" x14ac:dyDescent="0.25">
      <c r="A841" t="s">
        <v>1757</v>
      </c>
      <c r="B841" t="s">
        <v>1758</v>
      </c>
      <c r="C841" t="str">
        <f>PROPER(TRIM(SUBSTITUTE(SUBSTITUTE(SUBSTITUTE(Table1[[#This Row],[name]],"Ms. ",""),"Mr. ",""),"Mrs. ","")))</f>
        <v>Dale Haynes</v>
      </c>
      <c r="D841" t="s">
        <v>97</v>
      </c>
      <c r="E8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41">
        <v>58</v>
      </c>
      <c r="G841" t="str">
        <f>TRIM(IF(Table1[[#This Row],[age]]="","Unknown",Table1[[#This Row],[age]]))</f>
        <v>58</v>
      </c>
      <c r="H841" t="s">
        <v>190</v>
      </c>
      <c r="I841" t="s">
        <v>72</v>
      </c>
      <c r="J841" t="s">
        <v>78</v>
      </c>
      <c r="K841">
        <v>33</v>
      </c>
      <c r="L841" s="10" t="str">
        <f>TRIM(IF(Table1[[#This Row],[years_of_experience]]="","Unknown",Table1[[#This Row],[years_of_experience]]))</f>
        <v>33</v>
      </c>
      <c r="M841">
        <v>30</v>
      </c>
      <c r="N841">
        <f>IF(Table1[[#This Row],[hourly_rate (USD)]]="",MEDIAN(Table1[hourly_rate (USD)]),Table1[[#This Row],[hourly_rate (USD)]])</f>
        <v>30</v>
      </c>
      <c r="O841" t="str">
        <f>TRIM(CLEAN(Table1[[#This Row],[Updated hourly_rate (USD)]]))</f>
        <v>30</v>
      </c>
      <c r="P841" t="str">
        <f>SUBSTITUTE(SUBSTITUTE(Table1[[#This Row],[Formatted hourly rate]],"USD ",""),"$","")</f>
        <v>30</v>
      </c>
      <c r="Q841">
        <v>3.3</v>
      </c>
      <c r="R841">
        <f>IF(Table1[[#This Row],[rating]]="",2.6,Table1[[#This Row],[rating]])</f>
        <v>3.3</v>
      </c>
      <c r="S841" t="s">
        <v>74</v>
      </c>
      <c r="T841" t="str">
        <f>TRIM(CLEAN(Table1[[#This Row],[is_active]]))</f>
        <v>Y</v>
      </c>
      <c r="U84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41" s="11" t="str">
        <f>TRIM(IF(Table1[[#This Row],[is_active3]]="Unknown","TRUE",Table1[[#This Row],[is_active3]]))</f>
        <v>TRUE</v>
      </c>
      <c r="W841">
        <v>0.71</v>
      </c>
      <c r="X841">
        <f>IF(Table1[[#This Row],[client_satisfaction]]&gt;1,Table1[[#This Row],[client_satisfaction]]/100,Table1[[#This Row],[client_satisfaction]])</f>
        <v>0.71</v>
      </c>
      <c r="Y841">
        <f>IF(Table1[[#This Row],[client_satisfaction2]]=0,0.75,Table1[[#This Row],[client_satisfaction2]])</f>
        <v>0.71</v>
      </c>
    </row>
    <row r="842" spans="1:25" x14ac:dyDescent="0.25">
      <c r="A842" t="s">
        <v>1759</v>
      </c>
      <c r="B842" t="s">
        <v>1760</v>
      </c>
      <c r="C842" t="str">
        <f>PROPER(TRIM(SUBSTITUTE(SUBSTITUTE(SUBSTITUTE(Table1[[#This Row],[name]],"Ms. ",""),"Mr. ",""),"Mrs. ","")))</f>
        <v>Emily Scott</v>
      </c>
      <c r="D842" t="s">
        <v>14</v>
      </c>
      <c r="E8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42">
        <v>38</v>
      </c>
      <c r="G842" t="str">
        <f>TRIM(IF(Table1[[#This Row],[age]]="","Unknown",Table1[[#This Row],[age]]))</f>
        <v>38</v>
      </c>
      <c r="H842" t="s">
        <v>153</v>
      </c>
      <c r="I842" t="s">
        <v>154</v>
      </c>
      <c r="J842" t="s">
        <v>23</v>
      </c>
      <c r="K842">
        <v>14</v>
      </c>
      <c r="L842" s="10" t="str">
        <f>TRIM(IF(Table1[[#This Row],[years_of_experience]]="","Unknown",Table1[[#This Row],[years_of_experience]]))</f>
        <v>14</v>
      </c>
      <c r="N842">
        <f>IF(Table1[[#This Row],[hourly_rate (USD)]]="",MEDIAN(Table1[hourly_rate (USD)]),Table1[[#This Row],[hourly_rate (USD)]])</f>
        <v>50</v>
      </c>
      <c r="O842" t="str">
        <f>TRIM(CLEAN(Table1[[#This Row],[Updated hourly_rate (USD)]]))</f>
        <v>50</v>
      </c>
      <c r="P842" t="str">
        <f>SUBSTITUTE(SUBSTITUTE(Table1[[#This Row],[Formatted hourly rate]],"USD ",""),"$","")</f>
        <v>50</v>
      </c>
      <c r="Q842">
        <v>1.1000000000000001</v>
      </c>
      <c r="R842">
        <f>IF(Table1[[#This Row],[rating]]="",2.6,Table1[[#This Row],[rating]])</f>
        <v>1.1000000000000001</v>
      </c>
      <c r="S842">
        <v>1</v>
      </c>
      <c r="T842" t="str">
        <f>TRIM(CLEAN(Table1[[#This Row],[is_active]]))</f>
        <v>1</v>
      </c>
      <c r="U84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42" s="11" t="str">
        <f>TRIM(IF(Table1[[#This Row],[is_active3]]="Unknown","TRUE",Table1[[#This Row],[is_active3]]))</f>
        <v>TRUE</v>
      </c>
      <c r="W842">
        <v>0.76</v>
      </c>
      <c r="X842">
        <f>IF(Table1[[#This Row],[client_satisfaction]]&gt;1,Table1[[#This Row],[client_satisfaction]]/100,Table1[[#This Row],[client_satisfaction]])</f>
        <v>0.76</v>
      </c>
      <c r="Y842">
        <f>IF(Table1[[#This Row],[client_satisfaction2]]=0,0.75,Table1[[#This Row],[client_satisfaction2]])</f>
        <v>0.76</v>
      </c>
    </row>
    <row r="843" spans="1:25" x14ac:dyDescent="0.25">
      <c r="A843" t="s">
        <v>1761</v>
      </c>
      <c r="B843" t="s">
        <v>1762</v>
      </c>
      <c r="C843" t="str">
        <f>PROPER(TRIM(SUBSTITUTE(SUBSTITUTE(SUBSTITUTE(Table1[[#This Row],[name]],"Ms. ",""),"Mr. ",""),"Mrs. ","")))</f>
        <v>David Brown</v>
      </c>
      <c r="D843" t="s">
        <v>92</v>
      </c>
      <c r="E8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43">
        <v>24</v>
      </c>
      <c r="G843" t="str">
        <f>TRIM(IF(Table1[[#This Row],[age]]="","Unknown",Table1[[#This Row],[age]]))</f>
        <v>24</v>
      </c>
      <c r="H843" t="s">
        <v>58</v>
      </c>
      <c r="I843" t="s">
        <v>22</v>
      </c>
      <c r="J843" t="s">
        <v>73</v>
      </c>
      <c r="K843">
        <v>6</v>
      </c>
      <c r="L843" s="10" t="str">
        <f>TRIM(IF(Table1[[#This Row],[years_of_experience]]="","Unknown",Table1[[#This Row],[years_of_experience]]))</f>
        <v>6</v>
      </c>
      <c r="M843" t="s">
        <v>109</v>
      </c>
      <c r="N843" t="str">
        <f>IF(Table1[[#This Row],[hourly_rate (USD)]]="",MEDIAN(Table1[hourly_rate (USD)]),Table1[[#This Row],[hourly_rate (USD)]])</f>
        <v>USD 30</v>
      </c>
      <c r="O843" t="str">
        <f>TRIM(CLEAN(Table1[[#This Row],[Updated hourly_rate (USD)]]))</f>
        <v>USD 30</v>
      </c>
      <c r="P843" t="str">
        <f>SUBSTITUTE(SUBSTITUTE(Table1[[#This Row],[Formatted hourly rate]],"USD ",""),"$","")</f>
        <v>30</v>
      </c>
      <c r="Q843">
        <v>4.5999999999999996</v>
      </c>
      <c r="R843">
        <f>IF(Table1[[#This Row],[rating]]="",2.6,Table1[[#This Row],[rating]])</f>
        <v>4.5999999999999996</v>
      </c>
      <c r="S843">
        <v>1</v>
      </c>
      <c r="T843" t="str">
        <f>TRIM(CLEAN(Table1[[#This Row],[is_active]]))</f>
        <v>1</v>
      </c>
      <c r="U84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43" s="11" t="str">
        <f>TRIM(IF(Table1[[#This Row],[is_active3]]="Unknown","TRUE",Table1[[#This Row],[is_active3]]))</f>
        <v>TRUE</v>
      </c>
      <c r="W843">
        <v>0.93</v>
      </c>
      <c r="X843">
        <f>IF(Table1[[#This Row],[client_satisfaction]]&gt;1,Table1[[#This Row],[client_satisfaction]]/100,Table1[[#This Row],[client_satisfaction]])</f>
        <v>0.93</v>
      </c>
      <c r="Y843">
        <f>IF(Table1[[#This Row],[client_satisfaction2]]=0,0.75,Table1[[#This Row],[client_satisfaction2]])</f>
        <v>0.93</v>
      </c>
    </row>
    <row r="844" spans="1:25" x14ac:dyDescent="0.25">
      <c r="A844" t="s">
        <v>1763</v>
      </c>
      <c r="B844" t="s">
        <v>1764</v>
      </c>
      <c r="C844" t="str">
        <f>PROPER(TRIM(SUBSTITUTE(SUBSTITUTE(SUBSTITUTE(Table1[[#This Row],[name]],"Ms. ",""),"Mr. ",""),"Mrs. ","")))</f>
        <v>Stephanie Guzman</v>
      </c>
      <c r="D844" t="s">
        <v>34</v>
      </c>
      <c r="E8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44">
        <v>30</v>
      </c>
      <c r="G844" t="str">
        <f>TRIM(IF(Table1[[#This Row],[age]]="","Unknown",Table1[[#This Row],[age]]))</f>
        <v>30</v>
      </c>
      <c r="H844" t="s">
        <v>62</v>
      </c>
      <c r="I844" t="s">
        <v>63</v>
      </c>
      <c r="J844" t="s">
        <v>17</v>
      </c>
      <c r="K844">
        <v>5</v>
      </c>
      <c r="L844" s="10" t="str">
        <f>TRIM(IF(Table1[[#This Row],[years_of_experience]]="","Unknown",Table1[[#This Row],[years_of_experience]]))</f>
        <v>5</v>
      </c>
      <c r="M844" t="s">
        <v>109</v>
      </c>
      <c r="N844" t="str">
        <f>IF(Table1[[#This Row],[hourly_rate (USD)]]="",MEDIAN(Table1[hourly_rate (USD)]),Table1[[#This Row],[hourly_rate (USD)]])</f>
        <v>USD 30</v>
      </c>
      <c r="O844" t="str">
        <f>TRIM(CLEAN(Table1[[#This Row],[Updated hourly_rate (USD)]]))</f>
        <v>USD 30</v>
      </c>
      <c r="P844" t="str">
        <f>SUBSTITUTE(SUBSTITUTE(Table1[[#This Row],[Formatted hourly rate]],"USD ",""),"$","")</f>
        <v>30</v>
      </c>
      <c r="R844">
        <f>IF(Table1[[#This Row],[rating]]="",2.6,Table1[[#This Row],[rating]])</f>
        <v>2.6</v>
      </c>
      <c r="S844">
        <v>0</v>
      </c>
      <c r="T844" t="str">
        <f>TRIM(CLEAN(Table1[[#This Row],[is_active]]))</f>
        <v>0</v>
      </c>
      <c r="U8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44" s="11" t="str">
        <f>TRIM(IF(Table1[[#This Row],[is_active3]]="Unknown","TRUE",Table1[[#This Row],[is_active3]]))</f>
        <v>FALSE</v>
      </c>
      <c r="X844">
        <f>IF(Table1[[#This Row],[client_satisfaction]]&gt;1,Table1[[#This Row],[client_satisfaction]]/100,Table1[[#This Row],[client_satisfaction]])</f>
        <v>0</v>
      </c>
      <c r="Y844">
        <f>IF(Table1[[#This Row],[client_satisfaction2]]=0,0.75,Table1[[#This Row],[client_satisfaction2]])</f>
        <v>0.75</v>
      </c>
    </row>
    <row r="845" spans="1:25" x14ac:dyDescent="0.25">
      <c r="A845" t="s">
        <v>1765</v>
      </c>
      <c r="B845" t="s">
        <v>1766</v>
      </c>
      <c r="C845" t="str">
        <f>PROPER(TRIM(SUBSTITUTE(SUBSTITUTE(SUBSTITUTE(Table1[[#This Row],[name]],"Ms. ",""),"Mr. ",""),"Mrs. ","")))</f>
        <v>Maxwell Johnson</v>
      </c>
      <c r="D845" t="s">
        <v>61</v>
      </c>
      <c r="E8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45">
        <v>25</v>
      </c>
      <c r="G845" t="str">
        <f>TRIM(IF(Table1[[#This Row],[age]]="","Unknown",Table1[[#This Row],[age]]))</f>
        <v>25</v>
      </c>
      <c r="H845" t="s">
        <v>49</v>
      </c>
      <c r="I845" t="s">
        <v>50</v>
      </c>
      <c r="J845" t="s">
        <v>78</v>
      </c>
      <c r="K845">
        <v>3</v>
      </c>
      <c r="L845" s="10" t="str">
        <f>TRIM(IF(Table1[[#This Row],[years_of_experience]]="","Unknown",Table1[[#This Row],[years_of_experience]]))</f>
        <v>3</v>
      </c>
      <c r="M845">
        <v>75</v>
      </c>
      <c r="N845">
        <f>IF(Table1[[#This Row],[hourly_rate (USD)]]="",MEDIAN(Table1[hourly_rate (USD)]),Table1[[#This Row],[hourly_rate (USD)]])</f>
        <v>75</v>
      </c>
      <c r="O845" t="str">
        <f>TRIM(CLEAN(Table1[[#This Row],[Updated hourly_rate (USD)]]))</f>
        <v>75</v>
      </c>
      <c r="P845" t="str">
        <f>SUBSTITUTE(SUBSTITUTE(Table1[[#This Row],[Formatted hourly rate]],"USD ",""),"$","")</f>
        <v>75</v>
      </c>
      <c r="R845">
        <f>IF(Table1[[#This Row],[rating]]="",2.6,Table1[[#This Row],[rating]])</f>
        <v>2.6</v>
      </c>
      <c r="S845">
        <v>0</v>
      </c>
      <c r="T845" t="str">
        <f>TRIM(CLEAN(Table1[[#This Row],[is_active]]))</f>
        <v>0</v>
      </c>
      <c r="U84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45" s="11" t="str">
        <f>TRIM(IF(Table1[[#This Row],[is_active3]]="Unknown","TRUE",Table1[[#This Row],[is_active3]]))</f>
        <v>FALSE</v>
      </c>
      <c r="W845">
        <v>0.83</v>
      </c>
      <c r="X845">
        <f>IF(Table1[[#This Row],[client_satisfaction]]&gt;1,Table1[[#This Row],[client_satisfaction]]/100,Table1[[#This Row],[client_satisfaction]])</f>
        <v>0.83</v>
      </c>
      <c r="Y845">
        <f>IF(Table1[[#This Row],[client_satisfaction2]]=0,0.75,Table1[[#This Row],[client_satisfaction2]])</f>
        <v>0.83</v>
      </c>
    </row>
    <row r="846" spans="1:25" x14ac:dyDescent="0.25">
      <c r="A846" t="s">
        <v>1767</v>
      </c>
      <c r="B846" t="s">
        <v>1768</v>
      </c>
      <c r="C846" t="str">
        <f>PROPER(TRIM(SUBSTITUTE(SUBSTITUTE(SUBSTITUTE(Table1[[#This Row],[name]],"Ms. ",""),"Mr. ",""),"Mrs. ","")))</f>
        <v>Reginald Stephens</v>
      </c>
      <c r="D846" t="s">
        <v>92</v>
      </c>
      <c r="E8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46">
        <v>54</v>
      </c>
      <c r="G846" t="str">
        <f>TRIM(IF(Table1[[#This Row],[age]]="","Unknown",Table1[[#This Row],[age]]))</f>
        <v>54</v>
      </c>
      <c r="H846" t="s">
        <v>49</v>
      </c>
      <c r="I846" t="s">
        <v>50</v>
      </c>
      <c r="J846" t="s">
        <v>23</v>
      </c>
      <c r="K846">
        <v>17</v>
      </c>
      <c r="L846" s="10" t="str">
        <f>TRIM(IF(Table1[[#This Row],[years_of_experience]]="","Unknown",Table1[[#This Row],[years_of_experience]]))</f>
        <v>17</v>
      </c>
      <c r="M846" t="s">
        <v>229</v>
      </c>
      <c r="N846" t="str">
        <f>IF(Table1[[#This Row],[hourly_rate (USD)]]="",MEDIAN(Table1[hourly_rate (USD)]),Table1[[#This Row],[hourly_rate (USD)]])</f>
        <v>$100</v>
      </c>
      <c r="O846" t="str">
        <f>TRIM(CLEAN(Table1[[#This Row],[Updated hourly_rate (USD)]]))</f>
        <v>$100</v>
      </c>
      <c r="P846" t="str">
        <f>SUBSTITUTE(SUBSTITUTE(Table1[[#This Row],[Formatted hourly rate]],"USD ",""),"$","")</f>
        <v>100</v>
      </c>
      <c r="Q846">
        <v>0</v>
      </c>
      <c r="R846">
        <f>IF(Table1[[#This Row],[rating]]="",2.6,Table1[[#This Row],[rating]])</f>
        <v>0</v>
      </c>
      <c r="S846">
        <v>0</v>
      </c>
      <c r="T846" t="str">
        <f>TRIM(CLEAN(Table1[[#This Row],[is_active]]))</f>
        <v>0</v>
      </c>
      <c r="U84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46" s="11" t="str">
        <f>TRIM(IF(Table1[[#This Row],[is_active3]]="Unknown","TRUE",Table1[[#This Row],[is_active3]]))</f>
        <v>FALSE</v>
      </c>
      <c r="W846">
        <v>0.71</v>
      </c>
      <c r="X846">
        <f>IF(Table1[[#This Row],[client_satisfaction]]&gt;1,Table1[[#This Row],[client_satisfaction]]/100,Table1[[#This Row],[client_satisfaction]])</f>
        <v>0.71</v>
      </c>
      <c r="Y846">
        <f>IF(Table1[[#This Row],[client_satisfaction2]]=0,0.75,Table1[[#This Row],[client_satisfaction2]])</f>
        <v>0.71</v>
      </c>
    </row>
    <row r="847" spans="1:25" x14ac:dyDescent="0.25">
      <c r="A847" t="s">
        <v>1769</v>
      </c>
      <c r="B847" t="s">
        <v>1770</v>
      </c>
      <c r="C847" t="str">
        <f>PROPER(TRIM(SUBSTITUTE(SUBSTITUTE(SUBSTITUTE(Table1[[#This Row],[name]],"Ms. ",""),"Mr. ",""),"Mrs. ","")))</f>
        <v>Justin Jones</v>
      </c>
      <c r="D847" t="s">
        <v>27</v>
      </c>
      <c r="E8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47">
        <v>54</v>
      </c>
      <c r="G847" t="str">
        <f>TRIM(IF(Table1[[#This Row],[age]]="","Unknown",Table1[[#This Row],[age]]))</f>
        <v>54</v>
      </c>
      <c r="H847" t="s">
        <v>15</v>
      </c>
      <c r="I847" t="s">
        <v>16</v>
      </c>
      <c r="J847" t="s">
        <v>78</v>
      </c>
      <c r="K847">
        <v>9</v>
      </c>
      <c r="L847" s="10" t="str">
        <f>TRIM(IF(Table1[[#This Row],[years_of_experience]]="","Unknown",Table1[[#This Row],[years_of_experience]]))</f>
        <v>9</v>
      </c>
      <c r="M847" t="s">
        <v>314</v>
      </c>
      <c r="N847" t="str">
        <f>IF(Table1[[#This Row],[hourly_rate (USD)]]="",MEDIAN(Table1[hourly_rate (USD)]),Table1[[#This Row],[hourly_rate (USD)]])</f>
        <v>USD 20</v>
      </c>
      <c r="O847" t="str">
        <f>TRIM(CLEAN(Table1[[#This Row],[Updated hourly_rate (USD)]]))</f>
        <v>USD 20</v>
      </c>
      <c r="P847" t="str">
        <f>SUBSTITUTE(SUBSTITUTE(Table1[[#This Row],[Formatted hourly rate]],"USD ",""),"$","")</f>
        <v>20</v>
      </c>
      <c r="Q847">
        <v>0</v>
      </c>
      <c r="R847">
        <f>IF(Table1[[#This Row],[rating]]="",2.6,Table1[[#This Row],[rating]])</f>
        <v>0</v>
      </c>
      <c r="S847" t="s">
        <v>68</v>
      </c>
      <c r="T847" t="str">
        <f>TRIM(CLEAN(Table1[[#This Row],[is_active]]))</f>
        <v>yes</v>
      </c>
      <c r="U8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47" s="11" t="str">
        <f>TRIM(IF(Table1[[#This Row],[is_active3]]="Unknown","TRUE",Table1[[#This Row],[is_active3]]))</f>
        <v>TRUE</v>
      </c>
      <c r="W847">
        <v>0.96</v>
      </c>
      <c r="X847">
        <f>IF(Table1[[#This Row],[client_satisfaction]]&gt;1,Table1[[#This Row],[client_satisfaction]]/100,Table1[[#This Row],[client_satisfaction]])</f>
        <v>0.96</v>
      </c>
      <c r="Y847">
        <f>IF(Table1[[#This Row],[client_satisfaction2]]=0,0.75,Table1[[#This Row],[client_satisfaction2]])</f>
        <v>0.96</v>
      </c>
    </row>
    <row r="848" spans="1:25" x14ac:dyDescent="0.25">
      <c r="A848" t="s">
        <v>1771</v>
      </c>
      <c r="B848" t="s">
        <v>1772</v>
      </c>
      <c r="C848" t="str">
        <f>PROPER(TRIM(SUBSTITUTE(SUBSTITUTE(SUBSTITUTE(Table1[[#This Row],[name]],"Ms. ",""),"Mr. ",""),"Mrs. ","")))</f>
        <v>Kristine Garcia</v>
      </c>
      <c r="D848" t="s">
        <v>34</v>
      </c>
      <c r="E8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48">
        <v>53</v>
      </c>
      <c r="G848" t="str">
        <f>TRIM(IF(Table1[[#This Row],[age]]="","Unknown",Table1[[#This Row],[age]]))</f>
        <v>53</v>
      </c>
      <c r="H848" t="s">
        <v>135</v>
      </c>
      <c r="I848" t="s">
        <v>136</v>
      </c>
      <c r="J848" t="s">
        <v>30</v>
      </c>
      <c r="K848">
        <v>16</v>
      </c>
      <c r="L848" s="10" t="str">
        <f>TRIM(IF(Table1[[#This Row],[years_of_experience]]="","Unknown",Table1[[#This Row],[years_of_experience]]))</f>
        <v>16</v>
      </c>
      <c r="M848">
        <v>40</v>
      </c>
      <c r="N848">
        <f>IF(Table1[[#This Row],[hourly_rate (USD)]]="",MEDIAN(Table1[hourly_rate (USD)]),Table1[[#This Row],[hourly_rate (USD)]])</f>
        <v>40</v>
      </c>
      <c r="O848" t="str">
        <f>TRIM(CLEAN(Table1[[#This Row],[Updated hourly_rate (USD)]]))</f>
        <v>40</v>
      </c>
      <c r="P848" t="str">
        <f>SUBSTITUTE(SUBSTITUTE(Table1[[#This Row],[Formatted hourly rate]],"USD ",""),"$","")</f>
        <v>40</v>
      </c>
      <c r="Q848">
        <v>0</v>
      </c>
      <c r="R848">
        <f>IF(Table1[[#This Row],[rating]]="",2.6,Table1[[#This Row],[rating]])</f>
        <v>0</v>
      </c>
      <c r="S848" t="s">
        <v>159</v>
      </c>
      <c r="T848" t="str">
        <f>TRIM(CLEAN(Table1[[#This Row],[is_active]]))</f>
        <v>no</v>
      </c>
      <c r="U84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48" s="11" t="str">
        <f>TRIM(IF(Table1[[#This Row],[is_active3]]="Unknown","TRUE",Table1[[#This Row],[is_active3]]))</f>
        <v>FALSE</v>
      </c>
      <c r="X848">
        <f>IF(Table1[[#This Row],[client_satisfaction]]&gt;1,Table1[[#This Row],[client_satisfaction]]/100,Table1[[#This Row],[client_satisfaction]])</f>
        <v>0</v>
      </c>
      <c r="Y848">
        <f>IF(Table1[[#This Row],[client_satisfaction2]]=0,0.75,Table1[[#This Row],[client_satisfaction2]])</f>
        <v>0.75</v>
      </c>
    </row>
    <row r="849" spans="1:25" x14ac:dyDescent="0.25">
      <c r="A849" t="s">
        <v>1773</v>
      </c>
      <c r="B849" t="s">
        <v>1774</v>
      </c>
      <c r="C849" t="str">
        <f>PROPER(TRIM(SUBSTITUTE(SUBSTITUTE(SUBSTITUTE(Table1[[#This Row],[name]],"Ms. ",""),"Mr. ",""),"Mrs. ","")))</f>
        <v>John Nguyen</v>
      </c>
      <c r="D849" t="s">
        <v>27</v>
      </c>
      <c r="E8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49">
        <v>22</v>
      </c>
      <c r="G849" t="str">
        <f>TRIM(IF(Table1[[#This Row],[age]]="","Unknown",Table1[[#This Row],[age]]))</f>
        <v>22</v>
      </c>
      <c r="H849" t="s">
        <v>124</v>
      </c>
      <c r="I849" t="s">
        <v>125</v>
      </c>
      <c r="J849" t="s">
        <v>44</v>
      </c>
      <c r="K849">
        <v>3</v>
      </c>
      <c r="L849" s="10" t="str">
        <f>TRIM(IF(Table1[[#This Row],[years_of_experience]]="","Unknown",Table1[[#This Row],[years_of_experience]]))</f>
        <v>3</v>
      </c>
      <c r="M849">
        <v>75</v>
      </c>
      <c r="N849">
        <f>IF(Table1[[#This Row],[hourly_rate (USD)]]="",MEDIAN(Table1[hourly_rate (USD)]),Table1[[#This Row],[hourly_rate (USD)]])</f>
        <v>75</v>
      </c>
      <c r="O849" t="str">
        <f>TRIM(CLEAN(Table1[[#This Row],[Updated hourly_rate (USD)]]))</f>
        <v>75</v>
      </c>
      <c r="P849" t="str">
        <f>SUBSTITUTE(SUBSTITUTE(Table1[[#This Row],[Formatted hourly rate]],"USD ",""),"$","")</f>
        <v>75</v>
      </c>
      <c r="Q849">
        <v>3.4</v>
      </c>
      <c r="R849">
        <f>IF(Table1[[#This Row],[rating]]="",2.6,Table1[[#This Row],[rating]])</f>
        <v>3.4</v>
      </c>
      <c r="S849" t="s">
        <v>74</v>
      </c>
      <c r="T849" t="str">
        <f>TRIM(CLEAN(Table1[[#This Row],[is_active]]))</f>
        <v>Y</v>
      </c>
      <c r="U8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49" s="11" t="str">
        <f>TRIM(IF(Table1[[#This Row],[is_active3]]="Unknown","TRUE",Table1[[#This Row],[is_active3]]))</f>
        <v>TRUE</v>
      </c>
      <c r="W849">
        <v>0.65</v>
      </c>
      <c r="X849">
        <f>IF(Table1[[#This Row],[client_satisfaction]]&gt;1,Table1[[#This Row],[client_satisfaction]]/100,Table1[[#This Row],[client_satisfaction]])</f>
        <v>0.65</v>
      </c>
      <c r="Y849">
        <f>IF(Table1[[#This Row],[client_satisfaction2]]=0,0.75,Table1[[#This Row],[client_satisfaction2]])</f>
        <v>0.65</v>
      </c>
    </row>
    <row r="850" spans="1:25" x14ac:dyDescent="0.25">
      <c r="A850" t="s">
        <v>1775</v>
      </c>
      <c r="B850" t="s">
        <v>1776</v>
      </c>
      <c r="C850" t="str">
        <f>PROPER(TRIM(SUBSTITUTE(SUBSTITUTE(SUBSTITUTE(Table1[[#This Row],[name]],"Ms. ",""),"Mr. ",""),"Mrs. ","")))</f>
        <v>Anna Fleming</v>
      </c>
      <c r="D850" t="s">
        <v>39</v>
      </c>
      <c r="E8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50">
        <v>23</v>
      </c>
      <c r="G850" t="str">
        <f>TRIM(IF(Table1[[#This Row],[age]]="","Unknown",Table1[[#This Row],[age]]))</f>
        <v>23</v>
      </c>
      <c r="H850" t="s">
        <v>179</v>
      </c>
      <c r="I850" t="s">
        <v>72</v>
      </c>
      <c r="J850" t="s">
        <v>51</v>
      </c>
      <c r="K850">
        <v>2</v>
      </c>
      <c r="L850" s="10" t="str">
        <f>TRIM(IF(Table1[[#This Row],[years_of_experience]]="","Unknown",Table1[[#This Row],[years_of_experience]]))</f>
        <v>2</v>
      </c>
      <c r="M850" t="s">
        <v>314</v>
      </c>
      <c r="N850" t="str">
        <f>IF(Table1[[#This Row],[hourly_rate (USD)]]="",MEDIAN(Table1[hourly_rate (USD)]),Table1[[#This Row],[hourly_rate (USD)]])</f>
        <v>USD 20</v>
      </c>
      <c r="O850" t="str">
        <f>TRIM(CLEAN(Table1[[#This Row],[Updated hourly_rate (USD)]]))</f>
        <v>USD 20</v>
      </c>
      <c r="P850" t="str">
        <f>SUBSTITUTE(SUBSTITUTE(Table1[[#This Row],[Formatted hourly rate]],"USD ",""),"$","")</f>
        <v>20</v>
      </c>
      <c r="Q850">
        <v>1.3</v>
      </c>
      <c r="R850">
        <f>IF(Table1[[#This Row],[rating]]="",2.6,Table1[[#This Row],[rating]])</f>
        <v>1.3</v>
      </c>
      <c r="S850" t="s">
        <v>31</v>
      </c>
      <c r="T850" t="str">
        <f>TRIM(CLEAN(Table1[[#This Row],[is_active]]))</f>
        <v>N</v>
      </c>
      <c r="U85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50" s="11" t="str">
        <f>TRIM(IF(Table1[[#This Row],[is_active3]]="Unknown","TRUE",Table1[[#This Row],[is_active3]]))</f>
        <v>FALSE</v>
      </c>
      <c r="X850">
        <f>IF(Table1[[#This Row],[client_satisfaction]]&gt;1,Table1[[#This Row],[client_satisfaction]]/100,Table1[[#This Row],[client_satisfaction]])</f>
        <v>0</v>
      </c>
      <c r="Y850">
        <f>IF(Table1[[#This Row],[client_satisfaction2]]=0,0.75,Table1[[#This Row],[client_satisfaction2]])</f>
        <v>0.75</v>
      </c>
    </row>
    <row r="851" spans="1:25" x14ac:dyDescent="0.25">
      <c r="A851" t="s">
        <v>1777</v>
      </c>
      <c r="B851" t="s">
        <v>1778</v>
      </c>
      <c r="C851" t="str">
        <f>PROPER(TRIM(SUBSTITUTE(SUBSTITUTE(SUBSTITUTE(Table1[[#This Row],[name]],"Ms. ",""),"Mr. ",""),"Mrs. ","")))</f>
        <v>Linda Williamson</v>
      </c>
      <c r="D851" t="s">
        <v>20</v>
      </c>
      <c r="E8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51">
        <v>47</v>
      </c>
      <c r="G851" t="str">
        <f>TRIM(IF(Table1[[#This Row],[age]]="","Unknown",Table1[[#This Row],[age]]))</f>
        <v>47</v>
      </c>
      <c r="H851" t="s">
        <v>135</v>
      </c>
      <c r="I851" t="s">
        <v>136</v>
      </c>
      <c r="J851" t="s">
        <v>78</v>
      </c>
      <c r="K851">
        <v>16</v>
      </c>
      <c r="L851" s="10" t="str">
        <f>TRIM(IF(Table1[[#This Row],[years_of_experience]]="","Unknown",Table1[[#This Row],[years_of_experience]]))</f>
        <v>16</v>
      </c>
      <c r="M851">
        <v>50</v>
      </c>
      <c r="N851">
        <f>IF(Table1[[#This Row],[hourly_rate (USD)]]="",MEDIAN(Table1[hourly_rate (USD)]),Table1[[#This Row],[hourly_rate (USD)]])</f>
        <v>50</v>
      </c>
      <c r="O851" t="str">
        <f>TRIM(CLEAN(Table1[[#This Row],[Updated hourly_rate (USD)]]))</f>
        <v>50</v>
      </c>
      <c r="P851" t="str">
        <f>SUBSTITUTE(SUBSTITUTE(Table1[[#This Row],[Formatted hourly rate]],"USD ",""),"$","")</f>
        <v>50</v>
      </c>
      <c r="Q851">
        <v>1.9</v>
      </c>
      <c r="R851">
        <f>IF(Table1[[#This Row],[rating]]="",2.6,Table1[[#This Row],[rating]])</f>
        <v>1.9</v>
      </c>
      <c r="S851">
        <v>0</v>
      </c>
      <c r="T851" t="str">
        <f>TRIM(CLEAN(Table1[[#This Row],[is_active]]))</f>
        <v>0</v>
      </c>
      <c r="U85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51" s="11" t="str">
        <f>TRIM(IF(Table1[[#This Row],[is_active3]]="Unknown","TRUE",Table1[[#This Row],[is_active3]]))</f>
        <v>FALSE</v>
      </c>
      <c r="W851">
        <v>0.71</v>
      </c>
      <c r="X851">
        <f>IF(Table1[[#This Row],[client_satisfaction]]&gt;1,Table1[[#This Row],[client_satisfaction]]/100,Table1[[#This Row],[client_satisfaction]])</f>
        <v>0.71</v>
      </c>
      <c r="Y851">
        <f>IF(Table1[[#This Row],[client_satisfaction2]]=0,0.75,Table1[[#This Row],[client_satisfaction2]])</f>
        <v>0.71</v>
      </c>
    </row>
    <row r="852" spans="1:25" x14ac:dyDescent="0.25">
      <c r="A852" t="s">
        <v>1779</v>
      </c>
      <c r="B852" t="s">
        <v>1780</v>
      </c>
      <c r="C852" t="str">
        <f>PROPER(TRIM(SUBSTITUTE(SUBSTITUTE(SUBSTITUTE(Table1[[#This Row],[name]],"Ms. ",""),"Mr. ",""),"Mrs. ","")))</f>
        <v>Roy Wilson</v>
      </c>
      <c r="D852" t="s">
        <v>97</v>
      </c>
      <c r="E8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52">
        <v>24</v>
      </c>
      <c r="G852" t="str">
        <f>TRIM(IF(Table1[[#This Row],[age]]="","Unknown",Table1[[#This Row],[age]]))</f>
        <v>24</v>
      </c>
      <c r="H852" t="s">
        <v>135</v>
      </c>
      <c r="I852" t="s">
        <v>136</v>
      </c>
      <c r="J852" t="s">
        <v>35</v>
      </c>
      <c r="K852">
        <v>6</v>
      </c>
      <c r="L852" s="10" t="str">
        <f>TRIM(IF(Table1[[#This Row],[years_of_experience]]="","Unknown",Table1[[#This Row],[years_of_experience]]))</f>
        <v>6</v>
      </c>
      <c r="M852">
        <v>50</v>
      </c>
      <c r="N852">
        <f>IF(Table1[[#This Row],[hourly_rate (USD)]]="",MEDIAN(Table1[hourly_rate (USD)]),Table1[[#This Row],[hourly_rate (USD)]])</f>
        <v>50</v>
      </c>
      <c r="O852" t="str">
        <f>TRIM(CLEAN(Table1[[#This Row],[Updated hourly_rate (USD)]]))</f>
        <v>50</v>
      </c>
      <c r="P852" t="str">
        <f>SUBSTITUTE(SUBSTITUTE(Table1[[#This Row],[Formatted hourly rate]],"USD ",""),"$","")</f>
        <v>50</v>
      </c>
      <c r="Q852">
        <v>1.4</v>
      </c>
      <c r="R852">
        <f>IF(Table1[[#This Row],[rating]]="",2.6,Table1[[#This Row],[rating]])</f>
        <v>1.4</v>
      </c>
      <c r="S852" t="s">
        <v>74</v>
      </c>
      <c r="T852" t="str">
        <f>TRIM(CLEAN(Table1[[#This Row],[is_active]]))</f>
        <v>Y</v>
      </c>
      <c r="U85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52" s="11" t="str">
        <f>TRIM(IF(Table1[[#This Row],[is_active3]]="Unknown","TRUE",Table1[[#This Row],[is_active3]]))</f>
        <v>TRUE</v>
      </c>
      <c r="W852">
        <v>63</v>
      </c>
      <c r="X852">
        <f>IF(Table1[[#This Row],[client_satisfaction]]&gt;1,Table1[[#This Row],[client_satisfaction]]/100,Table1[[#This Row],[client_satisfaction]])</f>
        <v>0.63</v>
      </c>
      <c r="Y852">
        <f>IF(Table1[[#This Row],[client_satisfaction2]]=0,0.75,Table1[[#This Row],[client_satisfaction2]])</f>
        <v>0.63</v>
      </c>
    </row>
    <row r="853" spans="1:25" x14ac:dyDescent="0.25">
      <c r="A853" t="s">
        <v>1781</v>
      </c>
      <c r="B853" t="s">
        <v>1782</v>
      </c>
      <c r="C853" t="str">
        <f>PROPER(TRIM(SUBSTITUTE(SUBSTITUTE(SUBSTITUTE(Table1[[#This Row],[name]],"Ms. ",""),"Mr. ",""),"Mrs. ","")))</f>
        <v>Jennifer Pierce</v>
      </c>
      <c r="D853" t="s">
        <v>14</v>
      </c>
      <c r="E8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53">
        <v>57</v>
      </c>
      <c r="G853" t="str">
        <f>TRIM(IF(Table1[[#This Row],[age]]="","Unknown",Table1[[#This Row],[age]]))</f>
        <v>57</v>
      </c>
      <c r="H853" t="s">
        <v>93</v>
      </c>
      <c r="I853" t="s">
        <v>94</v>
      </c>
      <c r="J853" t="s">
        <v>73</v>
      </c>
      <c r="K853">
        <v>10</v>
      </c>
      <c r="L853" s="10" t="str">
        <f>TRIM(IF(Table1[[#This Row],[years_of_experience]]="","Unknown",Table1[[#This Row],[years_of_experience]]))</f>
        <v>10</v>
      </c>
      <c r="M853" t="s">
        <v>229</v>
      </c>
      <c r="N853" t="str">
        <f>IF(Table1[[#This Row],[hourly_rate (USD)]]="",MEDIAN(Table1[hourly_rate (USD)]),Table1[[#This Row],[hourly_rate (USD)]])</f>
        <v>$100</v>
      </c>
      <c r="O853" t="str">
        <f>TRIM(CLEAN(Table1[[#This Row],[Updated hourly_rate (USD)]]))</f>
        <v>$100</v>
      </c>
      <c r="P853" t="str">
        <f>SUBSTITUTE(SUBSTITUTE(Table1[[#This Row],[Formatted hourly rate]],"USD ",""),"$","")</f>
        <v>100</v>
      </c>
      <c r="Q853">
        <v>4.3</v>
      </c>
      <c r="R853">
        <f>IF(Table1[[#This Row],[rating]]="",2.6,Table1[[#This Row],[rating]])</f>
        <v>4.3</v>
      </c>
      <c r="S853" t="b">
        <v>0</v>
      </c>
      <c r="T853" t="str">
        <f>TRIM(CLEAN(Table1[[#This Row],[is_active]]))</f>
        <v>FALSE</v>
      </c>
      <c r="U85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53" s="11" t="str">
        <f>TRIM(IF(Table1[[#This Row],[is_active3]]="Unknown","TRUE",Table1[[#This Row],[is_active3]]))</f>
        <v>TRUE</v>
      </c>
      <c r="X853">
        <f>IF(Table1[[#This Row],[client_satisfaction]]&gt;1,Table1[[#This Row],[client_satisfaction]]/100,Table1[[#This Row],[client_satisfaction]])</f>
        <v>0</v>
      </c>
      <c r="Y853">
        <f>IF(Table1[[#This Row],[client_satisfaction2]]=0,0.75,Table1[[#This Row],[client_satisfaction2]])</f>
        <v>0.75</v>
      </c>
    </row>
    <row r="854" spans="1:25" x14ac:dyDescent="0.25">
      <c r="A854" t="s">
        <v>1783</v>
      </c>
      <c r="B854" t="s">
        <v>1784</v>
      </c>
      <c r="C854" t="str">
        <f>PROPER(TRIM(SUBSTITUTE(SUBSTITUTE(SUBSTITUTE(Table1[[#This Row],[name]],"Ms. ",""),"Mr. ",""),"Mrs. ","")))</f>
        <v>Jason Johnson</v>
      </c>
      <c r="D854" t="s">
        <v>97</v>
      </c>
      <c r="E8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54">
        <v>48</v>
      </c>
      <c r="G854" t="str">
        <f>TRIM(IF(Table1[[#This Row],[age]]="","Unknown",Table1[[#This Row],[age]]))</f>
        <v>48</v>
      </c>
      <c r="H854" t="s">
        <v>190</v>
      </c>
      <c r="I854" t="s">
        <v>72</v>
      </c>
      <c r="J854" t="s">
        <v>30</v>
      </c>
      <c r="K854">
        <v>16</v>
      </c>
      <c r="L854" s="10" t="str">
        <f>TRIM(IF(Table1[[#This Row],[years_of_experience]]="","Unknown",Table1[[#This Row],[years_of_experience]]))</f>
        <v>16</v>
      </c>
      <c r="M854" t="s">
        <v>45</v>
      </c>
      <c r="N854" t="str">
        <f>IF(Table1[[#This Row],[hourly_rate (USD)]]="",MEDIAN(Table1[hourly_rate (USD)]),Table1[[#This Row],[hourly_rate (USD)]])</f>
        <v>$30</v>
      </c>
      <c r="O854" t="str">
        <f>TRIM(CLEAN(Table1[[#This Row],[Updated hourly_rate (USD)]]))</f>
        <v>$30</v>
      </c>
      <c r="P854" t="str">
        <f>SUBSTITUTE(SUBSTITUTE(Table1[[#This Row],[Formatted hourly rate]],"USD ",""),"$","")</f>
        <v>30</v>
      </c>
      <c r="R854">
        <f>IF(Table1[[#This Row],[rating]]="",2.6,Table1[[#This Row],[rating]])</f>
        <v>2.6</v>
      </c>
      <c r="S854" t="s">
        <v>159</v>
      </c>
      <c r="T854" t="str">
        <f>TRIM(CLEAN(Table1[[#This Row],[is_active]]))</f>
        <v>no</v>
      </c>
      <c r="U85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54" s="11" t="str">
        <f>TRIM(IF(Table1[[#This Row],[is_active3]]="Unknown","TRUE",Table1[[#This Row],[is_active3]]))</f>
        <v>FALSE</v>
      </c>
      <c r="W854">
        <v>0.97</v>
      </c>
      <c r="X854">
        <f>IF(Table1[[#This Row],[client_satisfaction]]&gt;1,Table1[[#This Row],[client_satisfaction]]/100,Table1[[#This Row],[client_satisfaction]])</f>
        <v>0.97</v>
      </c>
      <c r="Y854">
        <f>IF(Table1[[#This Row],[client_satisfaction2]]=0,0.75,Table1[[#This Row],[client_satisfaction2]])</f>
        <v>0.97</v>
      </c>
    </row>
    <row r="855" spans="1:25" x14ac:dyDescent="0.25">
      <c r="A855" t="s">
        <v>1785</v>
      </c>
      <c r="B855" t="s">
        <v>1786</v>
      </c>
      <c r="C855" t="str">
        <f>PROPER(TRIM(SUBSTITUTE(SUBSTITUTE(SUBSTITUTE(Table1[[#This Row],[name]],"Ms. ",""),"Mr. ",""),"Mrs. ","")))</f>
        <v>Jasmine Lane</v>
      </c>
      <c r="D855" t="s">
        <v>77</v>
      </c>
      <c r="E8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55">
        <v>21</v>
      </c>
      <c r="G855" t="str">
        <f>TRIM(IF(Table1[[#This Row],[age]]="","Unknown",Table1[[#This Row],[age]]))</f>
        <v>21</v>
      </c>
      <c r="H855" t="s">
        <v>62</v>
      </c>
      <c r="I855" t="s">
        <v>63</v>
      </c>
      <c r="J855" t="s">
        <v>73</v>
      </c>
      <c r="K855">
        <v>0</v>
      </c>
      <c r="L855" s="10" t="str">
        <f>TRIM(IF(Table1[[#This Row],[years_of_experience]]="","Unknown",Table1[[#This Row],[years_of_experience]]))</f>
        <v>0</v>
      </c>
      <c r="M855" t="s">
        <v>229</v>
      </c>
      <c r="N855" t="str">
        <f>IF(Table1[[#This Row],[hourly_rate (USD)]]="",MEDIAN(Table1[hourly_rate (USD)]),Table1[[#This Row],[hourly_rate (USD)]])</f>
        <v>$100</v>
      </c>
      <c r="O855" t="str">
        <f>TRIM(CLEAN(Table1[[#This Row],[Updated hourly_rate (USD)]]))</f>
        <v>$100</v>
      </c>
      <c r="P855" t="str">
        <f>SUBSTITUTE(SUBSTITUTE(Table1[[#This Row],[Formatted hourly rate]],"USD ",""),"$","")</f>
        <v>100</v>
      </c>
      <c r="Q855">
        <v>4.3</v>
      </c>
      <c r="R855">
        <f>IF(Table1[[#This Row],[rating]]="",2.6,Table1[[#This Row],[rating]])</f>
        <v>4.3</v>
      </c>
      <c r="S855">
        <v>0</v>
      </c>
      <c r="T855" t="str">
        <f>TRIM(CLEAN(Table1[[#This Row],[is_active]]))</f>
        <v>0</v>
      </c>
      <c r="U85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55" s="11" t="str">
        <f>TRIM(IF(Table1[[#This Row],[is_active3]]="Unknown","TRUE",Table1[[#This Row],[is_active3]]))</f>
        <v>FALSE</v>
      </c>
      <c r="X855">
        <f>IF(Table1[[#This Row],[client_satisfaction]]&gt;1,Table1[[#This Row],[client_satisfaction]]/100,Table1[[#This Row],[client_satisfaction]])</f>
        <v>0</v>
      </c>
      <c r="Y855">
        <f>IF(Table1[[#This Row],[client_satisfaction2]]=0,0.75,Table1[[#This Row],[client_satisfaction2]])</f>
        <v>0.75</v>
      </c>
    </row>
    <row r="856" spans="1:25" x14ac:dyDescent="0.25">
      <c r="A856" t="s">
        <v>1787</v>
      </c>
      <c r="B856" t="s">
        <v>1788</v>
      </c>
      <c r="C856" t="str">
        <f>PROPER(TRIM(SUBSTITUTE(SUBSTITUTE(SUBSTITUTE(Table1[[#This Row],[name]],"Ms. ",""),"Mr. ",""),"Mrs. ","")))</f>
        <v>Evan Soto</v>
      </c>
      <c r="D856" t="s">
        <v>48</v>
      </c>
      <c r="E8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56">
        <v>33</v>
      </c>
      <c r="G856" t="str">
        <f>TRIM(IF(Table1[[#This Row],[age]]="","Unknown",Table1[[#This Row],[age]]))</f>
        <v>33</v>
      </c>
      <c r="H856" t="s">
        <v>85</v>
      </c>
      <c r="I856" t="s">
        <v>86</v>
      </c>
      <c r="J856" t="s">
        <v>44</v>
      </c>
      <c r="K856">
        <v>13</v>
      </c>
      <c r="L856" s="10" t="str">
        <f>TRIM(IF(Table1[[#This Row],[years_of_experience]]="","Unknown",Table1[[#This Row],[years_of_experience]]))</f>
        <v>13</v>
      </c>
      <c r="M856" t="s">
        <v>52</v>
      </c>
      <c r="N856" t="str">
        <f>IF(Table1[[#This Row],[hourly_rate (USD)]]="",MEDIAN(Table1[hourly_rate (USD)]),Table1[[#This Row],[hourly_rate (USD)]])</f>
        <v>USD 75</v>
      </c>
      <c r="O856" t="str">
        <f>TRIM(CLEAN(Table1[[#This Row],[Updated hourly_rate (USD)]]))</f>
        <v>USD 75</v>
      </c>
      <c r="P856" t="str">
        <f>SUBSTITUTE(SUBSTITUTE(Table1[[#This Row],[Formatted hourly rate]],"USD ",""),"$","")</f>
        <v>75</v>
      </c>
      <c r="Q856">
        <v>0</v>
      </c>
      <c r="R856">
        <f>IF(Table1[[#This Row],[rating]]="",2.6,Table1[[#This Row],[rating]])</f>
        <v>0</v>
      </c>
      <c r="S856" t="b">
        <v>1</v>
      </c>
      <c r="T856" t="str">
        <f>TRIM(CLEAN(Table1[[#This Row],[is_active]]))</f>
        <v>TRUE</v>
      </c>
      <c r="U85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56" s="11" t="str">
        <f>TRIM(IF(Table1[[#This Row],[is_active3]]="Unknown","TRUE",Table1[[#This Row],[is_active3]]))</f>
        <v>TRUE</v>
      </c>
      <c r="X856">
        <f>IF(Table1[[#This Row],[client_satisfaction]]&gt;1,Table1[[#This Row],[client_satisfaction]]/100,Table1[[#This Row],[client_satisfaction]])</f>
        <v>0</v>
      </c>
      <c r="Y856">
        <f>IF(Table1[[#This Row],[client_satisfaction2]]=0,0.75,Table1[[#This Row],[client_satisfaction2]])</f>
        <v>0.75</v>
      </c>
    </row>
    <row r="857" spans="1:25" x14ac:dyDescent="0.25">
      <c r="A857" t="s">
        <v>1789</v>
      </c>
      <c r="B857" t="s">
        <v>1790</v>
      </c>
      <c r="C857" t="str">
        <f>PROPER(TRIM(SUBSTITUTE(SUBSTITUTE(SUBSTITUTE(Table1[[#This Row],[name]],"Ms. ",""),"Mr. ",""),"Mrs. ","")))</f>
        <v>Kevin Serrano</v>
      </c>
      <c r="D857" t="s">
        <v>97</v>
      </c>
      <c r="E8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57">
        <v>41</v>
      </c>
      <c r="G857" t="str">
        <f>TRIM(IF(Table1[[#This Row],[age]]="","Unknown",Table1[[#This Row],[age]]))</f>
        <v>41</v>
      </c>
      <c r="H857" t="s">
        <v>62</v>
      </c>
      <c r="I857" t="s">
        <v>63</v>
      </c>
      <c r="J857" t="s">
        <v>89</v>
      </c>
      <c r="K857">
        <v>12</v>
      </c>
      <c r="L857" s="10" t="str">
        <f>TRIM(IF(Table1[[#This Row],[years_of_experience]]="","Unknown",Table1[[#This Row],[years_of_experience]]))</f>
        <v>12</v>
      </c>
      <c r="N857">
        <f>IF(Table1[[#This Row],[hourly_rate (USD)]]="",MEDIAN(Table1[hourly_rate (USD)]),Table1[[#This Row],[hourly_rate (USD)]])</f>
        <v>50</v>
      </c>
      <c r="O857" t="str">
        <f>TRIM(CLEAN(Table1[[#This Row],[Updated hourly_rate (USD)]]))</f>
        <v>50</v>
      </c>
      <c r="P857" t="str">
        <f>SUBSTITUTE(SUBSTITUTE(Table1[[#This Row],[Formatted hourly rate]],"USD ",""),"$","")</f>
        <v>50</v>
      </c>
      <c r="Q857">
        <v>1.3</v>
      </c>
      <c r="R857">
        <f>IF(Table1[[#This Row],[rating]]="",2.6,Table1[[#This Row],[rating]])</f>
        <v>1.3</v>
      </c>
      <c r="S857">
        <v>0</v>
      </c>
      <c r="T857" t="str">
        <f>TRIM(CLEAN(Table1[[#This Row],[is_active]]))</f>
        <v>0</v>
      </c>
      <c r="U85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57" s="11" t="str">
        <f>TRIM(IF(Table1[[#This Row],[is_active3]]="Unknown","TRUE",Table1[[#This Row],[is_active3]]))</f>
        <v>FALSE</v>
      </c>
      <c r="W857">
        <v>0.85</v>
      </c>
      <c r="X857">
        <f>IF(Table1[[#This Row],[client_satisfaction]]&gt;1,Table1[[#This Row],[client_satisfaction]]/100,Table1[[#This Row],[client_satisfaction]])</f>
        <v>0.85</v>
      </c>
      <c r="Y857">
        <f>IF(Table1[[#This Row],[client_satisfaction2]]=0,0.75,Table1[[#This Row],[client_satisfaction2]])</f>
        <v>0.85</v>
      </c>
    </row>
    <row r="858" spans="1:25" x14ac:dyDescent="0.25">
      <c r="A858" t="s">
        <v>1791</v>
      </c>
      <c r="B858" t="s">
        <v>1792</v>
      </c>
      <c r="C858" t="str">
        <f>PROPER(TRIM(SUBSTITUTE(SUBSTITUTE(SUBSTITUTE(Table1[[#This Row],[name]],"Ms. ",""),"Mr. ",""),"Mrs. ","")))</f>
        <v>Nathaniel Benson</v>
      </c>
      <c r="D858" t="s">
        <v>61</v>
      </c>
      <c r="E8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58">
        <v>40</v>
      </c>
      <c r="G858" t="str">
        <f>TRIM(IF(Table1[[#This Row],[age]]="","Unknown",Table1[[#This Row],[age]]))</f>
        <v>40</v>
      </c>
      <c r="H858" t="s">
        <v>21</v>
      </c>
      <c r="I858" t="s">
        <v>22</v>
      </c>
      <c r="J858" t="s">
        <v>78</v>
      </c>
      <c r="K858">
        <v>13</v>
      </c>
      <c r="L858" s="10" t="str">
        <f>TRIM(IF(Table1[[#This Row],[years_of_experience]]="","Unknown",Table1[[#This Row],[years_of_experience]]))</f>
        <v>13</v>
      </c>
      <c r="M858" t="s">
        <v>98</v>
      </c>
      <c r="N858" t="str">
        <f>IF(Table1[[#This Row],[hourly_rate (USD)]]="",MEDIAN(Table1[hourly_rate (USD)]),Table1[[#This Row],[hourly_rate (USD)]])</f>
        <v>USD 50</v>
      </c>
      <c r="O858" t="str">
        <f>TRIM(CLEAN(Table1[[#This Row],[Updated hourly_rate (USD)]]))</f>
        <v>USD 50</v>
      </c>
      <c r="P858" t="str">
        <f>SUBSTITUTE(SUBSTITUTE(Table1[[#This Row],[Formatted hourly rate]],"USD ",""),"$","")</f>
        <v>50</v>
      </c>
      <c r="Q858">
        <v>2.9</v>
      </c>
      <c r="R858">
        <f>IF(Table1[[#This Row],[rating]]="",2.6,Table1[[#This Row],[rating]])</f>
        <v>2.9</v>
      </c>
      <c r="S858" t="s">
        <v>159</v>
      </c>
      <c r="T858" t="str">
        <f>TRIM(CLEAN(Table1[[#This Row],[is_active]]))</f>
        <v>no</v>
      </c>
      <c r="U85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58" s="11" t="str">
        <f>TRIM(IF(Table1[[#This Row],[is_active3]]="Unknown","TRUE",Table1[[#This Row],[is_active3]]))</f>
        <v>FALSE</v>
      </c>
      <c r="W858">
        <v>0.82</v>
      </c>
      <c r="X858">
        <f>IF(Table1[[#This Row],[client_satisfaction]]&gt;1,Table1[[#This Row],[client_satisfaction]]/100,Table1[[#This Row],[client_satisfaction]])</f>
        <v>0.82</v>
      </c>
      <c r="Y858">
        <f>IF(Table1[[#This Row],[client_satisfaction2]]=0,0.75,Table1[[#This Row],[client_satisfaction2]])</f>
        <v>0.82</v>
      </c>
    </row>
    <row r="859" spans="1:25" x14ac:dyDescent="0.25">
      <c r="A859" t="s">
        <v>1793</v>
      </c>
      <c r="B859" t="s">
        <v>1794</v>
      </c>
      <c r="C859" t="str">
        <f>PROPER(TRIM(SUBSTITUTE(SUBSTITUTE(SUBSTITUTE(Table1[[#This Row],[name]],"Ms. ",""),"Mr. ",""),"Mrs. ","")))</f>
        <v>Deanna Miles</v>
      </c>
      <c r="D859" t="s">
        <v>14</v>
      </c>
      <c r="E8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59">
        <v>40</v>
      </c>
      <c r="G859" t="str">
        <f>TRIM(IF(Table1[[#This Row],[age]]="","Unknown",Table1[[#This Row],[age]]))</f>
        <v>40</v>
      </c>
      <c r="H859" t="s">
        <v>179</v>
      </c>
      <c r="I859" t="s">
        <v>72</v>
      </c>
      <c r="J859" t="s">
        <v>30</v>
      </c>
      <c r="K859">
        <v>22</v>
      </c>
      <c r="L859" s="10" t="str">
        <f>TRIM(IF(Table1[[#This Row],[years_of_experience]]="","Unknown",Table1[[#This Row],[years_of_experience]]))</f>
        <v>22</v>
      </c>
      <c r="M859" t="s">
        <v>55</v>
      </c>
      <c r="N859" t="str">
        <f>IF(Table1[[#This Row],[hourly_rate (USD)]]="",MEDIAN(Table1[hourly_rate (USD)]),Table1[[#This Row],[hourly_rate (USD)]])</f>
        <v>USD 40</v>
      </c>
      <c r="O859" t="str">
        <f>TRIM(CLEAN(Table1[[#This Row],[Updated hourly_rate (USD)]]))</f>
        <v>USD 40</v>
      </c>
      <c r="P859" t="str">
        <f>SUBSTITUTE(SUBSTITUTE(Table1[[#This Row],[Formatted hourly rate]],"USD ",""),"$","")</f>
        <v>40</v>
      </c>
      <c r="Q859">
        <v>4.3</v>
      </c>
      <c r="R859">
        <f>IF(Table1[[#This Row],[rating]]="",2.6,Table1[[#This Row],[rating]])</f>
        <v>4.3</v>
      </c>
      <c r="S859">
        <v>0</v>
      </c>
      <c r="T859" t="str">
        <f>TRIM(CLEAN(Table1[[#This Row],[is_active]]))</f>
        <v>0</v>
      </c>
      <c r="U8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59" s="11" t="str">
        <f>TRIM(IF(Table1[[#This Row],[is_active3]]="Unknown","TRUE",Table1[[#This Row],[is_active3]]))</f>
        <v>FALSE</v>
      </c>
      <c r="W859">
        <v>0.95</v>
      </c>
      <c r="X859">
        <f>IF(Table1[[#This Row],[client_satisfaction]]&gt;1,Table1[[#This Row],[client_satisfaction]]/100,Table1[[#This Row],[client_satisfaction]])</f>
        <v>0.95</v>
      </c>
      <c r="Y859">
        <f>IF(Table1[[#This Row],[client_satisfaction2]]=0,0.75,Table1[[#This Row],[client_satisfaction2]])</f>
        <v>0.95</v>
      </c>
    </row>
    <row r="860" spans="1:25" x14ac:dyDescent="0.25">
      <c r="A860" t="s">
        <v>1795</v>
      </c>
      <c r="B860" t="s">
        <v>1796</v>
      </c>
      <c r="C860" t="str">
        <f>PROPER(TRIM(SUBSTITUTE(SUBSTITUTE(SUBSTITUTE(Table1[[#This Row],[name]],"Ms. ",""),"Mr. ",""),"Mrs. ","")))</f>
        <v>Beverly Roy</v>
      </c>
      <c r="D860" t="s">
        <v>77</v>
      </c>
      <c r="E8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60">
        <v>20</v>
      </c>
      <c r="G860" t="str">
        <f>TRIM(IF(Table1[[#This Row],[age]]="","Unknown",Table1[[#This Row],[age]]))</f>
        <v>20</v>
      </c>
      <c r="H860" t="s">
        <v>58</v>
      </c>
      <c r="I860" t="s">
        <v>22</v>
      </c>
      <c r="J860" t="s">
        <v>30</v>
      </c>
      <c r="K860">
        <v>1</v>
      </c>
      <c r="L860" s="10" t="str">
        <f>TRIM(IF(Table1[[#This Row],[years_of_experience]]="","Unknown",Table1[[#This Row],[years_of_experience]]))</f>
        <v>1</v>
      </c>
      <c r="N860">
        <f>IF(Table1[[#This Row],[hourly_rate (USD)]]="",MEDIAN(Table1[hourly_rate (USD)]),Table1[[#This Row],[hourly_rate (USD)]])</f>
        <v>50</v>
      </c>
      <c r="O860" t="str">
        <f>TRIM(CLEAN(Table1[[#This Row],[Updated hourly_rate (USD)]]))</f>
        <v>50</v>
      </c>
      <c r="P860" t="str">
        <f>SUBSTITUTE(SUBSTITUTE(Table1[[#This Row],[Formatted hourly rate]],"USD ",""),"$","")</f>
        <v>50</v>
      </c>
      <c r="Q860">
        <v>2.7</v>
      </c>
      <c r="R860">
        <f>IF(Table1[[#This Row],[rating]]="",2.6,Table1[[#This Row],[rating]])</f>
        <v>2.7</v>
      </c>
      <c r="S860">
        <v>0</v>
      </c>
      <c r="T860" t="str">
        <f>TRIM(CLEAN(Table1[[#This Row],[is_active]]))</f>
        <v>0</v>
      </c>
      <c r="U86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60" s="11" t="str">
        <f>TRIM(IF(Table1[[#This Row],[is_active3]]="Unknown","TRUE",Table1[[#This Row],[is_active3]]))</f>
        <v>FALSE</v>
      </c>
      <c r="W860">
        <v>94</v>
      </c>
      <c r="X860">
        <f>IF(Table1[[#This Row],[client_satisfaction]]&gt;1,Table1[[#This Row],[client_satisfaction]]/100,Table1[[#This Row],[client_satisfaction]])</f>
        <v>0.94</v>
      </c>
      <c r="Y860">
        <f>IF(Table1[[#This Row],[client_satisfaction2]]=0,0.75,Table1[[#This Row],[client_satisfaction2]])</f>
        <v>0.94</v>
      </c>
    </row>
    <row r="861" spans="1:25" x14ac:dyDescent="0.25">
      <c r="A861" t="s">
        <v>1797</v>
      </c>
      <c r="B861" t="s">
        <v>1798</v>
      </c>
      <c r="C861" t="str">
        <f>PROPER(TRIM(SUBSTITUTE(SUBSTITUTE(SUBSTITUTE(Table1[[#This Row],[name]],"Ms. ",""),"Mr. ",""),"Mrs. ","")))</f>
        <v>Heather Saunders</v>
      </c>
      <c r="D861" t="s">
        <v>34</v>
      </c>
      <c r="E8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61">
        <v>42</v>
      </c>
      <c r="G861" t="str">
        <f>TRIM(IF(Table1[[#This Row],[age]]="","Unknown",Table1[[#This Row],[age]]))</f>
        <v>42</v>
      </c>
      <c r="H861" t="s">
        <v>179</v>
      </c>
      <c r="I861" t="s">
        <v>72</v>
      </c>
      <c r="J861" t="s">
        <v>35</v>
      </c>
      <c r="L861" s="10" t="str">
        <f>TRIM(IF(Table1[[#This Row],[years_of_experience]]="","Unknown",Table1[[#This Row],[years_of_experience]]))</f>
        <v>Unknown</v>
      </c>
      <c r="M861" t="s">
        <v>64</v>
      </c>
      <c r="N861" t="str">
        <f>IF(Table1[[#This Row],[hourly_rate (USD)]]="",MEDIAN(Table1[hourly_rate (USD)]),Table1[[#This Row],[hourly_rate (USD)]])</f>
        <v>$50</v>
      </c>
      <c r="O861" t="str">
        <f>TRIM(CLEAN(Table1[[#This Row],[Updated hourly_rate (USD)]]))</f>
        <v>$50</v>
      </c>
      <c r="P861" t="str">
        <f>SUBSTITUTE(SUBSTITUTE(Table1[[#This Row],[Formatted hourly rate]],"USD ",""),"$","")</f>
        <v>50</v>
      </c>
      <c r="Q861">
        <v>4.2</v>
      </c>
      <c r="R861">
        <f>IF(Table1[[#This Row],[rating]]="",2.6,Table1[[#This Row],[rating]])</f>
        <v>4.2</v>
      </c>
      <c r="T861" t="str">
        <f>TRIM(CLEAN(Table1[[#This Row],[is_active]]))</f>
        <v/>
      </c>
      <c r="U86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61" s="11" t="str">
        <f>TRIM(IF(Table1[[#This Row],[is_active3]]="Unknown","TRUE",Table1[[#This Row],[is_active3]]))</f>
        <v>TRUE</v>
      </c>
      <c r="W861">
        <v>0.96</v>
      </c>
      <c r="X861">
        <f>IF(Table1[[#This Row],[client_satisfaction]]&gt;1,Table1[[#This Row],[client_satisfaction]]/100,Table1[[#This Row],[client_satisfaction]])</f>
        <v>0.96</v>
      </c>
      <c r="Y861">
        <f>IF(Table1[[#This Row],[client_satisfaction2]]=0,0.75,Table1[[#This Row],[client_satisfaction2]])</f>
        <v>0.96</v>
      </c>
    </row>
    <row r="862" spans="1:25" x14ac:dyDescent="0.25">
      <c r="A862" t="s">
        <v>1799</v>
      </c>
      <c r="B862" t="s">
        <v>1800</v>
      </c>
      <c r="C862" t="str">
        <f>PROPER(TRIM(SUBSTITUTE(SUBSTITUTE(SUBSTITUTE(Table1[[#This Row],[name]],"Ms. ",""),"Mr. ",""),"Mrs. ","")))</f>
        <v>Nicholas Guerrero</v>
      </c>
      <c r="D862" t="s">
        <v>48</v>
      </c>
      <c r="E8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62">
        <v>32</v>
      </c>
      <c r="G862" t="str">
        <f>TRIM(IF(Table1[[#This Row],[age]]="","Unknown",Table1[[#This Row],[age]]))</f>
        <v>32</v>
      </c>
      <c r="H862" t="s">
        <v>128</v>
      </c>
      <c r="I862" t="s">
        <v>22</v>
      </c>
      <c r="J862" t="s">
        <v>17</v>
      </c>
      <c r="K862">
        <v>12</v>
      </c>
      <c r="L862" s="10" t="str">
        <f>TRIM(IF(Table1[[#This Row],[years_of_experience]]="","Unknown",Table1[[#This Row],[years_of_experience]]))</f>
        <v>12</v>
      </c>
      <c r="M862">
        <v>40</v>
      </c>
      <c r="N862">
        <f>IF(Table1[[#This Row],[hourly_rate (USD)]]="",MEDIAN(Table1[hourly_rate (USD)]),Table1[[#This Row],[hourly_rate (USD)]])</f>
        <v>40</v>
      </c>
      <c r="O862" t="str">
        <f>TRIM(CLEAN(Table1[[#This Row],[Updated hourly_rate (USD)]]))</f>
        <v>40</v>
      </c>
      <c r="P862" t="str">
        <f>SUBSTITUTE(SUBSTITUTE(Table1[[#This Row],[Formatted hourly rate]],"USD ",""),"$","")</f>
        <v>40</v>
      </c>
      <c r="Q862">
        <v>0</v>
      </c>
      <c r="R862">
        <f>IF(Table1[[#This Row],[rating]]="",2.6,Table1[[#This Row],[rating]])</f>
        <v>0</v>
      </c>
      <c r="S862" t="s">
        <v>68</v>
      </c>
      <c r="T862" t="str">
        <f>TRIM(CLEAN(Table1[[#This Row],[is_active]]))</f>
        <v>yes</v>
      </c>
      <c r="U86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62" s="11" t="str">
        <f>TRIM(IF(Table1[[#This Row],[is_active3]]="Unknown","TRUE",Table1[[#This Row],[is_active3]]))</f>
        <v>TRUE</v>
      </c>
      <c r="W862">
        <v>0.63</v>
      </c>
      <c r="X862">
        <f>IF(Table1[[#This Row],[client_satisfaction]]&gt;1,Table1[[#This Row],[client_satisfaction]]/100,Table1[[#This Row],[client_satisfaction]])</f>
        <v>0.63</v>
      </c>
      <c r="Y862">
        <f>IF(Table1[[#This Row],[client_satisfaction2]]=0,0.75,Table1[[#This Row],[client_satisfaction2]])</f>
        <v>0.63</v>
      </c>
    </row>
    <row r="863" spans="1:25" x14ac:dyDescent="0.25">
      <c r="A863" t="s">
        <v>1801</v>
      </c>
      <c r="B863" t="s">
        <v>1802</v>
      </c>
      <c r="C863" t="str">
        <f>PROPER(TRIM(SUBSTITUTE(SUBSTITUTE(SUBSTITUTE(Table1[[#This Row],[name]],"Ms. ",""),"Mr. ",""),"Mrs. ","")))</f>
        <v>Christopher Johnson</v>
      </c>
      <c r="D863" t="s">
        <v>97</v>
      </c>
      <c r="E8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63">
        <v>60</v>
      </c>
      <c r="G863" t="str">
        <f>TRIM(IF(Table1[[#This Row],[age]]="","Unknown",Table1[[#This Row],[age]]))</f>
        <v>60</v>
      </c>
      <c r="H863" t="s">
        <v>85</v>
      </c>
      <c r="I863" t="s">
        <v>86</v>
      </c>
      <c r="J863" t="s">
        <v>44</v>
      </c>
      <c r="L863" s="10" t="str">
        <f>TRIM(IF(Table1[[#This Row],[years_of_experience]]="","Unknown",Table1[[#This Row],[years_of_experience]]))</f>
        <v>Unknown</v>
      </c>
      <c r="M863">
        <v>20</v>
      </c>
      <c r="N863">
        <f>IF(Table1[[#This Row],[hourly_rate (USD)]]="",MEDIAN(Table1[hourly_rate (USD)]),Table1[[#This Row],[hourly_rate (USD)]])</f>
        <v>20</v>
      </c>
      <c r="O863" t="str">
        <f>TRIM(CLEAN(Table1[[#This Row],[Updated hourly_rate (USD)]]))</f>
        <v>20</v>
      </c>
      <c r="P863" t="str">
        <f>SUBSTITUTE(SUBSTITUTE(Table1[[#This Row],[Formatted hourly rate]],"USD ",""),"$","")</f>
        <v>20</v>
      </c>
      <c r="Q863">
        <v>2.2000000000000002</v>
      </c>
      <c r="R863">
        <f>IF(Table1[[#This Row],[rating]]="",2.6,Table1[[#This Row],[rating]])</f>
        <v>2.2000000000000002</v>
      </c>
      <c r="S863" t="b">
        <v>0</v>
      </c>
      <c r="T863" t="str">
        <f>TRIM(CLEAN(Table1[[#This Row],[is_active]]))</f>
        <v>FALSE</v>
      </c>
      <c r="U86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63" s="11" t="str">
        <f>TRIM(IF(Table1[[#This Row],[is_active3]]="Unknown","TRUE",Table1[[#This Row],[is_active3]]))</f>
        <v>TRUE</v>
      </c>
      <c r="W863">
        <v>0.6</v>
      </c>
      <c r="X863">
        <f>IF(Table1[[#This Row],[client_satisfaction]]&gt;1,Table1[[#This Row],[client_satisfaction]]/100,Table1[[#This Row],[client_satisfaction]])</f>
        <v>0.6</v>
      </c>
      <c r="Y863">
        <f>IF(Table1[[#This Row],[client_satisfaction2]]=0,0.75,Table1[[#This Row],[client_satisfaction2]])</f>
        <v>0.6</v>
      </c>
    </row>
    <row r="864" spans="1:25" x14ac:dyDescent="0.25">
      <c r="A864" t="s">
        <v>1803</v>
      </c>
      <c r="B864" t="s">
        <v>1804</v>
      </c>
      <c r="C864" t="str">
        <f>PROPER(TRIM(SUBSTITUTE(SUBSTITUTE(SUBSTITUTE(Table1[[#This Row],[name]],"Ms. ",""),"Mr. ",""),"Mrs. ","")))</f>
        <v>Steven Flowers</v>
      </c>
      <c r="D864" t="s">
        <v>92</v>
      </c>
      <c r="E8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64">
        <v>46</v>
      </c>
      <c r="G864" t="str">
        <f>TRIM(IF(Table1[[#This Row],[age]]="","Unknown",Table1[[#This Row],[age]]))</f>
        <v>46</v>
      </c>
      <c r="H864" t="s">
        <v>139</v>
      </c>
      <c r="I864" t="s">
        <v>140</v>
      </c>
      <c r="J864" t="s">
        <v>114</v>
      </c>
      <c r="K864">
        <v>12</v>
      </c>
      <c r="L864" s="10" t="str">
        <f>TRIM(IF(Table1[[#This Row],[years_of_experience]]="","Unknown",Table1[[#This Row],[years_of_experience]]))</f>
        <v>12</v>
      </c>
      <c r="M864">
        <v>50</v>
      </c>
      <c r="N864">
        <f>IF(Table1[[#This Row],[hourly_rate (USD)]]="",MEDIAN(Table1[hourly_rate (USD)]),Table1[[#This Row],[hourly_rate (USD)]])</f>
        <v>50</v>
      </c>
      <c r="O864" t="str">
        <f>TRIM(CLEAN(Table1[[#This Row],[Updated hourly_rate (USD)]]))</f>
        <v>50</v>
      </c>
      <c r="P864" t="str">
        <f>SUBSTITUTE(SUBSTITUTE(Table1[[#This Row],[Formatted hourly rate]],"USD ",""),"$","")</f>
        <v>50</v>
      </c>
      <c r="Q864">
        <v>4.7</v>
      </c>
      <c r="R864">
        <f>IF(Table1[[#This Row],[rating]]="",2.6,Table1[[#This Row],[rating]])</f>
        <v>4.7</v>
      </c>
      <c r="S864" t="s">
        <v>68</v>
      </c>
      <c r="T864" t="str">
        <f>TRIM(CLEAN(Table1[[#This Row],[is_active]]))</f>
        <v>yes</v>
      </c>
      <c r="U8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64" s="11" t="str">
        <f>TRIM(IF(Table1[[#This Row],[is_active3]]="Unknown","TRUE",Table1[[#This Row],[is_active3]]))</f>
        <v>TRUE</v>
      </c>
      <c r="W864">
        <v>0.77</v>
      </c>
      <c r="X864">
        <f>IF(Table1[[#This Row],[client_satisfaction]]&gt;1,Table1[[#This Row],[client_satisfaction]]/100,Table1[[#This Row],[client_satisfaction]])</f>
        <v>0.77</v>
      </c>
      <c r="Y864">
        <f>IF(Table1[[#This Row],[client_satisfaction2]]=0,0.75,Table1[[#This Row],[client_satisfaction2]])</f>
        <v>0.77</v>
      </c>
    </row>
    <row r="865" spans="1:25" x14ac:dyDescent="0.25">
      <c r="A865" t="s">
        <v>1805</v>
      </c>
      <c r="B865" t="s">
        <v>1806</v>
      </c>
      <c r="C865" t="str">
        <f>PROPER(TRIM(SUBSTITUTE(SUBSTITUTE(SUBSTITUTE(Table1[[#This Row],[name]],"Ms. ",""),"Mr. ",""),"Mrs. ","")))</f>
        <v>Marvin Woods Iii</v>
      </c>
      <c r="D865" t="s">
        <v>27</v>
      </c>
      <c r="E8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65">
        <v>29</v>
      </c>
      <c r="G865" t="str">
        <f>TRIM(IF(Table1[[#This Row],[age]]="","Unknown",Table1[[#This Row],[age]]))</f>
        <v>29</v>
      </c>
      <c r="H865" t="s">
        <v>175</v>
      </c>
      <c r="I865" t="s">
        <v>176</v>
      </c>
      <c r="J865" t="s">
        <v>89</v>
      </c>
      <c r="K865">
        <v>0</v>
      </c>
      <c r="L865" s="10" t="str">
        <f>TRIM(IF(Table1[[#This Row],[years_of_experience]]="","Unknown",Table1[[#This Row],[years_of_experience]]))</f>
        <v>0</v>
      </c>
      <c r="M865">
        <v>30</v>
      </c>
      <c r="N865">
        <f>IF(Table1[[#This Row],[hourly_rate (USD)]]="",MEDIAN(Table1[hourly_rate (USD)]),Table1[[#This Row],[hourly_rate (USD)]])</f>
        <v>30</v>
      </c>
      <c r="O865" t="str">
        <f>TRIM(CLEAN(Table1[[#This Row],[Updated hourly_rate (USD)]]))</f>
        <v>30</v>
      </c>
      <c r="P865" t="str">
        <f>SUBSTITUTE(SUBSTITUTE(Table1[[#This Row],[Formatted hourly rate]],"USD ",""),"$","")</f>
        <v>30</v>
      </c>
      <c r="Q865">
        <v>0</v>
      </c>
      <c r="R865">
        <f>IF(Table1[[#This Row],[rating]]="",2.6,Table1[[#This Row],[rating]])</f>
        <v>0</v>
      </c>
      <c r="S865">
        <v>0</v>
      </c>
      <c r="T865" t="str">
        <f>TRIM(CLEAN(Table1[[#This Row],[is_active]]))</f>
        <v>0</v>
      </c>
      <c r="U8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65" s="11" t="str">
        <f>TRIM(IF(Table1[[#This Row],[is_active3]]="Unknown","TRUE",Table1[[#This Row],[is_active3]]))</f>
        <v>FALSE</v>
      </c>
      <c r="W865">
        <v>0.63</v>
      </c>
      <c r="X865">
        <f>IF(Table1[[#This Row],[client_satisfaction]]&gt;1,Table1[[#This Row],[client_satisfaction]]/100,Table1[[#This Row],[client_satisfaction]])</f>
        <v>0.63</v>
      </c>
      <c r="Y865">
        <f>IF(Table1[[#This Row],[client_satisfaction2]]=0,0.75,Table1[[#This Row],[client_satisfaction2]])</f>
        <v>0.63</v>
      </c>
    </row>
    <row r="866" spans="1:25" x14ac:dyDescent="0.25">
      <c r="A866" t="s">
        <v>1807</v>
      </c>
      <c r="B866" t="s">
        <v>1808</v>
      </c>
      <c r="C866" t="str">
        <f>PROPER(TRIM(SUBSTITUTE(SUBSTITUTE(SUBSTITUTE(Table1[[#This Row],[name]],"Ms. ",""),"Mr. ",""),"Mrs. ","")))</f>
        <v>Michelle Cook</v>
      </c>
      <c r="D866" t="s">
        <v>20</v>
      </c>
      <c r="E8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66">
        <v>39</v>
      </c>
      <c r="G866" t="str">
        <f>TRIM(IF(Table1[[#This Row],[age]]="","Unknown",Table1[[#This Row],[age]]))</f>
        <v>39</v>
      </c>
      <c r="H866" t="s">
        <v>107</v>
      </c>
      <c r="I866" t="s">
        <v>108</v>
      </c>
      <c r="J866" t="s">
        <v>23</v>
      </c>
      <c r="K866">
        <v>18</v>
      </c>
      <c r="L866" s="10" t="str">
        <f>TRIM(IF(Table1[[#This Row],[years_of_experience]]="","Unknown",Table1[[#This Row],[years_of_experience]]))</f>
        <v>18</v>
      </c>
      <c r="M866">
        <v>20</v>
      </c>
      <c r="N866">
        <f>IF(Table1[[#This Row],[hourly_rate (USD)]]="",MEDIAN(Table1[hourly_rate (USD)]),Table1[[#This Row],[hourly_rate (USD)]])</f>
        <v>20</v>
      </c>
      <c r="O866" t="str">
        <f>TRIM(CLEAN(Table1[[#This Row],[Updated hourly_rate (USD)]]))</f>
        <v>20</v>
      </c>
      <c r="P866" t="str">
        <f>SUBSTITUTE(SUBSTITUTE(Table1[[#This Row],[Formatted hourly rate]],"USD ",""),"$","")</f>
        <v>20</v>
      </c>
      <c r="Q866">
        <v>2.5</v>
      </c>
      <c r="R866">
        <f>IF(Table1[[#This Row],[rating]]="",2.6,Table1[[#This Row],[rating]])</f>
        <v>2.5</v>
      </c>
      <c r="S866" t="s">
        <v>68</v>
      </c>
      <c r="T866" t="str">
        <f>TRIM(CLEAN(Table1[[#This Row],[is_active]]))</f>
        <v>yes</v>
      </c>
      <c r="U86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66" s="11" t="str">
        <f>TRIM(IF(Table1[[#This Row],[is_active3]]="Unknown","TRUE",Table1[[#This Row],[is_active3]]))</f>
        <v>TRUE</v>
      </c>
      <c r="W866">
        <v>0.61</v>
      </c>
      <c r="X866">
        <f>IF(Table1[[#This Row],[client_satisfaction]]&gt;1,Table1[[#This Row],[client_satisfaction]]/100,Table1[[#This Row],[client_satisfaction]])</f>
        <v>0.61</v>
      </c>
      <c r="Y866">
        <f>IF(Table1[[#This Row],[client_satisfaction2]]=0,0.75,Table1[[#This Row],[client_satisfaction2]])</f>
        <v>0.61</v>
      </c>
    </row>
    <row r="867" spans="1:25" x14ac:dyDescent="0.25">
      <c r="A867" t="s">
        <v>1809</v>
      </c>
      <c r="B867" t="s">
        <v>1810</v>
      </c>
      <c r="C867" t="str">
        <f>PROPER(TRIM(SUBSTITUTE(SUBSTITUTE(SUBSTITUTE(Table1[[#This Row],[name]],"Ms. ",""),"Mr. ",""),"Mrs. ","")))</f>
        <v>Logan Zamora</v>
      </c>
      <c r="D867" t="s">
        <v>61</v>
      </c>
      <c r="E8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67">
        <v>55</v>
      </c>
      <c r="G867" t="str">
        <f>TRIM(IF(Table1[[#This Row],[age]]="","Unknown",Table1[[#This Row],[age]]))</f>
        <v>55</v>
      </c>
      <c r="H867" t="s">
        <v>124</v>
      </c>
      <c r="I867" t="s">
        <v>125</v>
      </c>
      <c r="J867" t="s">
        <v>23</v>
      </c>
      <c r="K867">
        <v>2</v>
      </c>
      <c r="L867" s="10" t="str">
        <f>TRIM(IF(Table1[[#This Row],[years_of_experience]]="","Unknown",Table1[[#This Row],[years_of_experience]]))</f>
        <v>2</v>
      </c>
      <c r="M867" t="s">
        <v>64</v>
      </c>
      <c r="N867" t="str">
        <f>IF(Table1[[#This Row],[hourly_rate (USD)]]="",MEDIAN(Table1[hourly_rate (USD)]),Table1[[#This Row],[hourly_rate (USD)]])</f>
        <v>$50</v>
      </c>
      <c r="O867" t="str">
        <f>TRIM(CLEAN(Table1[[#This Row],[Updated hourly_rate (USD)]]))</f>
        <v>$50</v>
      </c>
      <c r="P867" t="str">
        <f>SUBSTITUTE(SUBSTITUTE(Table1[[#This Row],[Formatted hourly rate]],"USD ",""),"$","")</f>
        <v>50</v>
      </c>
      <c r="Q867">
        <v>3.9</v>
      </c>
      <c r="R867">
        <f>IF(Table1[[#This Row],[rating]]="",2.6,Table1[[#This Row],[rating]])</f>
        <v>3.9</v>
      </c>
      <c r="S867" t="s">
        <v>68</v>
      </c>
      <c r="T867" t="str">
        <f>TRIM(CLEAN(Table1[[#This Row],[is_active]]))</f>
        <v>yes</v>
      </c>
      <c r="U86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67" s="11" t="str">
        <f>TRIM(IF(Table1[[#This Row],[is_active3]]="Unknown","TRUE",Table1[[#This Row],[is_active3]]))</f>
        <v>TRUE</v>
      </c>
      <c r="W867">
        <v>0.88</v>
      </c>
      <c r="X867">
        <f>IF(Table1[[#This Row],[client_satisfaction]]&gt;1,Table1[[#This Row],[client_satisfaction]]/100,Table1[[#This Row],[client_satisfaction]])</f>
        <v>0.88</v>
      </c>
      <c r="Y867">
        <f>IF(Table1[[#This Row],[client_satisfaction2]]=0,0.75,Table1[[#This Row],[client_satisfaction2]])</f>
        <v>0.88</v>
      </c>
    </row>
    <row r="868" spans="1:25" x14ac:dyDescent="0.25">
      <c r="A868" t="s">
        <v>1811</v>
      </c>
      <c r="B868" t="s">
        <v>1812</v>
      </c>
      <c r="C868" t="str">
        <f>PROPER(TRIM(SUBSTITUTE(SUBSTITUTE(SUBSTITUTE(Table1[[#This Row],[name]],"Ms. ",""),"Mr. ",""),"Mrs. ","")))</f>
        <v>Casey Roberts</v>
      </c>
      <c r="D868" t="s">
        <v>48</v>
      </c>
      <c r="E8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68">
        <v>55</v>
      </c>
      <c r="G868" t="str">
        <f>TRIM(IF(Table1[[#This Row],[age]]="","Unknown",Table1[[#This Row],[age]]))</f>
        <v>55</v>
      </c>
      <c r="H868" t="s">
        <v>62</v>
      </c>
      <c r="I868" t="s">
        <v>63</v>
      </c>
      <c r="J868" t="s">
        <v>78</v>
      </c>
      <c r="L868" s="10" t="str">
        <f>TRIM(IF(Table1[[#This Row],[years_of_experience]]="","Unknown",Table1[[#This Row],[years_of_experience]]))</f>
        <v>Unknown</v>
      </c>
      <c r="M868" t="s">
        <v>24</v>
      </c>
      <c r="N868" t="str">
        <f>IF(Table1[[#This Row],[hourly_rate (USD)]]="",MEDIAN(Table1[hourly_rate (USD)]),Table1[[#This Row],[hourly_rate (USD)]])</f>
        <v>USD 100</v>
      </c>
      <c r="O868" t="str">
        <f>TRIM(CLEAN(Table1[[#This Row],[Updated hourly_rate (USD)]]))</f>
        <v>USD 100</v>
      </c>
      <c r="P868" t="str">
        <f>SUBSTITUTE(SUBSTITUTE(Table1[[#This Row],[Formatted hourly rate]],"USD ",""),"$","")</f>
        <v>100</v>
      </c>
      <c r="Q868">
        <v>1.2</v>
      </c>
      <c r="R868">
        <f>IF(Table1[[#This Row],[rating]]="",2.6,Table1[[#This Row],[rating]])</f>
        <v>1.2</v>
      </c>
      <c r="S868">
        <v>1</v>
      </c>
      <c r="T868" t="str">
        <f>TRIM(CLEAN(Table1[[#This Row],[is_active]]))</f>
        <v>1</v>
      </c>
      <c r="U86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68" s="11" t="str">
        <f>TRIM(IF(Table1[[#This Row],[is_active3]]="Unknown","TRUE",Table1[[#This Row],[is_active3]]))</f>
        <v>TRUE</v>
      </c>
      <c r="W868">
        <v>0.69</v>
      </c>
      <c r="X868">
        <f>IF(Table1[[#This Row],[client_satisfaction]]&gt;1,Table1[[#This Row],[client_satisfaction]]/100,Table1[[#This Row],[client_satisfaction]])</f>
        <v>0.69</v>
      </c>
      <c r="Y868">
        <f>IF(Table1[[#This Row],[client_satisfaction2]]=0,0.75,Table1[[#This Row],[client_satisfaction2]])</f>
        <v>0.69</v>
      </c>
    </row>
    <row r="869" spans="1:25" x14ac:dyDescent="0.25">
      <c r="A869" t="s">
        <v>1813</v>
      </c>
      <c r="B869" t="s">
        <v>1814</v>
      </c>
      <c r="C869" t="str">
        <f>PROPER(TRIM(SUBSTITUTE(SUBSTITUTE(SUBSTITUTE(Table1[[#This Row],[name]],"Ms. ",""),"Mr. ",""),"Mrs. ","")))</f>
        <v>Jerry Price</v>
      </c>
      <c r="D869" t="s">
        <v>97</v>
      </c>
      <c r="E8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69">
        <v>40</v>
      </c>
      <c r="G869" t="str">
        <f>TRIM(IF(Table1[[#This Row],[age]]="","Unknown",Table1[[#This Row],[age]]))</f>
        <v>40</v>
      </c>
      <c r="H869" t="s">
        <v>49</v>
      </c>
      <c r="I869" t="s">
        <v>50</v>
      </c>
      <c r="J869" t="s">
        <v>51</v>
      </c>
      <c r="K869">
        <v>2</v>
      </c>
      <c r="L869" s="10" t="str">
        <f>TRIM(IF(Table1[[#This Row],[years_of_experience]]="","Unknown",Table1[[#This Row],[years_of_experience]]))</f>
        <v>2</v>
      </c>
      <c r="M869">
        <v>75</v>
      </c>
      <c r="N869">
        <f>IF(Table1[[#This Row],[hourly_rate (USD)]]="",MEDIAN(Table1[hourly_rate (USD)]),Table1[[#This Row],[hourly_rate (USD)]])</f>
        <v>75</v>
      </c>
      <c r="O869" t="str">
        <f>TRIM(CLEAN(Table1[[#This Row],[Updated hourly_rate (USD)]]))</f>
        <v>75</v>
      </c>
      <c r="P869" t="str">
        <f>SUBSTITUTE(SUBSTITUTE(Table1[[#This Row],[Formatted hourly rate]],"USD ",""),"$","")</f>
        <v>75</v>
      </c>
      <c r="Q869">
        <v>4.5</v>
      </c>
      <c r="R869">
        <f>IF(Table1[[#This Row],[rating]]="",2.6,Table1[[#This Row],[rating]])</f>
        <v>4.5</v>
      </c>
      <c r="S869" t="s">
        <v>68</v>
      </c>
      <c r="T869" t="str">
        <f>TRIM(CLEAN(Table1[[#This Row],[is_active]]))</f>
        <v>yes</v>
      </c>
      <c r="U86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69" s="11" t="str">
        <f>TRIM(IF(Table1[[#This Row],[is_active3]]="Unknown","TRUE",Table1[[#This Row],[is_active3]]))</f>
        <v>TRUE</v>
      </c>
      <c r="X869">
        <f>IF(Table1[[#This Row],[client_satisfaction]]&gt;1,Table1[[#This Row],[client_satisfaction]]/100,Table1[[#This Row],[client_satisfaction]])</f>
        <v>0</v>
      </c>
      <c r="Y869">
        <f>IF(Table1[[#This Row],[client_satisfaction2]]=0,0.75,Table1[[#This Row],[client_satisfaction2]])</f>
        <v>0.75</v>
      </c>
    </row>
    <row r="870" spans="1:25" x14ac:dyDescent="0.25">
      <c r="A870" t="s">
        <v>1815</v>
      </c>
      <c r="B870" t="s">
        <v>1816</v>
      </c>
      <c r="C870" t="str">
        <f>PROPER(TRIM(SUBSTITUTE(SUBSTITUTE(SUBSTITUTE(Table1[[#This Row],[name]],"Ms. ",""),"Mr. ",""),"Mrs. ","")))</f>
        <v>Kelly Ellis</v>
      </c>
      <c r="D870" t="s">
        <v>14</v>
      </c>
      <c r="E8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70">
        <v>56</v>
      </c>
      <c r="G870" t="str">
        <f>TRIM(IF(Table1[[#This Row],[age]]="","Unknown",Table1[[#This Row],[age]]))</f>
        <v>56</v>
      </c>
      <c r="H870" t="s">
        <v>175</v>
      </c>
      <c r="I870" t="s">
        <v>176</v>
      </c>
      <c r="J870" t="s">
        <v>73</v>
      </c>
      <c r="K870">
        <v>35</v>
      </c>
      <c r="L870" s="10" t="str">
        <f>TRIM(IF(Table1[[#This Row],[years_of_experience]]="","Unknown",Table1[[#This Row],[years_of_experience]]))</f>
        <v>35</v>
      </c>
      <c r="M870" t="s">
        <v>36</v>
      </c>
      <c r="N870" t="str">
        <f>IF(Table1[[#This Row],[hourly_rate (USD)]]="",MEDIAN(Table1[hourly_rate (USD)]),Table1[[#This Row],[hourly_rate (USD)]])</f>
        <v>$40</v>
      </c>
      <c r="O870" t="str">
        <f>TRIM(CLEAN(Table1[[#This Row],[Updated hourly_rate (USD)]]))</f>
        <v>$40</v>
      </c>
      <c r="P870" t="str">
        <f>SUBSTITUTE(SUBSTITUTE(Table1[[#This Row],[Formatted hourly rate]],"USD ",""),"$","")</f>
        <v>40</v>
      </c>
      <c r="Q870">
        <v>2.7</v>
      </c>
      <c r="R870">
        <f>IF(Table1[[#This Row],[rating]]="",2.6,Table1[[#This Row],[rating]])</f>
        <v>2.7</v>
      </c>
      <c r="S870" t="b">
        <v>1</v>
      </c>
      <c r="T870" t="str">
        <f>TRIM(CLEAN(Table1[[#This Row],[is_active]]))</f>
        <v>TRUE</v>
      </c>
      <c r="U87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70" s="11" t="str">
        <f>TRIM(IF(Table1[[#This Row],[is_active3]]="Unknown","TRUE",Table1[[#This Row],[is_active3]]))</f>
        <v>TRUE</v>
      </c>
      <c r="W870">
        <v>0.82</v>
      </c>
      <c r="X870">
        <f>IF(Table1[[#This Row],[client_satisfaction]]&gt;1,Table1[[#This Row],[client_satisfaction]]/100,Table1[[#This Row],[client_satisfaction]])</f>
        <v>0.82</v>
      </c>
      <c r="Y870">
        <f>IF(Table1[[#This Row],[client_satisfaction2]]=0,0.75,Table1[[#This Row],[client_satisfaction2]])</f>
        <v>0.82</v>
      </c>
    </row>
    <row r="871" spans="1:25" x14ac:dyDescent="0.25">
      <c r="A871" t="s">
        <v>1817</v>
      </c>
      <c r="B871" t="s">
        <v>1818</v>
      </c>
      <c r="C871" t="str">
        <f>PROPER(TRIM(SUBSTITUTE(SUBSTITUTE(SUBSTITUTE(Table1[[#This Row],[name]],"Ms. ",""),"Mr. ",""),"Mrs. ","")))</f>
        <v>Caleb Guerra</v>
      </c>
      <c r="D871" t="s">
        <v>61</v>
      </c>
      <c r="E8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71">
        <v>57</v>
      </c>
      <c r="G871" t="str">
        <f>TRIM(IF(Table1[[#This Row],[age]]="","Unknown",Table1[[#This Row],[age]]))</f>
        <v>57</v>
      </c>
      <c r="H871" t="s">
        <v>179</v>
      </c>
      <c r="I871" t="s">
        <v>72</v>
      </c>
      <c r="J871" t="s">
        <v>23</v>
      </c>
      <c r="K871">
        <v>21</v>
      </c>
      <c r="L871" s="10" t="str">
        <f>TRIM(IF(Table1[[#This Row],[years_of_experience]]="","Unknown",Table1[[#This Row],[years_of_experience]]))</f>
        <v>21</v>
      </c>
      <c r="M871">
        <v>75</v>
      </c>
      <c r="N871">
        <f>IF(Table1[[#This Row],[hourly_rate (USD)]]="",MEDIAN(Table1[hourly_rate (USD)]),Table1[[#This Row],[hourly_rate (USD)]])</f>
        <v>75</v>
      </c>
      <c r="O871" t="str">
        <f>TRIM(CLEAN(Table1[[#This Row],[Updated hourly_rate (USD)]]))</f>
        <v>75</v>
      </c>
      <c r="P871" t="str">
        <f>SUBSTITUTE(SUBSTITUTE(Table1[[#This Row],[Formatted hourly rate]],"USD ",""),"$","")</f>
        <v>75</v>
      </c>
      <c r="Q871">
        <v>2</v>
      </c>
      <c r="R871">
        <f>IF(Table1[[#This Row],[rating]]="",2.6,Table1[[#This Row],[rating]])</f>
        <v>2</v>
      </c>
      <c r="S871" t="s">
        <v>31</v>
      </c>
      <c r="T871" t="str">
        <f>TRIM(CLEAN(Table1[[#This Row],[is_active]]))</f>
        <v>N</v>
      </c>
      <c r="U8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71" s="11" t="str">
        <f>TRIM(IF(Table1[[#This Row],[is_active3]]="Unknown","TRUE",Table1[[#This Row],[is_active3]]))</f>
        <v>FALSE</v>
      </c>
      <c r="W871">
        <v>0.96</v>
      </c>
      <c r="X871">
        <f>IF(Table1[[#This Row],[client_satisfaction]]&gt;1,Table1[[#This Row],[client_satisfaction]]/100,Table1[[#This Row],[client_satisfaction]])</f>
        <v>0.96</v>
      </c>
      <c r="Y871">
        <f>IF(Table1[[#This Row],[client_satisfaction2]]=0,0.75,Table1[[#This Row],[client_satisfaction2]])</f>
        <v>0.96</v>
      </c>
    </row>
    <row r="872" spans="1:25" x14ac:dyDescent="0.25">
      <c r="A872" t="s">
        <v>1819</v>
      </c>
      <c r="B872" t="s">
        <v>1820</v>
      </c>
      <c r="C872" t="str">
        <f>PROPER(TRIM(SUBSTITUTE(SUBSTITUTE(SUBSTITUTE(Table1[[#This Row],[name]],"Ms. ",""),"Mr. ",""),"Mrs. ","")))</f>
        <v>Samantha Norman</v>
      </c>
      <c r="D872" t="s">
        <v>34</v>
      </c>
      <c r="E8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72">
        <v>56</v>
      </c>
      <c r="G872" t="str">
        <f>TRIM(IF(Table1[[#This Row],[age]]="","Unknown",Table1[[#This Row],[age]]))</f>
        <v>56</v>
      </c>
      <c r="H872" t="s">
        <v>124</v>
      </c>
      <c r="I872" t="s">
        <v>125</v>
      </c>
      <c r="J872" t="s">
        <v>89</v>
      </c>
      <c r="K872">
        <v>3</v>
      </c>
      <c r="L872" s="10" t="str">
        <f>TRIM(IF(Table1[[#This Row],[years_of_experience]]="","Unknown",Table1[[#This Row],[years_of_experience]]))</f>
        <v>3</v>
      </c>
      <c r="M872" t="s">
        <v>36</v>
      </c>
      <c r="N872" t="str">
        <f>IF(Table1[[#This Row],[hourly_rate (USD)]]="",MEDIAN(Table1[hourly_rate (USD)]),Table1[[#This Row],[hourly_rate (USD)]])</f>
        <v>$40</v>
      </c>
      <c r="O872" t="str">
        <f>TRIM(CLEAN(Table1[[#This Row],[Updated hourly_rate (USD)]]))</f>
        <v>$40</v>
      </c>
      <c r="P872" t="str">
        <f>SUBSTITUTE(SUBSTITUTE(Table1[[#This Row],[Formatted hourly rate]],"USD ",""),"$","")</f>
        <v>40</v>
      </c>
      <c r="Q872">
        <v>1.7</v>
      </c>
      <c r="R872">
        <f>IF(Table1[[#This Row],[rating]]="",2.6,Table1[[#This Row],[rating]])</f>
        <v>1.7</v>
      </c>
      <c r="S872" t="s">
        <v>31</v>
      </c>
      <c r="T872" t="str">
        <f>TRIM(CLEAN(Table1[[#This Row],[is_active]]))</f>
        <v>N</v>
      </c>
      <c r="U87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72" s="11" t="str">
        <f>TRIM(IF(Table1[[#This Row],[is_active3]]="Unknown","TRUE",Table1[[#This Row],[is_active3]]))</f>
        <v>FALSE</v>
      </c>
      <c r="W872">
        <v>0.71</v>
      </c>
      <c r="X872">
        <f>IF(Table1[[#This Row],[client_satisfaction]]&gt;1,Table1[[#This Row],[client_satisfaction]]/100,Table1[[#This Row],[client_satisfaction]])</f>
        <v>0.71</v>
      </c>
      <c r="Y872">
        <f>IF(Table1[[#This Row],[client_satisfaction2]]=0,0.75,Table1[[#This Row],[client_satisfaction2]])</f>
        <v>0.71</v>
      </c>
    </row>
    <row r="873" spans="1:25" x14ac:dyDescent="0.25">
      <c r="A873" t="s">
        <v>1821</v>
      </c>
      <c r="B873" t="s">
        <v>1822</v>
      </c>
      <c r="C873" t="str">
        <f>PROPER(TRIM(SUBSTITUTE(SUBSTITUTE(SUBSTITUTE(Table1[[#This Row],[name]],"Ms. ",""),"Mr. ",""),"Mrs. ","")))</f>
        <v>Sarah Clarke</v>
      </c>
      <c r="D873" t="s">
        <v>14</v>
      </c>
      <c r="E8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73">
        <v>49</v>
      </c>
      <c r="G873" t="str">
        <f>TRIM(IF(Table1[[#This Row],[age]]="","Unknown",Table1[[#This Row],[age]]))</f>
        <v>49</v>
      </c>
      <c r="H873" t="s">
        <v>28</v>
      </c>
      <c r="I873" t="s">
        <v>29</v>
      </c>
      <c r="J873" t="s">
        <v>23</v>
      </c>
      <c r="K873">
        <v>24</v>
      </c>
      <c r="L873" s="10" t="str">
        <f>TRIM(IF(Table1[[#This Row],[years_of_experience]]="","Unknown",Table1[[#This Row],[years_of_experience]]))</f>
        <v>24</v>
      </c>
      <c r="M873" t="s">
        <v>170</v>
      </c>
      <c r="N873" t="str">
        <f>IF(Table1[[#This Row],[hourly_rate (USD)]]="",MEDIAN(Table1[hourly_rate (USD)]),Table1[[#This Row],[hourly_rate (USD)]])</f>
        <v>$75</v>
      </c>
      <c r="O873" t="str">
        <f>TRIM(CLEAN(Table1[[#This Row],[Updated hourly_rate (USD)]]))</f>
        <v>$75</v>
      </c>
      <c r="P873" t="str">
        <f>SUBSTITUTE(SUBSTITUTE(Table1[[#This Row],[Formatted hourly rate]],"USD ",""),"$","")</f>
        <v>75</v>
      </c>
      <c r="Q873">
        <v>3</v>
      </c>
      <c r="R873">
        <f>IF(Table1[[#This Row],[rating]]="",2.6,Table1[[#This Row],[rating]])</f>
        <v>3</v>
      </c>
      <c r="S873">
        <v>1</v>
      </c>
      <c r="T873" t="str">
        <f>TRIM(CLEAN(Table1[[#This Row],[is_active]]))</f>
        <v>1</v>
      </c>
      <c r="U87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73" s="11" t="str">
        <f>TRIM(IF(Table1[[#This Row],[is_active3]]="Unknown","TRUE",Table1[[#This Row],[is_active3]]))</f>
        <v>TRUE</v>
      </c>
      <c r="W873">
        <v>0.77</v>
      </c>
      <c r="X873">
        <f>IF(Table1[[#This Row],[client_satisfaction]]&gt;1,Table1[[#This Row],[client_satisfaction]]/100,Table1[[#This Row],[client_satisfaction]])</f>
        <v>0.77</v>
      </c>
      <c r="Y873">
        <f>IF(Table1[[#This Row],[client_satisfaction2]]=0,0.75,Table1[[#This Row],[client_satisfaction2]])</f>
        <v>0.77</v>
      </c>
    </row>
    <row r="874" spans="1:25" x14ac:dyDescent="0.25">
      <c r="A874" t="s">
        <v>1823</v>
      </c>
      <c r="B874" t="s">
        <v>1824</v>
      </c>
      <c r="C874" t="str">
        <f>PROPER(TRIM(SUBSTITUTE(SUBSTITUTE(SUBSTITUTE(Table1[[#This Row],[name]],"Ms. ",""),"Mr. ",""),"Mrs. ","")))</f>
        <v>Aaron Blair</v>
      </c>
      <c r="D874" t="s">
        <v>61</v>
      </c>
      <c r="E8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74">
        <v>26</v>
      </c>
      <c r="G874" t="str">
        <f>TRIM(IF(Table1[[#This Row],[age]]="","Unknown",Table1[[#This Row],[age]]))</f>
        <v>26</v>
      </c>
      <c r="H874" t="s">
        <v>190</v>
      </c>
      <c r="I874" t="s">
        <v>72</v>
      </c>
      <c r="J874" t="s">
        <v>17</v>
      </c>
      <c r="L874" s="10" t="str">
        <f>TRIM(IF(Table1[[#This Row],[years_of_experience]]="","Unknown",Table1[[#This Row],[years_of_experience]]))</f>
        <v>Unknown</v>
      </c>
      <c r="M874" t="s">
        <v>170</v>
      </c>
      <c r="N874" t="str">
        <f>IF(Table1[[#This Row],[hourly_rate (USD)]]="",MEDIAN(Table1[hourly_rate (USD)]),Table1[[#This Row],[hourly_rate (USD)]])</f>
        <v>$75</v>
      </c>
      <c r="O874" t="str">
        <f>TRIM(CLEAN(Table1[[#This Row],[Updated hourly_rate (USD)]]))</f>
        <v>$75</v>
      </c>
      <c r="P874" t="str">
        <f>SUBSTITUTE(SUBSTITUTE(Table1[[#This Row],[Formatted hourly rate]],"USD ",""),"$","")</f>
        <v>75</v>
      </c>
      <c r="Q874">
        <v>2.1</v>
      </c>
      <c r="R874">
        <f>IF(Table1[[#This Row],[rating]]="",2.6,Table1[[#This Row],[rating]])</f>
        <v>2.1</v>
      </c>
      <c r="S874" t="s">
        <v>68</v>
      </c>
      <c r="T874" t="str">
        <f>TRIM(CLEAN(Table1[[#This Row],[is_active]]))</f>
        <v>yes</v>
      </c>
      <c r="U87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74" s="11" t="str">
        <f>TRIM(IF(Table1[[#This Row],[is_active3]]="Unknown","TRUE",Table1[[#This Row],[is_active3]]))</f>
        <v>TRUE</v>
      </c>
      <c r="X874">
        <f>IF(Table1[[#This Row],[client_satisfaction]]&gt;1,Table1[[#This Row],[client_satisfaction]]/100,Table1[[#This Row],[client_satisfaction]])</f>
        <v>0</v>
      </c>
      <c r="Y874">
        <f>IF(Table1[[#This Row],[client_satisfaction2]]=0,0.75,Table1[[#This Row],[client_satisfaction2]])</f>
        <v>0.75</v>
      </c>
    </row>
    <row r="875" spans="1:25" x14ac:dyDescent="0.25">
      <c r="A875" t="s">
        <v>1825</v>
      </c>
      <c r="B875" t="s">
        <v>1826</v>
      </c>
      <c r="C875" t="str">
        <f>PROPER(TRIM(SUBSTITUTE(SUBSTITUTE(SUBSTITUTE(Table1[[#This Row],[name]],"Ms. ",""),"Mr. ",""),"Mrs. ","")))</f>
        <v>Courtney Burton</v>
      </c>
      <c r="D875" t="s">
        <v>77</v>
      </c>
      <c r="E8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75">
        <v>36</v>
      </c>
      <c r="G875" t="str">
        <f>TRIM(IF(Table1[[#This Row],[age]]="","Unknown",Table1[[#This Row],[age]]))</f>
        <v>36</v>
      </c>
      <c r="H875" t="s">
        <v>112</v>
      </c>
      <c r="I875" t="s">
        <v>113</v>
      </c>
      <c r="J875" t="s">
        <v>73</v>
      </c>
      <c r="K875">
        <v>0</v>
      </c>
      <c r="L875" s="10" t="str">
        <f>TRIM(IF(Table1[[#This Row],[years_of_experience]]="","Unknown",Table1[[#This Row],[years_of_experience]]))</f>
        <v>0</v>
      </c>
      <c r="M875">
        <v>75</v>
      </c>
      <c r="N875">
        <f>IF(Table1[[#This Row],[hourly_rate (USD)]]="",MEDIAN(Table1[hourly_rate (USD)]),Table1[[#This Row],[hourly_rate (USD)]])</f>
        <v>75</v>
      </c>
      <c r="O875" t="str">
        <f>TRIM(CLEAN(Table1[[#This Row],[Updated hourly_rate (USD)]]))</f>
        <v>75</v>
      </c>
      <c r="P875" t="str">
        <f>SUBSTITUTE(SUBSTITUTE(Table1[[#This Row],[Formatted hourly rate]],"USD ",""),"$","")</f>
        <v>75</v>
      </c>
      <c r="Q875">
        <v>1.5</v>
      </c>
      <c r="R875">
        <f>IF(Table1[[#This Row],[rating]]="",2.6,Table1[[#This Row],[rating]])</f>
        <v>1.5</v>
      </c>
      <c r="T875" t="str">
        <f>TRIM(CLEAN(Table1[[#This Row],[is_active]]))</f>
        <v/>
      </c>
      <c r="U87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75" s="11" t="str">
        <f>TRIM(IF(Table1[[#This Row],[is_active3]]="Unknown","TRUE",Table1[[#This Row],[is_active3]]))</f>
        <v>TRUE</v>
      </c>
      <c r="W875">
        <v>0.73</v>
      </c>
      <c r="X875">
        <f>IF(Table1[[#This Row],[client_satisfaction]]&gt;1,Table1[[#This Row],[client_satisfaction]]/100,Table1[[#This Row],[client_satisfaction]])</f>
        <v>0.73</v>
      </c>
      <c r="Y875">
        <f>IF(Table1[[#This Row],[client_satisfaction2]]=0,0.75,Table1[[#This Row],[client_satisfaction2]])</f>
        <v>0.73</v>
      </c>
    </row>
    <row r="876" spans="1:25" x14ac:dyDescent="0.25">
      <c r="A876" t="s">
        <v>1827</v>
      </c>
      <c r="B876" t="s">
        <v>1828</v>
      </c>
      <c r="C876" t="str">
        <f>PROPER(TRIM(SUBSTITUTE(SUBSTITUTE(SUBSTITUTE(Table1[[#This Row],[name]],"Ms. ",""),"Mr. ",""),"Mrs. ","")))</f>
        <v>Gerald Taylor</v>
      </c>
      <c r="D876" t="s">
        <v>92</v>
      </c>
      <c r="E8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76">
        <v>20</v>
      </c>
      <c r="G876" t="str">
        <f>TRIM(IF(Table1[[#This Row],[age]]="","Unknown",Table1[[#This Row],[age]]))</f>
        <v>20</v>
      </c>
      <c r="H876" t="s">
        <v>124</v>
      </c>
      <c r="I876" t="s">
        <v>125</v>
      </c>
      <c r="J876" t="s">
        <v>35</v>
      </c>
      <c r="K876">
        <v>2</v>
      </c>
      <c r="L876" s="10" t="str">
        <f>TRIM(IF(Table1[[#This Row],[years_of_experience]]="","Unknown",Table1[[#This Row],[years_of_experience]]))</f>
        <v>2</v>
      </c>
      <c r="M876" t="s">
        <v>109</v>
      </c>
      <c r="N876" t="str">
        <f>IF(Table1[[#This Row],[hourly_rate (USD)]]="",MEDIAN(Table1[hourly_rate (USD)]),Table1[[#This Row],[hourly_rate (USD)]])</f>
        <v>USD 30</v>
      </c>
      <c r="O876" t="str">
        <f>TRIM(CLEAN(Table1[[#This Row],[Updated hourly_rate (USD)]]))</f>
        <v>USD 30</v>
      </c>
      <c r="P876" t="str">
        <f>SUBSTITUTE(SUBSTITUTE(Table1[[#This Row],[Formatted hourly rate]],"USD ",""),"$","")</f>
        <v>30</v>
      </c>
      <c r="Q876">
        <v>1.7</v>
      </c>
      <c r="R876">
        <f>IF(Table1[[#This Row],[rating]]="",2.6,Table1[[#This Row],[rating]])</f>
        <v>1.7</v>
      </c>
      <c r="S876" t="b">
        <v>1</v>
      </c>
      <c r="T876" t="str">
        <f>TRIM(CLEAN(Table1[[#This Row],[is_active]]))</f>
        <v>TRUE</v>
      </c>
      <c r="U87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76" s="11" t="str">
        <f>TRIM(IF(Table1[[#This Row],[is_active3]]="Unknown","TRUE",Table1[[#This Row],[is_active3]]))</f>
        <v>TRUE</v>
      </c>
      <c r="W876">
        <v>0.6</v>
      </c>
      <c r="X876">
        <f>IF(Table1[[#This Row],[client_satisfaction]]&gt;1,Table1[[#This Row],[client_satisfaction]]/100,Table1[[#This Row],[client_satisfaction]])</f>
        <v>0.6</v>
      </c>
      <c r="Y876">
        <f>IF(Table1[[#This Row],[client_satisfaction2]]=0,0.75,Table1[[#This Row],[client_satisfaction2]])</f>
        <v>0.6</v>
      </c>
    </row>
    <row r="877" spans="1:25" x14ac:dyDescent="0.25">
      <c r="A877" t="s">
        <v>1829</v>
      </c>
      <c r="B877" t="s">
        <v>1830</v>
      </c>
      <c r="C877" t="str">
        <f>PROPER(TRIM(SUBSTITUTE(SUBSTITUTE(SUBSTITUTE(Table1[[#This Row],[name]],"Ms. ",""),"Mr. ",""),"Mrs. ","")))</f>
        <v>Mary Ward</v>
      </c>
      <c r="D877" t="s">
        <v>14</v>
      </c>
      <c r="E8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77">
        <v>40</v>
      </c>
      <c r="G877" t="str">
        <f>TRIM(IF(Table1[[#This Row],[age]]="","Unknown",Table1[[#This Row],[age]]))</f>
        <v>40</v>
      </c>
      <c r="H877" t="s">
        <v>190</v>
      </c>
      <c r="I877" t="s">
        <v>72</v>
      </c>
      <c r="J877" t="s">
        <v>44</v>
      </c>
      <c r="L877" s="10" t="str">
        <f>TRIM(IF(Table1[[#This Row],[years_of_experience]]="","Unknown",Table1[[#This Row],[years_of_experience]]))</f>
        <v>Unknown</v>
      </c>
      <c r="N877">
        <f>IF(Table1[[#This Row],[hourly_rate (USD)]]="",MEDIAN(Table1[hourly_rate (USD)]),Table1[[#This Row],[hourly_rate (USD)]])</f>
        <v>50</v>
      </c>
      <c r="O877" t="str">
        <f>TRIM(CLEAN(Table1[[#This Row],[Updated hourly_rate (USD)]]))</f>
        <v>50</v>
      </c>
      <c r="P877" t="str">
        <f>SUBSTITUTE(SUBSTITUTE(Table1[[#This Row],[Formatted hourly rate]],"USD ",""),"$","")</f>
        <v>50</v>
      </c>
      <c r="Q877">
        <v>1.2</v>
      </c>
      <c r="R877">
        <f>IF(Table1[[#This Row],[rating]]="",2.6,Table1[[#This Row],[rating]])</f>
        <v>1.2</v>
      </c>
      <c r="S877">
        <v>1</v>
      </c>
      <c r="T877" t="str">
        <f>TRIM(CLEAN(Table1[[#This Row],[is_active]]))</f>
        <v>1</v>
      </c>
      <c r="U87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77" s="11" t="str">
        <f>TRIM(IF(Table1[[#This Row],[is_active3]]="Unknown","TRUE",Table1[[#This Row],[is_active3]]))</f>
        <v>TRUE</v>
      </c>
      <c r="W877">
        <v>0.67</v>
      </c>
      <c r="X877">
        <f>IF(Table1[[#This Row],[client_satisfaction]]&gt;1,Table1[[#This Row],[client_satisfaction]]/100,Table1[[#This Row],[client_satisfaction]])</f>
        <v>0.67</v>
      </c>
      <c r="Y877">
        <f>IF(Table1[[#This Row],[client_satisfaction2]]=0,0.75,Table1[[#This Row],[client_satisfaction2]])</f>
        <v>0.67</v>
      </c>
    </row>
    <row r="878" spans="1:25" x14ac:dyDescent="0.25">
      <c r="A878" t="s">
        <v>1831</v>
      </c>
      <c r="B878" t="s">
        <v>1832</v>
      </c>
      <c r="C878" t="str">
        <f>PROPER(TRIM(SUBSTITUTE(SUBSTITUTE(SUBSTITUTE(Table1[[#This Row],[name]],"Ms. ",""),"Mr. ",""),"Mrs. ","")))</f>
        <v>Lisa Beard Dvm</v>
      </c>
      <c r="D878" t="s">
        <v>39</v>
      </c>
      <c r="E8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78">
        <v>30</v>
      </c>
      <c r="G878" t="str">
        <f>TRIM(IF(Table1[[#This Row],[age]]="","Unknown",Table1[[#This Row],[age]]))</f>
        <v>30</v>
      </c>
      <c r="H878" t="s">
        <v>93</v>
      </c>
      <c r="I878" t="s">
        <v>94</v>
      </c>
      <c r="J878" t="s">
        <v>23</v>
      </c>
      <c r="K878">
        <v>6</v>
      </c>
      <c r="L878" s="10" t="str">
        <f>TRIM(IF(Table1[[#This Row],[years_of_experience]]="","Unknown",Table1[[#This Row],[years_of_experience]]))</f>
        <v>6</v>
      </c>
      <c r="M878">
        <v>75</v>
      </c>
      <c r="N878">
        <f>IF(Table1[[#This Row],[hourly_rate (USD)]]="",MEDIAN(Table1[hourly_rate (USD)]),Table1[[#This Row],[hourly_rate (USD)]])</f>
        <v>75</v>
      </c>
      <c r="O878" t="str">
        <f>TRIM(CLEAN(Table1[[#This Row],[Updated hourly_rate (USD)]]))</f>
        <v>75</v>
      </c>
      <c r="P878" t="str">
        <f>SUBSTITUTE(SUBSTITUTE(Table1[[#This Row],[Formatted hourly rate]],"USD ",""),"$","")</f>
        <v>75</v>
      </c>
      <c r="Q878">
        <v>0</v>
      </c>
      <c r="R878">
        <f>IF(Table1[[#This Row],[rating]]="",2.6,Table1[[#This Row],[rating]])</f>
        <v>0</v>
      </c>
      <c r="S878" t="b">
        <v>0</v>
      </c>
      <c r="T878" t="str">
        <f>TRIM(CLEAN(Table1[[#This Row],[is_active]]))</f>
        <v>FALSE</v>
      </c>
      <c r="U87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78" s="11" t="str">
        <f>TRIM(IF(Table1[[#This Row],[is_active3]]="Unknown","TRUE",Table1[[#This Row],[is_active3]]))</f>
        <v>TRUE</v>
      </c>
      <c r="W878">
        <v>0.8</v>
      </c>
      <c r="X878">
        <f>IF(Table1[[#This Row],[client_satisfaction]]&gt;1,Table1[[#This Row],[client_satisfaction]]/100,Table1[[#This Row],[client_satisfaction]])</f>
        <v>0.8</v>
      </c>
      <c r="Y878">
        <f>IF(Table1[[#This Row],[client_satisfaction2]]=0,0.75,Table1[[#This Row],[client_satisfaction2]])</f>
        <v>0.8</v>
      </c>
    </row>
    <row r="879" spans="1:25" x14ac:dyDescent="0.25">
      <c r="A879" t="s">
        <v>1833</v>
      </c>
      <c r="B879" t="s">
        <v>1834</v>
      </c>
      <c r="C879" t="str">
        <f>PROPER(TRIM(SUBSTITUTE(SUBSTITUTE(SUBSTITUTE(Table1[[#This Row],[name]],"Ms. ",""),"Mr. ",""),"Mrs. ","")))</f>
        <v>Larry Wallace</v>
      </c>
      <c r="D879" t="s">
        <v>97</v>
      </c>
      <c r="E8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79">
        <v>51</v>
      </c>
      <c r="G879" t="str">
        <f>TRIM(IF(Table1[[#This Row],[age]]="","Unknown",Table1[[#This Row],[age]]))</f>
        <v>51</v>
      </c>
      <c r="H879" t="s">
        <v>21</v>
      </c>
      <c r="I879" t="s">
        <v>22</v>
      </c>
      <c r="J879" t="s">
        <v>30</v>
      </c>
      <c r="K879">
        <v>21</v>
      </c>
      <c r="L879" s="10" t="str">
        <f>TRIM(IF(Table1[[#This Row],[years_of_experience]]="","Unknown",Table1[[#This Row],[years_of_experience]]))</f>
        <v>21</v>
      </c>
      <c r="M879">
        <v>20</v>
      </c>
      <c r="N879">
        <f>IF(Table1[[#This Row],[hourly_rate (USD)]]="",MEDIAN(Table1[hourly_rate (USD)]),Table1[[#This Row],[hourly_rate (USD)]])</f>
        <v>20</v>
      </c>
      <c r="O879" t="str">
        <f>TRIM(CLEAN(Table1[[#This Row],[Updated hourly_rate (USD)]]))</f>
        <v>20</v>
      </c>
      <c r="P879" t="str">
        <f>SUBSTITUTE(SUBSTITUTE(Table1[[#This Row],[Formatted hourly rate]],"USD ",""),"$","")</f>
        <v>20</v>
      </c>
      <c r="R879">
        <f>IF(Table1[[#This Row],[rating]]="",2.6,Table1[[#This Row],[rating]])</f>
        <v>2.6</v>
      </c>
      <c r="S879" t="s">
        <v>74</v>
      </c>
      <c r="T879" t="str">
        <f>TRIM(CLEAN(Table1[[#This Row],[is_active]]))</f>
        <v>Y</v>
      </c>
      <c r="U87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79" s="11" t="str">
        <f>TRIM(IF(Table1[[#This Row],[is_active3]]="Unknown","TRUE",Table1[[#This Row],[is_active3]]))</f>
        <v>TRUE</v>
      </c>
      <c r="X879">
        <f>IF(Table1[[#This Row],[client_satisfaction]]&gt;1,Table1[[#This Row],[client_satisfaction]]/100,Table1[[#This Row],[client_satisfaction]])</f>
        <v>0</v>
      </c>
      <c r="Y879">
        <f>IF(Table1[[#This Row],[client_satisfaction2]]=0,0.75,Table1[[#This Row],[client_satisfaction2]])</f>
        <v>0.75</v>
      </c>
    </row>
    <row r="880" spans="1:25" x14ac:dyDescent="0.25">
      <c r="A880" t="s">
        <v>1835</v>
      </c>
      <c r="B880" t="s">
        <v>1836</v>
      </c>
      <c r="C880" t="str">
        <f>PROPER(TRIM(SUBSTITUTE(SUBSTITUTE(SUBSTITUTE(Table1[[#This Row],[name]],"Ms. ",""),"Mr. ",""),"Mrs. ","")))</f>
        <v>Jeremiah Thompson</v>
      </c>
      <c r="D880" t="s">
        <v>97</v>
      </c>
      <c r="E8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80">
        <v>46</v>
      </c>
      <c r="G880" t="str">
        <f>TRIM(IF(Table1[[#This Row],[age]]="","Unknown",Table1[[#This Row],[age]]))</f>
        <v>46</v>
      </c>
      <c r="H880" t="s">
        <v>58</v>
      </c>
      <c r="I880" t="s">
        <v>22</v>
      </c>
      <c r="J880" t="s">
        <v>73</v>
      </c>
      <c r="K880">
        <v>24</v>
      </c>
      <c r="L880" s="10" t="str">
        <f>TRIM(IF(Table1[[#This Row],[years_of_experience]]="","Unknown",Table1[[#This Row],[years_of_experience]]))</f>
        <v>24</v>
      </c>
      <c r="M880">
        <v>40</v>
      </c>
      <c r="N880">
        <f>IF(Table1[[#This Row],[hourly_rate (USD)]]="",MEDIAN(Table1[hourly_rate (USD)]),Table1[[#This Row],[hourly_rate (USD)]])</f>
        <v>40</v>
      </c>
      <c r="O880" t="str">
        <f>TRIM(CLEAN(Table1[[#This Row],[Updated hourly_rate (USD)]]))</f>
        <v>40</v>
      </c>
      <c r="P880" t="str">
        <f>SUBSTITUTE(SUBSTITUTE(Table1[[#This Row],[Formatted hourly rate]],"USD ",""),"$","")</f>
        <v>40</v>
      </c>
      <c r="Q880">
        <v>3.3</v>
      </c>
      <c r="R880">
        <f>IF(Table1[[#This Row],[rating]]="",2.6,Table1[[#This Row],[rating]])</f>
        <v>3.3</v>
      </c>
      <c r="S880">
        <v>1</v>
      </c>
      <c r="T880" t="str">
        <f>TRIM(CLEAN(Table1[[#This Row],[is_active]]))</f>
        <v>1</v>
      </c>
      <c r="U88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80" s="11" t="str">
        <f>TRIM(IF(Table1[[#This Row],[is_active3]]="Unknown","TRUE",Table1[[#This Row],[is_active3]]))</f>
        <v>TRUE</v>
      </c>
      <c r="W880">
        <v>0.87</v>
      </c>
      <c r="X880">
        <f>IF(Table1[[#This Row],[client_satisfaction]]&gt;1,Table1[[#This Row],[client_satisfaction]]/100,Table1[[#This Row],[client_satisfaction]])</f>
        <v>0.87</v>
      </c>
      <c r="Y880">
        <f>IF(Table1[[#This Row],[client_satisfaction2]]=0,0.75,Table1[[#This Row],[client_satisfaction2]])</f>
        <v>0.87</v>
      </c>
    </row>
    <row r="881" spans="1:25" x14ac:dyDescent="0.25">
      <c r="A881" t="s">
        <v>1837</v>
      </c>
      <c r="B881" t="s">
        <v>1838</v>
      </c>
      <c r="C881" t="str">
        <f>PROPER(TRIM(SUBSTITUTE(SUBSTITUTE(SUBSTITUTE(Table1[[#This Row],[name]],"Ms. ",""),"Mr. ",""),"Mrs. ","")))</f>
        <v>Jessica Williams Dvm</v>
      </c>
      <c r="D881" t="s">
        <v>20</v>
      </c>
      <c r="E8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81">
        <v>25</v>
      </c>
      <c r="G881" t="str">
        <f>TRIM(IF(Table1[[#This Row],[age]]="","Unknown",Table1[[#This Row],[age]]))</f>
        <v>25</v>
      </c>
      <c r="H881" t="s">
        <v>112</v>
      </c>
      <c r="I881" t="s">
        <v>113</v>
      </c>
      <c r="J881" t="s">
        <v>44</v>
      </c>
      <c r="K881">
        <v>6</v>
      </c>
      <c r="L881" s="10" t="str">
        <f>TRIM(IF(Table1[[#This Row],[years_of_experience]]="","Unknown",Table1[[#This Row],[years_of_experience]]))</f>
        <v>6</v>
      </c>
      <c r="M881">
        <v>20</v>
      </c>
      <c r="N881">
        <f>IF(Table1[[#This Row],[hourly_rate (USD)]]="",MEDIAN(Table1[hourly_rate (USD)]),Table1[[#This Row],[hourly_rate (USD)]])</f>
        <v>20</v>
      </c>
      <c r="O881" t="str">
        <f>TRIM(CLEAN(Table1[[#This Row],[Updated hourly_rate (USD)]]))</f>
        <v>20</v>
      </c>
      <c r="P881" t="str">
        <f>SUBSTITUTE(SUBSTITUTE(Table1[[#This Row],[Formatted hourly rate]],"USD ",""),"$","")</f>
        <v>20</v>
      </c>
      <c r="Q881">
        <v>2.1</v>
      </c>
      <c r="R881">
        <f>IF(Table1[[#This Row],[rating]]="",2.6,Table1[[#This Row],[rating]])</f>
        <v>2.1</v>
      </c>
      <c r="S881" t="s">
        <v>159</v>
      </c>
      <c r="T881" t="str">
        <f>TRIM(CLEAN(Table1[[#This Row],[is_active]]))</f>
        <v>no</v>
      </c>
      <c r="U88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81" s="11" t="str">
        <f>TRIM(IF(Table1[[#This Row],[is_active3]]="Unknown","TRUE",Table1[[#This Row],[is_active3]]))</f>
        <v>FALSE</v>
      </c>
      <c r="X881">
        <f>IF(Table1[[#This Row],[client_satisfaction]]&gt;1,Table1[[#This Row],[client_satisfaction]]/100,Table1[[#This Row],[client_satisfaction]])</f>
        <v>0</v>
      </c>
      <c r="Y881">
        <f>IF(Table1[[#This Row],[client_satisfaction2]]=0,0.75,Table1[[#This Row],[client_satisfaction2]])</f>
        <v>0.75</v>
      </c>
    </row>
    <row r="882" spans="1:25" x14ac:dyDescent="0.25">
      <c r="A882" t="s">
        <v>1839</v>
      </c>
      <c r="B882" t="s">
        <v>1840</v>
      </c>
      <c r="C882" t="str">
        <f>PROPER(TRIM(SUBSTITUTE(SUBSTITUTE(SUBSTITUTE(Table1[[#This Row],[name]],"Ms. ",""),"Mr. ",""),"Mrs. ","")))</f>
        <v>Martin Moreno</v>
      </c>
      <c r="D882" t="s">
        <v>27</v>
      </c>
      <c r="E8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82">
        <v>53</v>
      </c>
      <c r="G882" t="str">
        <f>TRIM(IF(Table1[[#This Row],[age]]="","Unknown",Table1[[#This Row],[age]]))</f>
        <v>53</v>
      </c>
      <c r="H882" t="s">
        <v>42</v>
      </c>
      <c r="I882" t="s">
        <v>43</v>
      </c>
      <c r="J882" t="s">
        <v>35</v>
      </c>
      <c r="K882">
        <v>32</v>
      </c>
      <c r="L882" s="10" t="str">
        <f>TRIM(IF(Table1[[#This Row],[years_of_experience]]="","Unknown",Table1[[#This Row],[years_of_experience]]))</f>
        <v>32</v>
      </c>
      <c r="M882">
        <v>50</v>
      </c>
      <c r="N882">
        <f>IF(Table1[[#This Row],[hourly_rate (USD)]]="",MEDIAN(Table1[hourly_rate (USD)]),Table1[[#This Row],[hourly_rate (USD)]])</f>
        <v>50</v>
      </c>
      <c r="O882" t="str">
        <f>TRIM(CLEAN(Table1[[#This Row],[Updated hourly_rate (USD)]]))</f>
        <v>50</v>
      </c>
      <c r="P882" t="str">
        <f>SUBSTITUTE(SUBSTITUTE(Table1[[#This Row],[Formatted hourly rate]],"USD ",""),"$","")</f>
        <v>50</v>
      </c>
      <c r="R882">
        <f>IF(Table1[[#This Row],[rating]]="",2.6,Table1[[#This Row],[rating]])</f>
        <v>2.6</v>
      </c>
      <c r="S882">
        <v>1</v>
      </c>
      <c r="T882" t="str">
        <f>TRIM(CLEAN(Table1[[#This Row],[is_active]]))</f>
        <v>1</v>
      </c>
      <c r="U88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82" s="11" t="str">
        <f>TRIM(IF(Table1[[#This Row],[is_active3]]="Unknown","TRUE",Table1[[#This Row],[is_active3]]))</f>
        <v>TRUE</v>
      </c>
      <c r="X882">
        <f>IF(Table1[[#This Row],[client_satisfaction]]&gt;1,Table1[[#This Row],[client_satisfaction]]/100,Table1[[#This Row],[client_satisfaction]])</f>
        <v>0</v>
      </c>
      <c r="Y882">
        <f>IF(Table1[[#This Row],[client_satisfaction2]]=0,0.75,Table1[[#This Row],[client_satisfaction2]])</f>
        <v>0.75</v>
      </c>
    </row>
    <row r="883" spans="1:25" x14ac:dyDescent="0.25">
      <c r="A883" t="s">
        <v>1841</v>
      </c>
      <c r="B883" t="s">
        <v>1842</v>
      </c>
      <c r="C883" t="str">
        <f>PROPER(TRIM(SUBSTITUTE(SUBSTITUTE(SUBSTITUTE(Table1[[#This Row],[name]],"Ms. ",""),"Mr. ",""),"Mrs. ","")))</f>
        <v>Yolanda Proctor</v>
      </c>
      <c r="D883" t="s">
        <v>20</v>
      </c>
      <c r="E8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83">
        <v>50</v>
      </c>
      <c r="G883" t="str">
        <f>TRIM(IF(Table1[[#This Row],[age]]="","Unknown",Table1[[#This Row],[age]]))</f>
        <v>50</v>
      </c>
      <c r="H883" t="s">
        <v>139</v>
      </c>
      <c r="I883" t="s">
        <v>140</v>
      </c>
      <c r="J883" t="s">
        <v>23</v>
      </c>
      <c r="K883">
        <v>31</v>
      </c>
      <c r="L883" s="10" t="str">
        <f>TRIM(IF(Table1[[#This Row],[years_of_experience]]="","Unknown",Table1[[#This Row],[years_of_experience]]))</f>
        <v>31</v>
      </c>
      <c r="M883" t="s">
        <v>24</v>
      </c>
      <c r="N883" t="str">
        <f>IF(Table1[[#This Row],[hourly_rate (USD)]]="",MEDIAN(Table1[hourly_rate (USD)]),Table1[[#This Row],[hourly_rate (USD)]])</f>
        <v>USD 100</v>
      </c>
      <c r="O883" t="str">
        <f>TRIM(CLEAN(Table1[[#This Row],[Updated hourly_rate (USD)]]))</f>
        <v>USD 100</v>
      </c>
      <c r="P883" t="str">
        <f>SUBSTITUTE(SUBSTITUTE(Table1[[#This Row],[Formatted hourly rate]],"USD ",""),"$","")</f>
        <v>100</v>
      </c>
      <c r="Q883">
        <v>2.9</v>
      </c>
      <c r="R883">
        <f>IF(Table1[[#This Row],[rating]]="",2.6,Table1[[#This Row],[rating]])</f>
        <v>2.9</v>
      </c>
      <c r="S883" t="s">
        <v>74</v>
      </c>
      <c r="T883" t="str">
        <f>TRIM(CLEAN(Table1[[#This Row],[is_active]]))</f>
        <v>Y</v>
      </c>
      <c r="U8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83" s="11" t="str">
        <f>TRIM(IF(Table1[[#This Row],[is_active3]]="Unknown","TRUE",Table1[[#This Row],[is_active3]]))</f>
        <v>TRUE</v>
      </c>
      <c r="W883">
        <v>0.89</v>
      </c>
      <c r="X883">
        <f>IF(Table1[[#This Row],[client_satisfaction]]&gt;1,Table1[[#This Row],[client_satisfaction]]/100,Table1[[#This Row],[client_satisfaction]])</f>
        <v>0.89</v>
      </c>
      <c r="Y883">
        <f>IF(Table1[[#This Row],[client_satisfaction2]]=0,0.75,Table1[[#This Row],[client_satisfaction2]])</f>
        <v>0.89</v>
      </c>
    </row>
    <row r="884" spans="1:25" x14ac:dyDescent="0.25">
      <c r="A884" t="s">
        <v>1843</v>
      </c>
      <c r="B884" t="s">
        <v>1844</v>
      </c>
      <c r="C884" t="str">
        <f>PROPER(TRIM(SUBSTITUTE(SUBSTITUTE(SUBSTITUTE(Table1[[#This Row],[name]],"Ms. ",""),"Mr. ",""),"Mrs. ","")))</f>
        <v>Allen Turner</v>
      </c>
      <c r="D884" t="s">
        <v>27</v>
      </c>
      <c r="E8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84">
        <v>45</v>
      </c>
      <c r="G884" t="str">
        <f>TRIM(IF(Table1[[#This Row],[age]]="","Unknown",Table1[[#This Row],[age]]))</f>
        <v>45</v>
      </c>
      <c r="H884" t="s">
        <v>112</v>
      </c>
      <c r="I884" t="s">
        <v>113</v>
      </c>
      <c r="J884" t="s">
        <v>44</v>
      </c>
      <c r="L884" s="10" t="str">
        <f>TRIM(IF(Table1[[#This Row],[years_of_experience]]="","Unknown",Table1[[#This Row],[years_of_experience]]))</f>
        <v>Unknown</v>
      </c>
      <c r="M884" t="s">
        <v>314</v>
      </c>
      <c r="N884" t="str">
        <f>IF(Table1[[#This Row],[hourly_rate (USD)]]="",MEDIAN(Table1[hourly_rate (USD)]),Table1[[#This Row],[hourly_rate (USD)]])</f>
        <v>USD 20</v>
      </c>
      <c r="O884" t="str">
        <f>TRIM(CLEAN(Table1[[#This Row],[Updated hourly_rate (USD)]]))</f>
        <v>USD 20</v>
      </c>
      <c r="P884" t="str">
        <f>SUBSTITUTE(SUBSTITUTE(Table1[[#This Row],[Formatted hourly rate]],"USD ",""),"$","")</f>
        <v>20</v>
      </c>
      <c r="Q884">
        <v>3.3</v>
      </c>
      <c r="R884">
        <f>IF(Table1[[#This Row],[rating]]="",2.6,Table1[[#This Row],[rating]])</f>
        <v>3.3</v>
      </c>
      <c r="S884" t="b">
        <v>1</v>
      </c>
      <c r="T884" t="str">
        <f>TRIM(CLEAN(Table1[[#This Row],[is_active]]))</f>
        <v>TRUE</v>
      </c>
      <c r="U88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84" s="11" t="str">
        <f>TRIM(IF(Table1[[#This Row],[is_active3]]="Unknown","TRUE",Table1[[#This Row],[is_active3]]))</f>
        <v>TRUE</v>
      </c>
      <c r="W884">
        <v>0.93</v>
      </c>
      <c r="X884">
        <f>IF(Table1[[#This Row],[client_satisfaction]]&gt;1,Table1[[#This Row],[client_satisfaction]]/100,Table1[[#This Row],[client_satisfaction]])</f>
        <v>0.93</v>
      </c>
      <c r="Y884">
        <f>IF(Table1[[#This Row],[client_satisfaction2]]=0,0.75,Table1[[#This Row],[client_satisfaction2]])</f>
        <v>0.93</v>
      </c>
    </row>
    <row r="885" spans="1:25" x14ac:dyDescent="0.25">
      <c r="A885" t="s">
        <v>1845</v>
      </c>
      <c r="B885" t="s">
        <v>1846</v>
      </c>
      <c r="C885" t="str">
        <f>PROPER(TRIM(SUBSTITUTE(SUBSTITUTE(SUBSTITUTE(Table1[[#This Row],[name]],"Ms. ",""),"Mr. ",""),"Mrs. ","")))</f>
        <v>Beth Huff</v>
      </c>
      <c r="D885" t="s">
        <v>34</v>
      </c>
      <c r="E8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85">
        <v>48</v>
      </c>
      <c r="G885" t="str">
        <f>TRIM(IF(Table1[[#This Row],[age]]="","Unknown",Table1[[#This Row],[age]]))</f>
        <v>48</v>
      </c>
      <c r="H885" t="s">
        <v>128</v>
      </c>
      <c r="I885" t="s">
        <v>22</v>
      </c>
      <c r="J885" t="s">
        <v>78</v>
      </c>
      <c r="K885">
        <v>24</v>
      </c>
      <c r="L885" s="10" t="str">
        <f>TRIM(IF(Table1[[#This Row],[years_of_experience]]="","Unknown",Table1[[#This Row],[years_of_experience]]))</f>
        <v>24</v>
      </c>
      <c r="M885">
        <v>100</v>
      </c>
      <c r="N885">
        <f>IF(Table1[[#This Row],[hourly_rate (USD)]]="",MEDIAN(Table1[hourly_rate (USD)]),Table1[[#This Row],[hourly_rate (USD)]])</f>
        <v>100</v>
      </c>
      <c r="O885" t="str">
        <f>TRIM(CLEAN(Table1[[#This Row],[Updated hourly_rate (USD)]]))</f>
        <v>100</v>
      </c>
      <c r="P885" t="str">
        <f>SUBSTITUTE(SUBSTITUTE(Table1[[#This Row],[Formatted hourly rate]],"USD ",""),"$","")</f>
        <v>100</v>
      </c>
      <c r="Q885">
        <v>4.8</v>
      </c>
      <c r="R885">
        <f>IF(Table1[[#This Row],[rating]]="",2.6,Table1[[#This Row],[rating]])</f>
        <v>4.8</v>
      </c>
      <c r="S885">
        <v>1</v>
      </c>
      <c r="T885" t="str">
        <f>TRIM(CLEAN(Table1[[#This Row],[is_active]]))</f>
        <v>1</v>
      </c>
      <c r="U88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85" s="11" t="str">
        <f>TRIM(IF(Table1[[#This Row],[is_active3]]="Unknown","TRUE",Table1[[#This Row],[is_active3]]))</f>
        <v>TRUE</v>
      </c>
      <c r="W885">
        <v>0.84</v>
      </c>
      <c r="X885">
        <f>IF(Table1[[#This Row],[client_satisfaction]]&gt;1,Table1[[#This Row],[client_satisfaction]]/100,Table1[[#This Row],[client_satisfaction]])</f>
        <v>0.84</v>
      </c>
      <c r="Y885">
        <f>IF(Table1[[#This Row],[client_satisfaction2]]=0,0.75,Table1[[#This Row],[client_satisfaction2]])</f>
        <v>0.84</v>
      </c>
    </row>
    <row r="886" spans="1:25" x14ac:dyDescent="0.25">
      <c r="A886" t="s">
        <v>1847</v>
      </c>
      <c r="B886" t="s">
        <v>1848</v>
      </c>
      <c r="C886" t="str">
        <f>PROPER(TRIM(SUBSTITUTE(SUBSTITUTE(SUBSTITUTE(Table1[[#This Row],[name]],"Ms. ",""),"Mr. ",""),"Mrs. ","")))</f>
        <v>John Mckinney</v>
      </c>
      <c r="D886" t="s">
        <v>61</v>
      </c>
      <c r="E8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86">
        <v>30</v>
      </c>
      <c r="G886" t="str">
        <f>TRIM(IF(Table1[[#This Row],[age]]="","Unknown",Table1[[#This Row],[age]]))</f>
        <v>30</v>
      </c>
      <c r="H886" t="s">
        <v>49</v>
      </c>
      <c r="I886" t="s">
        <v>50</v>
      </c>
      <c r="J886" t="s">
        <v>89</v>
      </c>
      <c r="L886" s="10" t="str">
        <f>TRIM(IF(Table1[[#This Row],[years_of_experience]]="","Unknown",Table1[[#This Row],[years_of_experience]]))</f>
        <v>Unknown</v>
      </c>
      <c r="M886" t="s">
        <v>229</v>
      </c>
      <c r="N886" t="str">
        <f>IF(Table1[[#This Row],[hourly_rate (USD)]]="",MEDIAN(Table1[hourly_rate (USD)]),Table1[[#This Row],[hourly_rate (USD)]])</f>
        <v>$100</v>
      </c>
      <c r="O886" t="str">
        <f>TRIM(CLEAN(Table1[[#This Row],[Updated hourly_rate (USD)]]))</f>
        <v>$100</v>
      </c>
      <c r="P886" t="str">
        <f>SUBSTITUTE(SUBSTITUTE(Table1[[#This Row],[Formatted hourly rate]],"USD ",""),"$","")</f>
        <v>100</v>
      </c>
      <c r="Q886">
        <v>4.5</v>
      </c>
      <c r="R886">
        <f>IF(Table1[[#This Row],[rating]]="",2.6,Table1[[#This Row],[rating]])</f>
        <v>4.5</v>
      </c>
      <c r="T886" t="str">
        <f>TRIM(CLEAN(Table1[[#This Row],[is_active]]))</f>
        <v/>
      </c>
      <c r="U88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86" s="11" t="str">
        <f>TRIM(IF(Table1[[#This Row],[is_active3]]="Unknown","TRUE",Table1[[#This Row],[is_active3]]))</f>
        <v>TRUE</v>
      </c>
      <c r="W886">
        <v>0.78</v>
      </c>
      <c r="X886">
        <f>IF(Table1[[#This Row],[client_satisfaction]]&gt;1,Table1[[#This Row],[client_satisfaction]]/100,Table1[[#This Row],[client_satisfaction]])</f>
        <v>0.78</v>
      </c>
      <c r="Y886">
        <f>IF(Table1[[#This Row],[client_satisfaction2]]=0,0.75,Table1[[#This Row],[client_satisfaction2]])</f>
        <v>0.78</v>
      </c>
    </row>
    <row r="887" spans="1:25" x14ac:dyDescent="0.25">
      <c r="A887" t="s">
        <v>1849</v>
      </c>
      <c r="B887" t="s">
        <v>567</v>
      </c>
      <c r="C887" t="str">
        <f>PROPER(TRIM(SUBSTITUTE(SUBSTITUTE(SUBSTITUTE(Table1[[#This Row],[name]],"Ms. ",""),"Mr. ",""),"Mrs. ","")))</f>
        <v>Sarah Ho</v>
      </c>
      <c r="D887" t="s">
        <v>34</v>
      </c>
      <c r="E8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87">
        <v>33</v>
      </c>
      <c r="G887" t="str">
        <f>TRIM(IF(Table1[[#This Row],[age]]="","Unknown",Table1[[#This Row],[age]]))</f>
        <v>33</v>
      </c>
      <c r="H887" t="s">
        <v>42</v>
      </c>
      <c r="I887" t="s">
        <v>43</v>
      </c>
      <c r="J887" t="s">
        <v>73</v>
      </c>
      <c r="K887">
        <v>6</v>
      </c>
      <c r="L887" s="10" t="str">
        <f>TRIM(IF(Table1[[#This Row],[years_of_experience]]="","Unknown",Table1[[#This Row],[years_of_experience]]))</f>
        <v>6</v>
      </c>
      <c r="M887" t="s">
        <v>64</v>
      </c>
      <c r="N887" t="str">
        <f>IF(Table1[[#This Row],[hourly_rate (USD)]]="",MEDIAN(Table1[hourly_rate (USD)]),Table1[[#This Row],[hourly_rate (USD)]])</f>
        <v>$50</v>
      </c>
      <c r="O887" t="str">
        <f>TRIM(CLEAN(Table1[[#This Row],[Updated hourly_rate (USD)]]))</f>
        <v>$50</v>
      </c>
      <c r="P887" t="str">
        <f>SUBSTITUTE(SUBSTITUTE(Table1[[#This Row],[Formatted hourly rate]],"USD ",""),"$","")</f>
        <v>50</v>
      </c>
      <c r="Q887">
        <v>3.1</v>
      </c>
      <c r="R887">
        <f>IF(Table1[[#This Row],[rating]]="",2.6,Table1[[#This Row],[rating]])</f>
        <v>3.1</v>
      </c>
      <c r="S887" t="s">
        <v>159</v>
      </c>
      <c r="T887" t="str">
        <f>TRIM(CLEAN(Table1[[#This Row],[is_active]]))</f>
        <v>no</v>
      </c>
      <c r="U88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87" s="11" t="str">
        <f>TRIM(IF(Table1[[#This Row],[is_active3]]="Unknown","TRUE",Table1[[#This Row],[is_active3]]))</f>
        <v>FALSE</v>
      </c>
      <c r="W887">
        <v>0.9</v>
      </c>
      <c r="X887">
        <f>IF(Table1[[#This Row],[client_satisfaction]]&gt;1,Table1[[#This Row],[client_satisfaction]]/100,Table1[[#This Row],[client_satisfaction]])</f>
        <v>0.9</v>
      </c>
      <c r="Y887">
        <f>IF(Table1[[#This Row],[client_satisfaction2]]=0,0.75,Table1[[#This Row],[client_satisfaction2]])</f>
        <v>0.9</v>
      </c>
    </row>
    <row r="888" spans="1:25" x14ac:dyDescent="0.25">
      <c r="A888" t="s">
        <v>1850</v>
      </c>
      <c r="B888" t="s">
        <v>1851</v>
      </c>
      <c r="C888" t="str">
        <f>PROPER(TRIM(SUBSTITUTE(SUBSTITUTE(SUBSTITUTE(Table1[[#This Row],[name]],"Ms. ",""),"Mr. ",""),"Mrs. ","")))</f>
        <v>Lindsey Wang</v>
      </c>
      <c r="D888" t="s">
        <v>34</v>
      </c>
      <c r="E8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88">
        <v>50</v>
      </c>
      <c r="G888" t="str">
        <f>TRIM(IF(Table1[[#This Row],[age]]="","Unknown",Table1[[#This Row],[age]]))</f>
        <v>50</v>
      </c>
      <c r="H888" t="s">
        <v>67</v>
      </c>
      <c r="I888" t="s">
        <v>22</v>
      </c>
      <c r="J888" t="s">
        <v>89</v>
      </c>
      <c r="K888">
        <v>11</v>
      </c>
      <c r="L888" s="10" t="str">
        <f>TRIM(IF(Table1[[#This Row],[years_of_experience]]="","Unknown",Table1[[#This Row],[years_of_experience]]))</f>
        <v>11</v>
      </c>
      <c r="N888">
        <f>IF(Table1[[#This Row],[hourly_rate (USD)]]="",MEDIAN(Table1[hourly_rate (USD)]),Table1[[#This Row],[hourly_rate (USD)]])</f>
        <v>50</v>
      </c>
      <c r="O888" t="str">
        <f>TRIM(CLEAN(Table1[[#This Row],[Updated hourly_rate (USD)]]))</f>
        <v>50</v>
      </c>
      <c r="P888" t="str">
        <f>SUBSTITUTE(SUBSTITUTE(Table1[[#This Row],[Formatted hourly rate]],"USD ",""),"$","")</f>
        <v>50</v>
      </c>
      <c r="Q888">
        <v>4.9000000000000004</v>
      </c>
      <c r="R888">
        <f>IF(Table1[[#This Row],[rating]]="",2.6,Table1[[#This Row],[rating]])</f>
        <v>4.9000000000000004</v>
      </c>
      <c r="S888">
        <v>1</v>
      </c>
      <c r="T888" t="str">
        <f>TRIM(CLEAN(Table1[[#This Row],[is_active]]))</f>
        <v>1</v>
      </c>
      <c r="U88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88" s="11" t="str">
        <f>TRIM(IF(Table1[[#This Row],[is_active3]]="Unknown","TRUE",Table1[[#This Row],[is_active3]]))</f>
        <v>TRUE</v>
      </c>
      <c r="W888">
        <v>0.88</v>
      </c>
      <c r="X888">
        <f>IF(Table1[[#This Row],[client_satisfaction]]&gt;1,Table1[[#This Row],[client_satisfaction]]/100,Table1[[#This Row],[client_satisfaction]])</f>
        <v>0.88</v>
      </c>
      <c r="Y888">
        <f>IF(Table1[[#This Row],[client_satisfaction2]]=0,0.75,Table1[[#This Row],[client_satisfaction2]])</f>
        <v>0.88</v>
      </c>
    </row>
    <row r="889" spans="1:25" x14ac:dyDescent="0.25">
      <c r="A889" t="s">
        <v>1852</v>
      </c>
      <c r="B889" t="s">
        <v>1853</v>
      </c>
      <c r="C889" t="str">
        <f>PROPER(TRIM(SUBSTITUTE(SUBSTITUTE(SUBSTITUTE(Table1[[#This Row],[name]],"Ms. ",""),"Mr. ",""),"Mrs. ","")))</f>
        <v>Margaret Schwartz</v>
      </c>
      <c r="D889" t="s">
        <v>77</v>
      </c>
      <c r="E8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89">
        <v>24</v>
      </c>
      <c r="G889" t="str">
        <f>TRIM(IF(Table1[[#This Row],[age]]="","Unknown",Table1[[#This Row],[age]]))</f>
        <v>24</v>
      </c>
      <c r="H889" t="s">
        <v>49</v>
      </c>
      <c r="I889" t="s">
        <v>50</v>
      </c>
      <c r="J889" t="s">
        <v>51</v>
      </c>
      <c r="L889" s="10" t="str">
        <f>TRIM(IF(Table1[[#This Row],[years_of_experience]]="","Unknown",Table1[[#This Row],[years_of_experience]]))</f>
        <v>Unknown</v>
      </c>
      <c r="M889" t="s">
        <v>121</v>
      </c>
      <c r="N889" t="str">
        <f>IF(Table1[[#This Row],[hourly_rate (USD)]]="",MEDIAN(Table1[hourly_rate (USD)]),Table1[[#This Row],[hourly_rate (USD)]])</f>
        <v>$20</v>
      </c>
      <c r="O889" t="str">
        <f>TRIM(CLEAN(Table1[[#This Row],[Updated hourly_rate (USD)]]))</f>
        <v>$20</v>
      </c>
      <c r="P889" t="str">
        <f>SUBSTITUTE(SUBSTITUTE(Table1[[#This Row],[Formatted hourly rate]],"USD ",""),"$","")</f>
        <v>20</v>
      </c>
      <c r="Q889">
        <v>0</v>
      </c>
      <c r="R889">
        <f>IF(Table1[[#This Row],[rating]]="",2.6,Table1[[#This Row],[rating]])</f>
        <v>0</v>
      </c>
      <c r="S889">
        <v>0</v>
      </c>
      <c r="T889" t="str">
        <f>TRIM(CLEAN(Table1[[#This Row],[is_active]]))</f>
        <v>0</v>
      </c>
      <c r="U88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89" s="11" t="str">
        <f>TRIM(IF(Table1[[#This Row],[is_active3]]="Unknown","TRUE",Table1[[#This Row],[is_active3]]))</f>
        <v>FALSE</v>
      </c>
      <c r="W889">
        <v>0.76</v>
      </c>
      <c r="X889">
        <f>IF(Table1[[#This Row],[client_satisfaction]]&gt;1,Table1[[#This Row],[client_satisfaction]]/100,Table1[[#This Row],[client_satisfaction]])</f>
        <v>0.76</v>
      </c>
      <c r="Y889">
        <f>IF(Table1[[#This Row],[client_satisfaction2]]=0,0.75,Table1[[#This Row],[client_satisfaction2]])</f>
        <v>0.76</v>
      </c>
    </row>
    <row r="890" spans="1:25" x14ac:dyDescent="0.25">
      <c r="A890" t="s">
        <v>1854</v>
      </c>
      <c r="B890" t="s">
        <v>1855</v>
      </c>
      <c r="C890" t="str">
        <f>PROPER(TRIM(SUBSTITUTE(SUBSTITUTE(SUBSTITUTE(Table1[[#This Row],[name]],"Ms. ",""),"Mr. ",""),"Mrs. ","")))</f>
        <v>Kyle Ray</v>
      </c>
      <c r="D890" t="s">
        <v>27</v>
      </c>
      <c r="E8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90">
        <v>38</v>
      </c>
      <c r="G890" t="str">
        <f>TRIM(IF(Table1[[#This Row],[age]]="","Unknown",Table1[[#This Row],[age]]))</f>
        <v>38</v>
      </c>
      <c r="H890" t="s">
        <v>15</v>
      </c>
      <c r="I890" t="s">
        <v>16</v>
      </c>
      <c r="J890" t="s">
        <v>35</v>
      </c>
      <c r="K890">
        <v>14</v>
      </c>
      <c r="L890" s="10" t="str">
        <f>TRIM(IF(Table1[[#This Row],[years_of_experience]]="","Unknown",Table1[[#This Row],[years_of_experience]]))</f>
        <v>14</v>
      </c>
      <c r="M890">
        <v>75</v>
      </c>
      <c r="N890">
        <f>IF(Table1[[#This Row],[hourly_rate (USD)]]="",MEDIAN(Table1[hourly_rate (USD)]),Table1[[#This Row],[hourly_rate (USD)]])</f>
        <v>75</v>
      </c>
      <c r="O890" t="str">
        <f>TRIM(CLEAN(Table1[[#This Row],[Updated hourly_rate (USD)]]))</f>
        <v>75</v>
      </c>
      <c r="P890" t="str">
        <f>SUBSTITUTE(SUBSTITUTE(Table1[[#This Row],[Formatted hourly rate]],"USD ",""),"$","")</f>
        <v>75</v>
      </c>
      <c r="Q890">
        <v>1.5</v>
      </c>
      <c r="R890">
        <f>IF(Table1[[#This Row],[rating]]="",2.6,Table1[[#This Row],[rating]])</f>
        <v>1.5</v>
      </c>
      <c r="S890" t="s">
        <v>31</v>
      </c>
      <c r="T890" t="str">
        <f>TRIM(CLEAN(Table1[[#This Row],[is_active]]))</f>
        <v>N</v>
      </c>
      <c r="U89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90" s="11" t="str">
        <f>TRIM(IF(Table1[[#This Row],[is_active3]]="Unknown","TRUE",Table1[[#This Row],[is_active3]]))</f>
        <v>FALSE</v>
      </c>
      <c r="W890">
        <v>0.62</v>
      </c>
      <c r="X890">
        <f>IF(Table1[[#This Row],[client_satisfaction]]&gt;1,Table1[[#This Row],[client_satisfaction]]/100,Table1[[#This Row],[client_satisfaction]])</f>
        <v>0.62</v>
      </c>
      <c r="Y890">
        <f>IF(Table1[[#This Row],[client_satisfaction2]]=0,0.75,Table1[[#This Row],[client_satisfaction2]])</f>
        <v>0.62</v>
      </c>
    </row>
    <row r="891" spans="1:25" x14ac:dyDescent="0.25">
      <c r="A891" t="s">
        <v>1856</v>
      </c>
      <c r="B891" t="s">
        <v>1857</v>
      </c>
      <c r="C891" t="str">
        <f>PROPER(TRIM(SUBSTITUTE(SUBSTITUTE(SUBSTITUTE(Table1[[#This Row],[name]],"Ms. ",""),"Mr. ",""),"Mrs. ","")))</f>
        <v>Isaac Hebert</v>
      </c>
      <c r="D891" t="s">
        <v>61</v>
      </c>
      <c r="E8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91">
        <v>56</v>
      </c>
      <c r="G891" t="str">
        <f>TRIM(IF(Table1[[#This Row],[age]]="","Unknown",Table1[[#This Row],[age]]))</f>
        <v>56</v>
      </c>
      <c r="H891" t="s">
        <v>85</v>
      </c>
      <c r="I891" t="s">
        <v>86</v>
      </c>
      <c r="J891" t="s">
        <v>89</v>
      </c>
      <c r="K891">
        <v>2</v>
      </c>
      <c r="L891" s="10" t="str">
        <f>TRIM(IF(Table1[[#This Row],[years_of_experience]]="","Unknown",Table1[[#This Row],[years_of_experience]]))</f>
        <v>2</v>
      </c>
      <c r="M891" t="s">
        <v>170</v>
      </c>
      <c r="N891" t="str">
        <f>IF(Table1[[#This Row],[hourly_rate (USD)]]="",MEDIAN(Table1[hourly_rate (USD)]),Table1[[#This Row],[hourly_rate (USD)]])</f>
        <v>$75</v>
      </c>
      <c r="O891" t="str">
        <f>TRIM(CLEAN(Table1[[#This Row],[Updated hourly_rate (USD)]]))</f>
        <v>$75</v>
      </c>
      <c r="P891" t="str">
        <f>SUBSTITUTE(SUBSTITUTE(Table1[[#This Row],[Formatted hourly rate]],"USD ",""),"$","")</f>
        <v>75</v>
      </c>
      <c r="Q891">
        <v>2.4</v>
      </c>
      <c r="R891">
        <f>IF(Table1[[#This Row],[rating]]="",2.6,Table1[[#This Row],[rating]])</f>
        <v>2.4</v>
      </c>
      <c r="S891" t="s">
        <v>31</v>
      </c>
      <c r="T891" t="str">
        <f>TRIM(CLEAN(Table1[[#This Row],[is_active]]))</f>
        <v>N</v>
      </c>
      <c r="U89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91" s="11" t="str">
        <f>TRIM(IF(Table1[[#This Row],[is_active3]]="Unknown","TRUE",Table1[[#This Row],[is_active3]]))</f>
        <v>FALSE</v>
      </c>
      <c r="X891">
        <f>IF(Table1[[#This Row],[client_satisfaction]]&gt;1,Table1[[#This Row],[client_satisfaction]]/100,Table1[[#This Row],[client_satisfaction]])</f>
        <v>0</v>
      </c>
      <c r="Y891">
        <f>IF(Table1[[#This Row],[client_satisfaction2]]=0,0.75,Table1[[#This Row],[client_satisfaction2]])</f>
        <v>0.75</v>
      </c>
    </row>
    <row r="892" spans="1:25" x14ac:dyDescent="0.25">
      <c r="A892" t="s">
        <v>1858</v>
      </c>
      <c r="B892" t="s">
        <v>1859</v>
      </c>
      <c r="C892" t="str">
        <f>PROPER(TRIM(SUBSTITUTE(SUBSTITUTE(SUBSTITUTE(Table1[[#This Row],[name]],"Ms. ",""),"Mr. ",""),"Mrs. ","")))</f>
        <v>Michele Jones</v>
      </c>
      <c r="D892" t="s">
        <v>14</v>
      </c>
      <c r="E8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92">
        <v>41</v>
      </c>
      <c r="G892" t="str">
        <f>TRIM(IF(Table1[[#This Row],[age]]="","Unknown",Table1[[#This Row],[age]]))</f>
        <v>41</v>
      </c>
      <c r="H892" t="s">
        <v>124</v>
      </c>
      <c r="I892" t="s">
        <v>125</v>
      </c>
      <c r="J892" t="s">
        <v>89</v>
      </c>
      <c r="K892">
        <v>2</v>
      </c>
      <c r="L892" s="10" t="str">
        <f>TRIM(IF(Table1[[#This Row],[years_of_experience]]="","Unknown",Table1[[#This Row],[years_of_experience]]))</f>
        <v>2</v>
      </c>
      <c r="M892" t="s">
        <v>24</v>
      </c>
      <c r="N892" t="str">
        <f>IF(Table1[[#This Row],[hourly_rate (USD)]]="",MEDIAN(Table1[hourly_rate (USD)]),Table1[[#This Row],[hourly_rate (USD)]])</f>
        <v>USD 100</v>
      </c>
      <c r="O892" t="str">
        <f>TRIM(CLEAN(Table1[[#This Row],[Updated hourly_rate (USD)]]))</f>
        <v>USD 100</v>
      </c>
      <c r="P892" t="str">
        <f>SUBSTITUTE(SUBSTITUTE(Table1[[#This Row],[Formatted hourly rate]],"USD ",""),"$","")</f>
        <v>100</v>
      </c>
      <c r="Q892">
        <v>4.5</v>
      </c>
      <c r="R892">
        <f>IF(Table1[[#This Row],[rating]]="",2.6,Table1[[#This Row],[rating]])</f>
        <v>4.5</v>
      </c>
      <c r="S892" t="s">
        <v>31</v>
      </c>
      <c r="T892" t="str">
        <f>TRIM(CLEAN(Table1[[#This Row],[is_active]]))</f>
        <v>N</v>
      </c>
      <c r="U89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92" s="11" t="str">
        <f>TRIM(IF(Table1[[#This Row],[is_active3]]="Unknown","TRUE",Table1[[#This Row],[is_active3]]))</f>
        <v>FALSE</v>
      </c>
      <c r="W892">
        <v>75</v>
      </c>
      <c r="X892">
        <f>IF(Table1[[#This Row],[client_satisfaction]]&gt;1,Table1[[#This Row],[client_satisfaction]]/100,Table1[[#This Row],[client_satisfaction]])</f>
        <v>0.75</v>
      </c>
      <c r="Y892">
        <f>IF(Table1[[#This Row],[client_satisfaction2]]=0,0.75,Table1[[#This Row],[client_satisfaction2]])</f>
        <v>0.75</v>
      </c>
    </row>
    <row r="893" spans="1:25" x14ac:dyDescent="0.25">
      <c r="A893" t="s">
        <v>1860</v>
      </c>
      <c r="B893" t="s">
        <v>1861</v>
      </c>
      <c r="C893" t="str">
        <f>PROPER(TRIM(SUBSTITUTE(SUBSTITUTE(SUBSTITUTE(Table1[[#This Row],[name]],"Ms. ",""),"Mr. ",""),"Mrs. ","")))</f>
        <v>Austin Allen</v>
      </c>
      <c r="D893" t="s">
        <v>97</v>
      </c>
      <c r="E8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893" t="str">
        <f>TRIM(IF(Table1[[#This Row],[age]]="","Unknown",Table1[[#This Row],[age]]))</f>
        <v>Unknown</v>
      </c>
      <c r="H893" t="s">
        <v>15</v>
      </c>
      <c r="I893" t="s">
        <v>16</v>
      </c>
      <c r="J893" t="s">
        <v>73</v>
      </c>
      <c r="K893">
        <v>11</v>
      </c>
      <c r="L893" s="10" t="str">
        <f>TRIM(IF(Table1[[#This Row],[years_of_experience]]="","Unknown",Table1[[#This Row],[years_of_experience]]))</f>
        <v>11</v>
      </c>
      <c r="M893" t="s">
        <v>24</v>
      </c>
      <c r="N893" t="str">
        <f>IF(Table1[[#This Row],[hourly_rate (USD)]]="",MEDIAN(Table1[hourly_rate (USD)]),Table1[[#This Row],[hourly_rate (USD)]])</f>
        <v>USD 100</v>
      </c>
      <c r="O893" t="str">
        <f>TRIM(CLEAN(Table1[[#This Row],[Updated hourly_rate (USD)]]))</f>
        <v>USD 100</v>
      </c>
      <c r="P893" t="str">
        <f>SUBSTITUTE(SUBSTITUTE(Table1[[#This Row],[Formatted hourly rate]],"USD ",""),"$","")</f>
        <v>100</v>
      </c>
      <c r="Q893">
        <v>2.5</v>
      </c>
      <c r="R893">
        <f>IF(Table1[[#This Row],[rating]]="",2.6,Table1[[#This Row],[rating]])</f>
        <v>2.5</v>
      </c>
      <c r="S893" t="s">
        <v>68</v>
      </c>
      <c r="T893" t="str">
        <f>TRIM(CLEAN(Table1[[#This Row],[is_active]]))</f>
        <v>yes</v>
      </c>
      <c r="U89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93" s="11" t="str">
        <f>TRIM(IF(Table1[[#This Row],[is_active3]]="Unknown","TRUE",Table1[[#This Row],[is_active3]]))</f>
        <v>TRUE</v>
      </c>
      <c r="W893">
        <v>80</v>
      </c>
      <c r="X893">
        <f>IF(Table1[[#This Row],[client_satisfaction]]&gt;1,Table1[[#This Row],[client_satisfaction]]/100,Table1[[#This Row],[client_satisfaction]])</f>
        <v>0.8</v>
      </c>
      <c r="Y893">
        <f>IF(Table1[[#This Row],[client_satisfaction2]]=0,0.75,Table1[[#This Row],[client_satisfaction2]])</f>
        <v>0.8</v>
      </c>
    </row>
    <row r="894" spans="1:25" x14ac:dyDescent="0.25">
      <c r="A894" t="s">
        <v>1862</v>
      </c>
      <c r="B894" t="s">
        <v>1863</v>
      </c>
      <c r="C894" t="str">
        <f>PROPER(TRIM(SUBSTITUTE(SUBSTITUTE(SUBSTITUTE(Table1[[#This Row],[name]],"Ms. ",""),"Mr. ",""),"Mrs. ","")))</f>
        <v>Haley Castro</v>
      </c>
      <c r="D894" t="s">
        <v>14</v>
      </c>
      <c r="E8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94">
        <v>42</v>
      </c>
      <c r="G894" t="str">
        <f>TRIM(IF(Table1[[#This Row],[age]]="","Unknown",Table1[[#This Row],[age]]))</f>
        <v>42</v>
      </c>
      <c r="H894" t="s">
        <v>28</v>
      </c>
      <c r="I894" t="s">
        <v>29</v>
      </c>
      <c r="J894" t="s">
        <v>30</v>
      </c>
      <c r="K894">
        <v>13</v>
      </c>
      <c r="L894" s="10" t="str">
        <f>TRIM(IF(Table1[[#This Row],[years_of_experience]]="","Unknown",Table1[[#This Row],[years_of_experience]]))</f>
        <v>13</v>
      </c>
      <c r="M894">
        <v>30</v>
      </c>
      <c r="N894">
        <f>IF(Table1[[#This Row],[hourly_rate (USD)]]="",MEDIAN(Table1[hourly_rate (USD)]),Table1[[#This Row],[hourly_rate (USD)]])</f>
        <v>30</v>
      </c>
      <c r="O894" t="str">
        <f>TRIM(CLEAN(Table1[[#This Row],[Updated hourly_rate (USD)]]))</f>
        <v>30</v>
      </c>
      <c r="P894" t="str">
        <f>SUBSTITUTE(SUBSTITUTE(Table1[[#This Row],[Formatted hourly rate]],"USD ",""),"$","")</f>
        <v>30</v>
      </c>
      <c r="Q894">
        <v>3.3</v>
      </c>
      <c r="R894">
        <f>IF(Table1[[#This Row],[rating]]="",2.6,Table1[[#This Row],[rating]])</f>
        <v>3.3</v>
      </c>
      <c r="T894" t="str">
        <f>TRIM(CLEAN(Table1[[#This Row],[is_active]]))</f>
        <v/>
      </c>
      <c r="U89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94" s="11" t="str">
        <f>TRIM(IF(Table1[[#This Row],[is_active3]]="Unknown","TRUE",Table1[[#This Row],[is_active3]]))</f>
        <v>TRUE</v>
      </c>
      <c r="W894">
        <v>0.63</v>
      </c>
      <c r="X894">
        <f>IF(Table1[[#This Row],[client_satisfaction]]&gt;1,Table1[[#This Row],[client_satisfaction]]/100,Table1[[#This Row],[client_satisfaction]])</f>
        <v>0.63</v>
      </c>
      <c r="Y894">
        <f>IF(Table1[[#This Row],[client_satisfaction2]]=0,0.75,Table1[[#This Row],[client_satisfaction2]])</f>
        <v>0.63</v>
      </c>
    </row>
    <row r="895" spans="1:25" x14ac:dyDescent="0.25">
      <c r="A895" t="s">
        <v>1864</v>
      </c>
      <c r="B895" t="s">
        <v>1865</v>
      </c>
      <c r="C895" t="str">
        <f>PROPER(TRIM(SUBSTITUTE(SUBSTITUTE(SUBSTITUTE(Table1[[#This Row],[name]],"Ms. ",""),"Mr. ",""),"Mrs. ","")))</f>
        <v>David Armstrong</v>
      </c>
      <c r="D895" t="s">
        <v>97</v>
      </c>
      <c r="E8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95">
        <v>26</v>
      </c>
      <c r="G895" t="str">
        <f>TRIM(IF(Table1[[#This Row],[age]]="","Unknown",Table1[[#This Row],[age]]))</f>
        <v>26</v>
      </c>
      <c r="H895" t="s">
        <v>93</v>
      </c>
      <c r="I895" t="s">
        <v>94</v>
      </c>
      <c r="J895" t="s">
        <v>17</v>
      </c>
      <c r="K895">
        <v>7</v>
      </c>
      <c r="L895" s="10" t="str">
        <f>TRIM(IF(Table1[[#This Row],[years_of_experience]]="","Unknown",Table1[[#This Row],[years_of_experience]]))</f>
        <v>7</v>
      </c>
      <c r="M895">
        <v>75</v>
      </c>
      <c r="N895">
        <f>IF(Table1[[#This Row],[hourly_rate (USD)]]="",MEDIAN(Table1[hourly_rate (USD)]),Table1[[#This Row],[hourly_rate (USD)]])</f>
        <v>75</v>
      </c>
      <c r="O895" t="str">
        <f>TRIM(CLEAN(Table1[[#This Row],[Updated hourly_rate (USD)]]))</f>
        <v>75</v>
      </c>
      <c r="P895" t="str">
        <f>SUBSTITUTE(SUBSTITUTE(Table1[[#This Row],[Formatted hourly rate]],"USD ",""),"$","")</f>
        <v>75</v>
      </c>
      <c r="Q895">
        <v>3</v>
      </c>
      <c r="R895">
        <f>IF(Table1[[#This Row],[rating]]="",2.6,Table1[[#This Row],[rating]])</f>
        <v>3</v>
      </c>
      <c r="T895" t="str">
        <f>TRIM(CLEAN(Table1[[#This Row],[is_active]]))</f>
        <v/>
      </c>
      <c r="U89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95" s="11" t="str">
        <f>TRIM(IF(Table1[[#This Row],[is_active3]]="Unknown","TRUE",Table1[[#This Row],[is_active3]]))</f>
        <v>TRUE</v>
      </c>
      <c r="W895">
        <v>0.84</v>
      </c>
      <c r="X895">
        <f>IF(Table1[[#This Row],[client_satisfaction]]&gt;1,Table1[[#This Row],[client_satisfaction]]/100,Table1[[#This Row],[client_satisfaction]])</f>
        <v>0.84</v>
      </c>
      <c r="Y895">
        <f>IF(Table1[[#This Row],[client_satisfaction2]]=0,0.75,Table1[[#This Row],[client_satisfaction2]])</f>
        <v>0.84</v>
      </c>
    </row>
    <row r="896" spans="1:25" x14ac:dyDescent="0.25">
      <c r="A896" t="s">
        <v>1866</v>
      </c>
      <c r="B896" t="s">
        <v>1867</v>
      </c>
      <c r="C896" t="str">
        <f>PROPER(TRIM(SUBSTITUTE(SUBSTITUTE(SUBSTITUTE(Table1[[#This Row],[name]],"Ms. ",""),"Mr. ",""),"Mrs. ","")))</f>
        <v>Wendy Mitchell</v>
      </c>
      <c r="D896" t="s">
        <v>14</v>
      </c>
      <c r="E8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96">
        <v>44</v>
      </c>
      <c r="G896" t="str">
        <f>TRIM(IF(Table1[[#This Row],[age]]="","Unknown",Table1[[#This Row],[age]]))</f>
        <v>44</v>
      </c>
      <c r="H896" t="s">
        <v>128</v>
      </c>
      <c r="I896" t="s">
        <v>22</v>
      </c>
      <c r="J896" t="s">
        <v>78</v>
      </c>
      <c r="K896">
        <v>25</v>
      </c>
      <c r="L896" s="10" t="str">
        <f>TRIM(IF(Table1[[#This Row],[years_of_experience]]="","Unknown",Table1[[#This Row],[years_of_experience]]))</f>
        <v>25</v>
      </c>
      <c r="M896">
        <v>75</v>
      </c>
      <c r="N896">
        <f>IF(Table1[[#This Row],[hourly_rate (USD)]]="",MEDIAN(Table1[hourly_rate (USD)]),Table1[[#This Row],[hourly_rate (USD)]])</f>
        <v>75</v>
      </c>
      <c r="O896" t="str">
        <f>TRIM(CLEAN(Table1[[#This Row],[Updated hourly_rate (USD)]]))</f>
        <v>75</v>
      </c>
      <c r="P896" t="str">
        <f>SUBSTITUTE(SUBSTITUTE(Table1[[#This Row],[Formatted hourly rate]],"USD ",""),"$","")</f>
        <v>75</v>
      </c>
      <c r="Q896">
        <v>2.7</v>
      </c>
      <c r="R896">
        <f>IF(Table1[[#This Row],[rating]]="",2.6,Table1[[#This Row],[rating]])</f>
        <v>2.7</v>
      </c>
      <c r="S896">
        <v>1</v>
      </c>
      <c r="T896" t="str">
        <f>TRIM(CLEAN(Table1[[#This Row],[is_active]]))</f>
        <v>1</v>
      </c>
      <c r="U8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896" s="11" t="str">
        <f>TRIM(IF(Table1[[#This Row],[is_active3]]="Unknown","TRUE",Table1[[#This Row],[is_active3]]))</f>
        <v>TRUE</v>
      </c>
      <c r="W896">
        <v>78</v>
      </c>
      <c r="X896">
        <f>IF(Table1[[#This Row],[client_satisfaction]]&gt;1,Table1[[#This Row],[client_satisfaction]]/100,Table1[[#This Row],[client_satisfaction]])</f>
        <v>0.78</v>
      </c>
      <c r="Y896">
        <f>IF(Table1[[#This Row],[client_satisfaction2]]=0,0.75,Table1[[#This Row],[client_satisfaction2]])</f>
        <v>0.78</v>
      </c>
    </row>
    <row r="897" spans="1:25" x14ac:dyDescent="0.25">
      <c r="A897" t="s">
        <v>1868</v>
      </c>
      <c r="B897" t="s">
        <v>1869</v>
      </c>
      <c r="C897" t="str">
        <f>PROPER(TRIM(SUBSTITUTE(SUBSTITUTE(SUBSTITUTE(Table1[[#This Row],[name]],"Ms. ",""),"Mr. ",""),"Mrs. ","")))</f>
        <v>Anthony Hernandez</v>
      </c>
      <c r="D897" t="s">
        <v>61</v>
      </c>
      <c r="E8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97">
        <v>46</v>
      </c>
      <c r="G897" t="str">
        <f>TRIM(IF(Table1[[#This Row],[age]]="","Unknown",Table1[[#This Row],[age]]))</f>
        <v>46</v>
      </c>
      <c r="H897" t="s">
        <v>128</v>
      </c>
      <c r="I897" t="s">
        <v>22</v>
      </c>
      <c r="J897" t="s">
        <v>30</v>
      </c>
      <c r="K897">
        <v>20</v>
      </c>
      <c r="L897" s="10" t="str">
        <f>TRIM(IF(Table1[[#This Row],[years_of_experience]]="","Unknown",Table1[[#This Row],[years_of_experience]]))</f>
        <v>20</v>
      </c>
      <c r="M897" t="s">
        <v>121</v>
      </c>
      <c r="N897" t="str">
        <f>IF(Table1[[#This Row],[hourly_rate (USD)]]="",MEDIAN(Table1[hourly_rate (USD)]),Table1[[#This Row],[hourly_rate (USD)]])</f>
        <v>$20</v>
      </c>
      <c r="O897" t="str">
        <f>TRIM(CLEAN(Table1[[#This Row],[Updated hourly_rate (USD)]]))</f>
        <v>$20</v>
      </c>
      <c r="P897" t="str">
        <f>SUBSTITUTE(SUBSTITUTE(Table1[[#This Row],[Formatted hourly rate]],"USD ",""),"$","")</f>
        <v>20</v>
      </c>
      <c r="Q897">
        <v>1.2</v>
      </c>
      <c r="R897">
        <f>IF(Table1[[#This Row],[rating]]="",2.6,Table1[[#This Row],[rating]])</f>
        <v>1.2</v>
      </c>
      <c r="S897" t="b">
        <v>0</v>
      </c>
      <c r="T897" t="str">
        <f>TRIM(CLEAN(Table1[[#This Row],[is_active]]))</f>
        <v>FALSE</v>
      </c>
      <c r="U89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897" s="11" t="str">
        <f>TRIM(IF(Table1[[#This Row],[is_active3]]="Unknown","TRUE",Table1[[#This Row],[is_active3]]))</f>
        <v>TRUE</v>
      </c>
      <c r="W897">
        <v>0.74</v>
      </c>
      <c r="X897">
        <f>IF(Table1[[#This Row],[client_satisfaction]]&gt;1,Table1[[#This Row],[client_satisfaction]]/100,Table1[[#This Row],[client_satisfaction]])</f>
        <v>0.74</v>
      </c>
      <c r="Y897">
        <f>IF(Table1[[#This Row],[client_satisfaction2]]=0,0.75,Table1[[#This Row],[client_satisfaction2]])</f>
        <v>0.74</v>
      </c>
    </row>
    <row r="898" spans="1:25" x14ac:dyDescent="0.25">
      <c r="A898" t="s">
        <v>1870</v>
      </c>
      <c r="B898" t="s">
        <v>1871</v>
      </c>
      <c r="C898" t="str">
        <f>PROPER(TRIM(SUBSTITUTE(SUBSTITUTE(SUBSTITUTE(Table1[[#This Row],[name]],"Ms. ",""),"Mr. ",""),"Mrs. ","")))</f>
        <v>Erica Johnson</v>
      </c>
      <c r="D898" t="s">
        <v>39</v>
      </c>
      <c r="E8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898">
        <v>36</v>
      </c>
      <c r="G898" t="str">
        <f>TRIM(IF(Table1[[#This Row],[age]]="","Unknown",Table1[[#This Row],[age]]))</f>
        <v>36</v>
      </c>
      <c r="H898" t="s">
        <v>58</v>
      </c>
      <c r="I898" t="s">
        <v>22</v>
      </c>
      <c r="J898" t="s">
        <v>73</v>
      </c>
      <c r="K898">
        <v>8</v>
      </c>
      <c r="L898" s="10" t="str">
        <f>TRIM(IF(Table1[[#This Row],[years_of_experience]]="","Unknown",Table1[[#This Row],[years_of_experience]]))</f>
        <v>8</v>
      </c>
      <c r="M898">
        <v>50</v>
      </c>
      <c r="N898">
        <f>IF(Table1[[#This Row],[hourly_rate (USD)]]="",MEDIAN(Table1[hourly_rate (USD)]),Table1[[#This Row],[hourly_rate (USD)]])</f>
        <v>50</v>
      </c>
      <c r="O898" t="str">
        <f>TRIM(CLEAN(Table1[[#This Row],[Updated hourly_rate (USD)]]))</f>
        <v>50</v>
      </c>
      <c r="P898" t="str">
        <f>SUBSTITUTE(SUBSTITUTE(Table1[[#This Row],[Formatted hourly rate]],"USD ",""),"$","")</f>
        <v>50</v>
      </c>
      <c r="Q898">
        <v>4.3</v>
      </c>
      <c r="R898">
        <f>IF(Table1[[#This Row],[rating]]="",2.6,Table1[[#This Row],[rating]])</f>
        <v>4.3</v>
      </c>
      <c r="S898">
        <v>0</v>
      </c>
      <c r="T898" t="str">
        <f>TRIM(CLEAN(Table1[[#This Row],[is_active]]))</f>
        <v>0</v>
      </c>
      <c r="U89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98" s="11" t="str">
        <f>TRIM(IF(Table1[[#This Row],[is_active3]]="Unknown","TRUE",Table1[[#This Row],[is_active3]]))</f>
        <v>FALSE</v>
      </c>
      <c r="W898">
        <v>0.9</v>
      </c>
      <c r="X898">
        <f>IF(Table1[[#This Row],[client_satisfaction]]&gt;1,Table1[[#This Row],[client_satisfaction]]/100,Table1[[#This Row],[client_satisfaction]])</f>
        <v>0.9</v>
      </c>
      <c r="Y898">
        <f>IF(Table1[[#This Row],[client_satisfaction2]]=0,0.75,Table1[[#This Row],[client_satisfaction2]])</f>
        <v>0.9</v>
      </c>
    </row>
    <row r="899" spans="1:25" x14ac:dyDescent="0.25">
      <c r="A899" t="s">
        <v>1872</v>
      </c>
      <c r="B899" t="s">
        <v>1873</v>
      </c>
      <c r="C899" t="str">
        <f>PROPER(TRIM(SUBSTITUTE(SUBSTITUTE(SUBSTITUTE(Table1[[#This Row],[name]],"Ms. ",""),"Mr. ",""),"Mrs. ","")))</f>
        <v>Randall Barrett</v>
      </c>
      <c r="D899" t="s">
        <v>97</v>
      </c>
      <c r="E8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899">
        <v>26</v>
      </c>
      <c r="G899" t="str">
        <f>TRIM(IF(Table1[[#This Row],[age]]="","Unknown",Table1[[#This Row],[age]]))</f>
        <v>26</v>
      </c>
      <c r="H899" t="s">
        <v>42</v>
      </c>
      <c r="I899" t="s">
        <v>43</v>
      </c>
      <c r="J899" t="s">
        <v>44</v>
      </c>
      <c r="K899">
        <v>6</v>
      </c>
      <c r="L899" s="10" t="str">
        <f>TRIM(IF(Table1[[#This Row],[years_of_experience]]="","Unknown",Table1[[#This Row],[years_of_experience]]))</f>
        <v>6</v>
      </c>
      <c r="M899" t="s">
        <v>36</v>
      </c>
      <c r="N899" t="str">
        <f>IF(Table1[[#This Row],[hourly_rate (USD)]]="",MEDIAN(Table1[hourly_rate (USD)]),Table1[[#This Row],[hourly_rate (USD)]])</f>
        <v>$40</v>
      </c>
      <c r="O899" t="str">
        <f>TRIM(CLEAN(Table1[[#This Row],[Updated hourly_rate (USD)]]))</f>
        <v>$40</v>
      </c>
      <c r="P899" t="str">
        <f>SUBSTITUTE(SUBSTITUTE(Table1[[#This Row],[Formatted hourly rate]],"USD ",""),"$","")</f>
        <v>40</v>
      </c>
      <c r="Q899">
        <v>1.3</v>
      </c>
      <c r="R899">
        <f>IF(Table1[[#This Row],[rating]]="",2.6,Table1[[#This Row],[rating]])</f>
        <v>1.3</v>
      </c>
      <c r="S899">
        <v>0</v>
      </c>
      <c r="T899" t="str">
        <f>TRIM(CLEAN(Table1[[#This Row],[is_active]]))</f>
        <v>0</v>
      </c>
      <c r="U89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899" s="11" t="str">
        <f>TRIM(IF(Table1[[#This Row],[is_active3]]="Unknown","TRUE",Table1[[#This Row],[is_active3]]))</f>
        <v>FALSE</v>
      </c>
      <c r="X899">
        <f>IF(Table1[[#This Row],[client_satisfaction]]&gt;1,Table1[[#This Row],[client_satisfaction]]/100,Table1[[#This Row],[client_satisfaction]])</f>
        <v>0</v>
      </c>
      <c r="Y899">
        <f>IF(Table1[[#This Row],[client_satisfaction2]]=0,0.75,Table1[[#This Row],[client_satisfaction2]])</f>
        <v>0.75</v>
      </c>
    </row>
    <row r="900" spans="1:25" x14ac:dyDescent="0.25">
      <c r="A900" t="s">
        <v>1874</v>
      </c>
      <c r="B900" t="s">
        <v>1875</v>
      </c>
      <c r="C900" t="str">
        <f>PROPER(TRIM(SUBSTITUTE(SUBSTITUTE(SUBSTITUTE(Table1[[#This Row],[name]],"Ms. ",""),"Mr. ",""),"Mrs. ","")))</f>
        <v>Nathan Huff</v>
      </c>
      <c r="D900" t="s">
        <v>27</v>
      </c>
      <c r="E9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00">
        <v>21</v>
      </c>
      <c r="G900" t="str">
        <f>TRIM(IF(Table1[[#This Row],[age]]="","Unknown",Table1[[#This Row],[age]]))</f>
        <v>21</v>
      </c>
      <c r="H900" t="s">
        <v>28</v>
      </c>
      <c r="I900" t="s">
        <v>29</v>
      </c>
      <c r="J900" t="s">
        <v>73</v>
      </c>
      <c r="K900">
        <v>3</v>
      </c>
      <c r="L900" s="10" t="str">
        <f>TRIM(IF(Table1[[#This Row],[years_of_experience]]="","Unknown",Table1[[#This Row],[years_of_experience]]))</f>
        <v>3</v>
      </c>
      <c r="M900">
        <v>50</v>
      </c>
      <c r="N900">
        <f>IF(Table1[[#This Row],[hourly_rate (USD)]]="",MEDIAN(Table1[hourly_rate (USD)]),Table1[[#This Row],[hourly_rate (USD)]])</f>
        <v>50</v>
      </c>
      <c r="O900" t="str">
        <f>TRIM(CLEAN(Table1[[#This Row],[Updated hourly_rate (USD)]]))</f>
        <v>50</v>
      </c>
      <c r="P900" t="str">
        <f>SUBSTITUTE(SUBSTITUTE(Table1[[#This Row],[Formatted hourly rate]],"USD ",""),"$","")</f>
        <v>50</v>
      </c>
      <c r="Q900">
        <v>4.5999999999999996</v>
      </c>
      <c r="R900">
        <f>IF(Table1[[#This Row],[rating]]="",2.6,Table1[[#This Row],[rating]])</f>
        <v>4.5999999999999996</v>
      </c>
      <c r="S900" t="s">
        <v>74</v>
      </c>
      <c r="T900" t="str">
        <f>TRIM(CLEAN(Table1[[#This Row],[is_active]]))</f>
        <v>Y</v>
      </c>
      <c r="U9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00" s="11" t="str">
        <f>TRIM(IF(Table1[[#This Row],[is_active3]]="Unknown","TRUE",Table1[[#This Row],[is_active3]]))</f>
        <v>TRUE</v>
      </c>
      <c r="X900">
        <f>IF(Table1[[#This Row],[client_satisfaction]]&gt;1,Table1[[#This Row],[client_satisfaction]]/100,Table1[[#This Row],[client_satisfaction]])</f>
        <v>0</v>
      </c>
      <c r="Y900">
        <f>IF(Table1[[#This Row],[client_satisfaction2]]=0,0.75,Table1[[#This Row],[client_satisfaction2]])</f>
        <v>0.75</v>
      </c>
    </row>
    <row r="901" spans="1:25" x14ac:dyDescent="0.25">
      <c r="A901" t="s">
        <v>1876</v>
      </c>
      <c r="B901" t="s">
        <v>1877</v>
      </c>
      <c r="C901" t="str">
        <f>PROPER(TRIM(SUBSTITUTE(SUBSTITUTE(SUBSTITUTE(Table1[[#This Row],[name]],"Ms. ",""),"Mr. ",""),"Mrs. ","")))</f>
        <v>Robin Walsh</v>
      </c>
      <c r="D901" t="s">
        <v>14</v>
      </c>
      <c r="E9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01">
        <v>39</v>
      </c>
      <c r="G901" t="str">
        <f>TRIM(IF(Table1[[#This Row],[age]]="","Unknown",Table1[[#This Row],[age]]))</f>
        <v>39</v>
      </c>
      <c r="H901" t="s">
        <v>49</v>
      </c>
      <c r="I901" t="s">
        <v>50</v>
      </c>
      <c r="J901" t="s">
        <v>73</v>
      </c>
      <c r="K901">
        <v>18</v>
      </c>
      <c r="L901" s="10" t="str">
        <f>TRIM(IF(Table1[[#This Row],[years_of_experience]]="","Unknown",Table1[[#This Row],[years_of_experience]]))</f>
        <v>18</v>
      </c>
      <c r="M901">
        <v>50</v>
      </c>
      <c r="N901">
        <f>IF(Table1[[#This Row],[hourly_rate (USD)]]="",MEDIAN(Table1[hourly_rate (USD)]),Table1[[#This Row],[hourly_rate (USD)]])</f>
        <v>50</v>
      </c>
      <c r="O901" t="str">
        <f>TRIM(CLEAN(Table1[[#This Row],[Updated hourly_rate (USD)]]))</f>
        <v>50</v>
      </c>
      <c r="P901" t="str">
        <f>SUBSTITUTE(SUBSTITUTE(Table1[[#This Row],[Formatted hourly rate]],"USD ",""),"$","")</f>
        <v>50</v>
      </c>
      <c r="Q901">
        <v>2.1</v>
      </c>
      <c r="R901">
        <f>IF(Table1[[#This Row],[rating]]="",2.6,Table1[[#This Row],[rating]])</f>
        <v>2.1</v>
      </c>
      <c r="S901">
        <v>0</v>
      </c>
      <c r="T901" t="str">
        <f>TRIM(CLEAN(Table1[[#This Row],[is_active]]))</f>
        <v>0</v>
      </c>
      <c r="U90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01" s="11" t="str">
        <f>TRIM(IF(Table1[[#This Row],[is_active3]]="Unknown","TRUE",Table1[[#This Row],[is_active3]]))</f>
        <v>FALSE</v>
      </c>
      <c r="W901">
        <v>75</v>
      </c>
      <c r="X901">
        <f>IF(Table1[[#This Row],[client_satisfaction]]&gt;1,Table1[[#This Row],[client_satisfaction]]/100,Table1[[#This Row],[client_satisfaction]])</f>
        <v>0.75</v>
      </c>
      <c r="Y901">
        <f>IF(Table1[[#This Row],[client_satisfaction2]]=0,0.75,Table1[[#This Row],[client_satisfaction2]])</f>
        <v>0.75</v>
      </c>
    </row>
    <row r="902" spans="1:25" x14ac:dyDescent="0.25">
      <c r="A902" t="s">
        <v>1878</v>
      </c>
      <c r="B902" t="s">
        <v>1879</v>
      </c>
      <c r="C902" t="str">
        <f>PROPER(TRIM(SUBSTITUTE(SUBSTITUTE(SUBSTITUTE(Table1[[#This Row],[name]],"Ms. ",""),"Mr. ",""),"Mrs. ","")))</f>
        <v>Yvonne Robinson</v>
      </c>
      <c r="D902" t="s">
        <v>77</v>
      </c>
      <c r="E90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02">
        <v>37</v>
      </c>
      <c r="G902" t="str">
        <f>TRIM(IF(Table1[[#This Row],[age]]="","Unknown",Table1[[#This Row],[age]]))</f>
        <v>37</v>
      </c>
      <c r="H902" t="s">
        <v>58</v>
      </c>
      <c r="I902" t="s">
        <v>22</v>
      </c>
      <c r="J902" t="s">
        <v>17</v>
      </c>
      <c r="K902">
        <v>18</v>
      </c>
      <c r="L902" s="10" t="str">
        <f>TRIM(IF(Table1[[#This Row],[years_of_experience]]="","Unknown",Table1[[#This Row],[years_of_experience]]))</f>
        <v>18</v>
      </c>
      <c r="M902">
        <v>40</v>
      </c>
      <c r="N902">
        <f>IF(Table1[[#This Row],[hourly_rate (USD)]]="",MEDIAN(Table1[hourly_rate (USD)]),Table1[[#This Row],[hourly_rate (USD)]])</f>
        <v>40</v>
      </c>
      <c r="O902" t="str">
        <f>TRIM(CLEAN(Table1[[#This Row],[Updated hourly_rate (USD)]]))</f>
        <v>40</v>
      </c>
      <c r="P902" t="str">
        <f>SUBSTITUTE(SUBSTITUTE(Table1[[#This Row],[Formatted hourly rate]],"USD ",""),"$","")</f>
        <v>40</v>
      </c>
      <c r="Q902">
        <v>4.5</v>
      </c>
      <c r="R902">
        <f>IF(Table1[[#This Row],[rating]]="",2.6,Table1[[#This Row],[rating]])</f>
        <v>4.5</v>
      </c>
      <c r="S902" t="s">
        <v>159</v>
      </c>
      <c r="T902" t="str">
        <f>TRIM(CLEAN(Table1[[#This Row],[is_active]]))</f>
        <v>no</v>
      </c>
      <c r="U90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02" s="11" t="str">
        <f>TRIM(IF(Table1[[#This Row],[is_active3]]="Unknown","TRUE",Table1[[#This Row],[is_active3]]))</f>
        <v>FALSE</v>
      </c>
      <c r="W902">
        <v>0.72</v>
      </c>
      <c r="X902">
        <f>IF(Table1[[#This Row],[client_satisfaction]]&gt;1,Table1[[#This Row],[client_satisfaction]]/100,Table1[[#This Row],[client_satisfaction]])</f>
        <v>0.72</v>
      </c>
      <c r="Y902">
        <f>IF(Table1[[#This Row],[client_satisfaction2]]=0,0.75,Table1[[#This Row],[client_satisfaction2]])</f>
        <v>0.72</v>
      </c>
    </row>
    <row r="903" spans="1:25" x14ac:dyDescent="0.25">
      <c r="A903" t="s">
        <v>1880</v>
      </c>
      <c r="B903" t="s">
        <v>1881</v>
      </c>
      <c r="C903" t="str">
        <f>PROPER(TRIM(SUBSTITUTE(SUBSTITUTE(SUBSTITUTE(Table1[[#This Row],[name]],"Ms. ",""),"Mr. ",""),"Mrs. ","")))</f>
        <v>Kathleen Hendrix</v>
      </c>
      <c r="D903" t="s">
        <v>77</v>
      </c>
      <c r="E90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03">
        <v>47</v>
      </c>
      <c r="G903" t="str">
        <f>TRIM(IF(Table1[[#This Row],[age]]="","Unknown",Table1[[#This Row],[age]]))</f>
        <v>47</v>
      </c>
      <c r="H903" t="s">
        <v>124</v>
      </c>
      <c r="I903" t="s">
        <v>125</v>
      </c>
      <c r="J903" t="s">
        <v>73</v>
      </c>
      <c r="K903">
        <v>3</v>
      </c>
      <c r="L903" s="10" t="str">
        <f>TRIM(IF(Table1[[#This Row],[years_of_experience]]="","Unknown",Table1[[#This Row],[years_of_experience]]))</f>
        <v>3</v>
      </c>
      <c r="M903">
        <v>40</v>
      </c>
      <c r="N903">
        <f>IF(Table1[[#This Row],[hourly_rate (USD)]]="",MEDIAN(Table1[hourly_rate (USD)]),Table1[[#This Row],[hourly_rate (USD)]])</f>
        <v>40</v>
      </c>
      <c r="O903" t="str">
        <f>TRIM(CLEAN(Table1[[#This Row],[Updated hourly_rate (USD)]]))</f>
        <v>40</v>
      </c>
      <c r="P903" t="str">
        <f>SUBSTITUTE(SUBSTITUTE(Table1[[#This Row],[Formatted hourly rate]],"USD ",""),"$","")</f>
        <v>40</v>
      </c>
      <c r="Q903">
        <v>4.4000000000000004</v>
      </c>
      <c r="R903">
        <f>IF(Table1[[#This Row],[rating]]="",2.6,Table1[[#This Row],[rating]])</f>
        <v>4.4000000000000004</v>
      </c>
      <c r="S903" t="s">
        <v>68</v>
      </c>
      <c r="T903" t="str">
        <f>TRIM(CLEAN(Table1[[#This Row],[is_active]]))</f>
        <v>yes</v>
      </c>
      <c r="U90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03" s="11" t="str">
        <f>TRIM(IF(Table1[[#This Row],[is_active3]]="Unknown","TRUE",Table1[[#This Row],[is_active3]]))</f>
        <v>TRUE</v>
      </c>
      <c r="W903">
        <v>0.92</v>
      </c>
      <c r="X903">
        <f>IF(Table1[[#This Row],[client_satisfaction]]&gt;1,Table1[[#This Row],[client_satisfaction]]/100,Table1[[#This Row],[client_satisfaction]])</f>
        <v>0.92</v>
      </c>
      <c r="Y903">
        <f>IF(Table1[[#This Row],[client_satisfaction2]]=0,0.75,Table1[[#This Row],[client_satisfaction2]])</f>
        <v>0.92</v>
      </c>
    </row>
    <row r="904" spans="1:25" x14ac:dyDescent="0.25">
      <c r="A904" t="s">
        <v>1882</v>
      </c>
      <c r="B904" t="s">
        <v>1883</v>
      </c>
      <c r="C904" t="str">
        <f>PROPER(TRIM(SUBSTITUTE(SUBSTITUTE(SUBSTITUTE(Table1[[#This Row],[name]],"Ms. ",""),"Mr. ",""),"Mrs. ","")))</f>
        <v>Jennifer Baker</v>
      </c>
      <c r="D904" t="s">
        <v>20</v>
      </c>
      <c r="E90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04">
        <v>53</v>
      </c>
      <c r="G904" t="str">
        <f>TRIM(IF(Table1[[#This Row],[age]]="","Unknown",Table1[[#This Row],[age]]))</f>
        <v>53</v>
      </c>
      <c r="H904" t="s">
        <v>124</v>
      </c>
      <c r="I904" t="s">
        <v>125</v>
      </c>
      <c r="J904" t="s">
        <v>30</v>
      </c>
      <c r="K904">
        <v>32</v>
      </c>
      <c r="L904" s="10" t="str">
        <f>TRIM(IF(Table1[[#This Row],[years_of_experience]]="","Unknown",Table1[[#This Row],[years_of_experience]]))</f>
        <v>32</v>
      </c>
      <c r="M904" t="s">
        <v>314</v>
      </c>
      <c r="N904" t="str">
        <f>IF(Table1[[#This Row],[hourly_rate (USD)]]="",MEDIAN(Table1[hourly_rate (USD)]),Table1[[#This Row],[hourly_rate (USD)]])</f>
        <v>USD 20</v>
      </c>
      <c r="O904" t="str">
        <f>TRIM(CLEAN(Table1[[#This Row],[Updated hourly_rate (USD)]]))</f>
        <v>USD 20</v>
      </c>
      <c r="P904" t="str">
        <f>SUBSTITUTE(SUBSTITUTE(Table1[[#This Row],[Formatted hourly rate]],"USD ",""),"$","")</f>
        <v>20</v>
      </c>
      <c r="Q904">
        <v>0</v>
      </c>
      <c r="R904">
        <f>IF(Table1[[#This Row],[rating]]="",2.6,Table1[[#This Row],[rating]])</f>
        <v>0</v>
      </c>
      <c r="S904" t="s">
        <v>31</v>
      </c>
      <c r="T904" t="str">
        <f>TRIM(CLEAN(Table1[[#This Row],[is_active]]))</f>
        <v>N</v>
      </c>
      <c r="U90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04" s="11" t="str">
        <f>TRIM(IF(Table1[[#This Row],[is_active3]]="Unknown","TRUE",Table1[[#This Row],[is_active3]]))</f>
        <v>FALSE</v>
      </c>
      <c r="X904">
        <f>IF(Table1[[#This Row],[client_satisfaction]]&gt;1,Table1[[#This Row],[client_satisfaction]]/100,Table1[[#This Row],[client_satisfaction]])</f>
        <v>0</v>
      </c>
      <c r="Y904">
        <f>IF(Table1[[#This Row],[client_satisfaction2]]=0,0.75,Table1[[#This Row],[client_satisfaction2]])</f>
        <v>0.75</v>
      </c>
    </row>
    <row r="905" spans="1:25" x14ac:dyDescent="0.25">
      <c r="A905" t="s">
        <v>1884</v>
      </c>
      <c r="B905" t="s">
        <v>1885</v>
      </c>
      <c r="C905" t="str">
        <f>PROPER(TRIM(SUBSTITUTE(SUBSTITUTE(SUBSTITUTE(Table1[[#This Row],[name]],"Ms. ",""),"Mr. ",""),"Mrs. ","")))</f>
        <v>Kim Martinez</v>
      </c>
      <c r="D905" t="s">
        <v>39</v>
      </c>
      <c r="E90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05">
        <v>53</v>
      </c>
      <c r="G905" t="str">
        <f>TRIM(IF(Table1[[#This Row],[age]]="","Unknown",Table1[[#This Row],[age]]))</f>
        <v>53</v>
      </c>
      <c r="H905" t="s">
        <v>71</v>
      </c>
      <c r="I905" t="s">
        <v>72</v>
      </c>
      <c r="J905" t="s">
        <v>23</v>
      </c>
      <c r="K905">
        <v>19</v>
      </c>
      <c r="L905" s="10" t="str">
        <f>TRIM(IF(Table1[[#This Row],[years_of_experience]]="","Unknown",Table1[[#This Row],[years_of_experience]]))</f>
        <v>19</v>
      </c>
      <c r="M905" t="s">
        <v>314</v>
      </c>
      <c r="N905" t="str">
        <f>IF(Table1[[#This Row],[hourly_rate (USD)]]="",MEDIAN(Table1[hourly_rate (USD)]),Table1[[#This Row],[hourly_rate (USD)]])</f>
        <v>USD 20</v>
      </c>
      <c r="O905" t="str">
        <f>TRIM(CLEAN(Table1[[#This Row],[Updated hourly_rate (USD)]]))</f>
        <v>USD 20</v>
      </c>
      <c r="P905" t="str">
        <f>SUBSTITUTE(SUBSTITUTE(Table1[[#This Row],[Formatted hourly rate]],"USD ",""),"$","")</f>
        <v>20</v>
      </c>
      <c r="Q905">
        <v>1.3</v>
      </c>
      <c r="R905">
        <f>IF(Table1[[#This Row],[rating]]="",2.6,Table1[[#This Row],[rating]])</f>
        <v>1.3</v>
      </c>
      <c r="S905">
        <v>0</v>
      </c>
      <c r="T905" t="str">
        <f>TRIM(CLEAN(Table1[[#This Row],[is_active]]))</f>
        <v>0</v>
      </c>
      <c r="U90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05" s="11" t="str">
        <f>TRIM(IF(Table1[[#This Row],[is_active3]]="Unknown","TRUE",Table1[[#This Row],[is_active3]]))</f>
        <v>FALSE</v>
      </c>
      <c r="X905">
        <f>IF(Table1[[#This Row],[client_satisfaction]]&gt;1,Table1[[#This Row],[client_satisfaction]]/100,Table1[[#This Row],[client_satisfaction]])</f>
        <v>0</v>
      </c>
      <c r="Y905">
        <f>IF(Table1[[#This Row],[client_satisfaction2]]=0,0.75,Table1[[#This Row],[client_satisfaction2]])</f>
        <v>0.75</v>
      </c>
    </row>
    <row r="906" spans="1:25" x14ac:dyDescent="0.25">
      <c r="A906" t="s">
        <v>1886</v>
      </c>
      <c r="B906" t="s">
        <v>1887</v>
      </c>
      <c r="C906" t="str">
        <f>PROPER(TRIM(SUBSTITUTE(SUBSTITUTE(SUBSTITUTE(Table1[[#This Row],[name]],"Ms. ",""),"Mr. ",""),"Mrs. ","")))</f>
        <v>Andrew Little</v>
      </c>
      <c r="D906" t="s">
        <v>27</v>
      </c>
      <c r="E90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06">
        <v>21</v>
      </c>
      <c r="G906" t="str">
        <f>TRIM(IF(Table1[[#This Row],[age]]="","Unknown",Table1[[#This Row],[age]]))</f>
        <v>21</v>
      </c>
      <c r="H906" t="s">
        <v>93</v>
      </c>
      <c r="I906" t="s">
        <v>94</v>
      </c>
      <c r="J906" t="s">
        <v>51</v>
      </c>
      <c r="K906">
        <v>2</v>
      </c>
      <c r="L906" s="10" t="str">
        <f>TRIM(IF(Table1[[#This Row],[years_of_experience]]="","Unknown",Table1[[#This Row],[years_of_experience]]))</f>
        <v>2</v>
      </c>
      <c r="M906">
        <v>50</v>
      </c>
      <c r="N906">
        <f>IF(Table1[[#This Row],[hourly_rate (USD)]]="",MEDIAN(Table1[hourly_rate (USD)]),Table1[[#This Row],[hourly_rate (USD)]])</f>
        <v>50</v>
      </c>
      <c r="O906" t="str">
        <f>TRIM(CLEAN(Table1[[#This Row],[Updated hourly_rate (USD)]]))</f>
        <v>50</v>
      </c>
      <c r="P906" t="str">
        <f>SUBSTITUTE(SUBSTITUTE(Table1[[#This Row],[Formatted hourly rate]],"USD ",""),"$","")</f>
        <v>50</v>
      </c>
      <c r="Q906">
        <v>2.6</v>
      </c>
      <c r="R906">
        <f>IF(Table1[[#This Row],[rating]]="",2.6,Table1[[#This Row],[rating]])</f>
        <v>2.6</v>
      </c>
      <c r="S906" t="b">
        <v>0</v>
      </c>
      <c r="T906" t="str">
        <f>TRIM(CLEAN(Table1[[#This Row],[is_active]]))</f>
        <v>FALSE</v>
      </c>
      <c r="U90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06" s="11" t="str">
        <f>TRIM(IF(Table1[[#This Row],[is_active3]]="Unknown","TRUE",Table1[[#This Row],[is_active3]]))</f>
        <v>TRUE</v>
      </c>
      <c r="W906">
        <v>0.86</v>
      </c>
      <c r="X906">
        <f>IF(Table1[[#This Row],[client_satisfaction]]&gt;1,Table1[[#This Row],[client_satisfaction]]/100,Table1[[#This Row],[client_satisfaction]])</f>
        <v>0.86</v>
      </c>
      <c r="Y906">
        <f>IF(Table1[[#This Row],[client_satisfaction2]]=0,0.75,Table1[[#This Row],[client_satisfaction2]])</f>
        <v>0.86</v>
      </c>
    </row>
    <row r="907" spans="1:25" x14ac:dyDescent="0.25">
      <c r="A907" t="s">
        <v>1888</v>
      </c>
      <c r="B907" t="s">
        <v>1889</v>
      </c>
      <c r="C907" t="str">
        <f>PROPER(TRIM(SUBSTITUTE(SUBSTITUTE(SUBSTITUTE(Table1[[#This Row],[name]],"Ms. ",""),"Mr. ",""),"Mrs. ","")))</f>
        <v>Kelly Shelton</v>
      </c>
      <c r="D907" t="s">
        <v>39</v>
      </c>
      <c r="E90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07">
        <v>35</v>
      </c>
      <c r="G907" t="str">
        <f>TRIM(IF(Table1[[#This Row],[age]]="","Unknown",Table1[[#This Row],[age]]))</f>
        <v>35</v>
      </c>
      <c r="H907" t="s">
        <v>67</v>
      </c>
      <c r="I907" t="s">
        <v>22</v>
      </c>
      <c r="J907" t="s">
        <v>17</v>
      </c>
      <c r="K907">
        <v>0</v>
      </c>
      <c r="L907" s="10" t="str">
        <f>TRIM(IF(Table1[[#This Row],[years_of_experience]]="","Unknown",Table1[[#This Row],[years_of_experience]]))</f>
        <v>0</v>
      </c>
      <c r="N907">
        <f>IF(Table1[[#This Row],[hourly_rate (USD)]]="",MEDIAN(Table1[hourly_rate (USD)]),Table1[[#This Row],[hourly_rate (USD)]])</f>
        <v>50</v>
      </c>
      <c r="O907" t="str">
        <f>TRIM(CLEAN(Table1[[#This Row],[Updated hourly_rate (USD)]]))</f>
        <v>50</v>
      </c>
      <c r="P907" t="str">
        <f>SUBSTITUTE(SUBSTITUTE(Table1[[#This Row],[Formatted hourly rate]],"USD ",""),"$","")</f>
        <v>50</v>
      </c>
      <c r="R907">
        <f>IF(Table1[[#This Row],[rating]]="",2.6,Table1[[#This Row],[rating]])</f>
        <v>2.6</v>
      </c>
      <c r="S907" t="s">
        <v>74</v>
      </c>
      <c r="T907" t="str">
        <f>TRIM(CLEAN(Table1[[#This Row],[is_active]]))</f>
        <v>Y</v>
      </c>
      <c r="U90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07" s="11" t="str">
        <f>TRIM(IF(Table1[[#This Row],[is_active3]]="Unknown","TRUE",Table1[[#This Row],[is_active3]]))</f>
        <v>TRUE</v>
      </c>
      <c r="W907">
        <v>85</v>
      </c>
      <c r="X907">
        <f>IF(Table1[[#This Row],[client_satisfaction]]&gt;1,Table1[[#This Row],[client_satisfaction]]/100,Table1[[#This Row],[client_satisfaction]])</f>
        <v>0.85</v>
      </c>
      <c r="Y907">
        <f>IF(Table1[[#This Row],[client_satisfaction2]]=0,0.75,Table1[[#This Row],[client_satisfaction2]])</f>
        <v>0.85</v>
      </c>
    </row>
    <row r="908" spans="1:25" x14ac:dyDescent="0.25">
      <c r="A908" t="s">
        <v>1890</v>
      </c>
      <c r="B908" t="s">
        <v>1891</v>
      </c>
      <c r="C908" t="str">
        <f>PROPER(TRIM(SUBSTITUTE(SUBSTITUTE(SUBSTITUTE(Table1[[#This Row],[name]],"Ms. ",""),"Mr. ",""),"Mrs. ","")))</f>
        <v>Steven Duncan</v>
      </c>
      <c r="D908" t="s">
        <v>97</v>
      </c>
      <c r="E90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08">
        <v>31</v>
      </c>
      <c r="G908" t="str">
        <f>TRIM(IF(Table1[[#This Row],[age]]="","Unknown",Table1[[#This Row],[age]]))</f>
        <v>31</v>
      </c>
      <c r="H908" t="s">
        <v>71</v>
      </c>
      <c r="I908" t="s">
        <v>72</v>
      </c>
      <c r="J908" t="s">
        <v>114</v>
      </c>
      <c r="K908">
        <v>13</v>
      </c>
      <c r="L908" s="10" t="str">
        <f>TRIM(IF(Table1[[#This Row],[years_of_experience]]="","Unknown",Table1[[#This Row],[years_of_experience]]))</f>
        <v>13</v>
      </c>
      <c r="M908" t="s">
        <v>36</v>
      </c>
      <c r="N908" t="str">
        <f>IF(Table1[[#This Row],[hourly_rate (USD)]]="",MEDIAN(Table1[hourly_rate (USD)]),Table1[[#This Row],[hourly_rate (USD)]])</f>
        <v>$40</v>
      </c>
      <c r="O908" t="str">
        <f>TRIM(CLEAN(Table1[[#This Row],[Updated hourly_rate (USD)]]))</f>
        <v>$40</v>
      </c>
      <c r="P908" t="str">
        <f>SUBSTITUTE(SUBSTITUTE(Table1[[#This Row],[Formatted hourly rate]],"USD ",""),"$","")</f>
        <v>40</v>
      </c>
      <c r="Q908">
        <v>1.2</v>
      </c>
      <c r="R908">
        <f>IF(Table1[[#This Row],[rating]]="",2.6,Table1[[#This Row],[rating]])</f>
        <v>1.2</v>
      </c>
      <c r="S908" t="b">
        <v>0</v>
      </c>
      <c r="T908" t="str">
        <f>TRIM(CLEAN(Table1[[#This Row],[is_active]]))</f>
        <v>FALSE</v>
      </c>
      <c r="U90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08" s="11" t="str">
        <f>TRIM(IF(Table1[[#This Row],[is_active3]]="Unknown","TRUE",Table1[[#This Row],[is_active3]]))</f>
        <v>TRUE</v>
      </c>
      <c r="W908">
        <v>62</v>
      </c>
      <c r="X908">
        <f>IF(Table1[[#This Row],[client_satisfaction]]&gt;1,Table1[[#This Row],[client_satisfaction]]/100,Table1[[#This Row],[client_satisfaction]])</f>
        <v>0.62</v>
      </c>
      <c r="Y908">
        <f>IF(Table1[[#This Row],[client_satisfaction2]]=0,0.75,Table1[[#This Row],[client_satisfaction2]])</f>
        <v>0.62</v>
      </c>
    </row>
    <row r="909" spans="1:25" x14ac:dyDescent="0.25">
      <c r="A909" t="s">
        <v>1892</v>
      </c>
      <c r="B909" t="s">
        <v>1893</v>
      </c>
      <c r="C909" t="str">
        <f>PROPER(TRIM(SUBSTITUTE(SUBSTITUTE(SUBSTITUTE(Table1[[#This Row],[name]],"Ms. ",""),"Mr. ",""),"Mrs. ","")))</f>
        <v>Kristen Haney</v>
      </c>
      <c r="D909" t="s">
        <v>77</v>
      </c>
      <c r="E90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09">
        <v>55</v>
      </c>
      <c r="G909" t="str">
        <f>TRIM(IF(Table1[[#This Row],[age]]="","Unknown",Table1[[#This Row],[age]]))</f>
        <v>55</v>
      </c>
      <c r="H909" t="s">
        <v>112</v>
      </c>
      <c r="I909" t="s">
        <v>113</v>
      </c>
      <c r="J909" t="s">
        <v>44</v>
      </c>
      <c r="K909">
        <v>2</v>
      </c>
      <c r="L909" s="10" t="str">
        <f>TRIM(IF(Table1[[#This Row],[years_of_experience]]="","Unknown",Table1[[#This Row],[years_of_experience]]))</f>
        <v>2</v>
      </c>
      <c r="M909" t="s">
        <v>109</v>
      </c>
      <c r="N909" t="str">
        <f>IF(Table1[[#This Row],[hourly_rate (USD)]]="",MEDIAN(Table1[hourly_rate (USD)]),Table1[[#This Row],[hourly_rate (USD)]])</f>
        <v>USD 30</v>
      </c>
      <c r="O909" t="str">
        <f>TRIM(CLEAN(Table1[[#This Row],[Updated hourly_rate (USD)]]))</f>
        <v>USD 30</v>
      </c>
      <c r="P909" t="str">
        <f>SUBSTITUTE(SUBSTITUTE(Table1[[#This Row],[Formatted hourly rate]],"USD ",""),"$","")</f>
        <v>30</v>
      </c>
      <c r="Q909">
        <v>3.1</v>
      </c>
      <c r="R909">
        <f>IF(Table1[[#This Row],[rating]]="",2.6,Table1[[#This Row],[rating]])</f>
        <v>3.1</v>
      </c>
      <c r="S909" t="s">
        <v>74</v>
      </c>
      <c r="T909" t="str">
        <f>TRIM(CLEAN(Table1[[#This Row],[is_active]]))</f>
        <v>Y</v>
      </c>
      <c r="U90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09" s="11" t="str">
        <f>TRIM(IF(Table1[[#This Row],[is_active3]]="Unknown","TRUE",Table1[[#This Row],[is_active3]]))</f>
        <v>TRUE</v>
      </c>
      <c r="W909">
        <v>0.91</v>
      </c>
      <c r="X909">
        <f>IF(Table1[[#This Row],[client_satisfaction]]&gt;1,Table1[[#This Row],[client_satisfaction]]/100,Table1[[#This Row],[client_satisfaction]])</f>
        <v>0.91</v>
      </c>
      <c r="Y909">
        <f>IF(Table1[[#This Row],[client_satisfaction2]]=0,0.75,Table1[[#This Row],[client_satisfaction2]])</f>
        <v>0.91</v>
      </c>
    </row>
    <row r="910" spans="1:25" x14ac:dyDescent="0.25">
      <c r="A910" t="s">
        <v>1894</v>
      </c>
      <c r="B910" t="s">
        <v>1895</v>
      </c>
      <c r="C910" t="str">
        <f>PROPER(TRIM(SUBSTITUTE(SUBSTITUTE(SUBSTITUTE(Table1[[#This Row],[name]],"Ms. ",""),"Mr. ",""),"Mrs. ","")))</f>
        <v>Kathy Reese</v>
      </c>
      <c r="D910" t="s">
        <v>14</v>
      </c>
      <c r="E91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10">
        <v>59</v>
      </c>
      <c r="G910" t="str">
        <f>TRIM(IF(Table1[[#This Row],[age]]="","Unknown",Table1[[#This Row],[age]]))</f>
        <v>59</v>
      </c>
      <c r="H910" t="s">
        <v>62</v>
      </c>
      <c r="I910" t="s">
        <v>63</v>
      </c>
      <c r="J910" t="s">
        <v>35</v>
      </c>
      <c r="K910">
        <v>11</v>
      </c>
      <c r="L910" s="10" t="str">
        <f>TRIM(IF(Table1[[#This Row],[years_of_experience]]="","Unknown",Table1[[#This Row],[years_of_experience]]))</f>
        <v>11</v>
      </c>
      <c r="M910" t="s">
        <v>170</v>
      </c>
      <c r="N910" t="str">
        <f>IF(Table1[[#This Row],[hourly_rate (USD)]]="",MEDIAN(Table1[hourly_rate (USD)]),Table1[[#This Row],[hourly_rate (USD)]])</f>
        <v>$75</v>
      </c>
      <c r="O910" t="str">
        <f>TRIM(CLEAN(Table1[[#This Row],[Updated hourly_rate (USD)]]))</f>
        <v>$75</v>
      </c>
      <c r="P910" t="str">
        <f>SUBSTITUTE(SUBSTITUTE(Table1[[#This Row],[Formatted hourly rate]],"USD ",""),"$","")</f>
        <v>75</v>
      </c>
      <c r="Q910">
        <v>2.2999999999999998</v>
      </c>
      <c r="R910">
        <f>IF(Table1[[#This Row],[rating]]="",2.6,Table1[[#This Row],[rating]])</f>
        <v>2.2999999999999998</v>
      </c>
      <c r="S910" t="s">
        <v>74</v>
      </c>
      <c r="T910" t="str">
        <f>TRIM(CLEAN(Table1[[#This Row],[is_active]]))</f>
        <v>Y</v>
      </c>
      <c r="U91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10" s="11" t="str">
        <f>TRIM(IF(Table1[[#This Row],[is_active3]]="Unknown","TRUE",Table1[[#This Row],[is_active3]]))</f>
        <v>TRUE</v>
      </c>
      <c r="W910">
        <v>0.8</v>
      </c>
      <c r="X910">
        <f>IF(Table1[[#This Row],[client_satisfaction]]&gt;1,Table1[[#This Row],[client_satisfaction]]/100,Table1[[#This Row],[client_satisfaction]])</f>
        <v>0.8</v>
      </c>
      <c r="Y910">
        <f>IF(Table1[[#This Row],[client_satisfaction2]]=0,0.75,Table1[[#This Row],[client_satisfaction2]])</f>
        <v>0.8</v>
      </c>
    </row>
    <row r="911" spans="1:25" x14ac:dyDescent="0.25">
      <c r="A911" t="s">
        <v>1896</v>
      </c>
      <c r="B911" t="s">
        <v>1897</v>
      </c>
      <c r="C911" t="str">
        <f>PROPER(TRIM(SUBSTITUTE(SUBSTITUTE(SUBSTITUTE(Table1[[#This Row],[name]],"Ms. ",""),"Mr. ",""),"Mrs. ","")))</f>
        <v>Steven Murphy</v>
      </c>
      <c r="D911" t="s">
        <v>61</v>
      </c>
      <c r="E91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11">
        <v>59</v>
      </c>
      <c r="G911" t="str">
        <f>TRIM(IF(Table1[[#This Row],[age]]="","Unknown",Table1[[#This Row],[age]]))</f>
        <v>59</v>
      </c>
      <c r="H911" t="s">
        <v>135</v>
      </c>
      <c r="I911" t="s">
        <v>136</v>
      </c>
      <c r="J911" t="s">
        <v>78</v>
      </c>
      <c r="K911">
        <v>17</v>
      </c>
      <c r="L911" s="10" t="str">
        <f>TRIM(IF(Table1[[#This Row],[years_of_experience]]="","Unknown",Table1[[#This Row],[years_of_experience]]))</f>
        <v>17</v>
      </c>
      <c r="M911">
        <v>100</v>
      </c>
      <c r="N911">
        <f>IF(Table1[[#This Row],[hourly_rate (USD)]]="",MEDIAN(Table1[hourly_rate (USD)]),Table1[[#This Row],[hourly_rate (USD)]])</f>
        <v>100</v>
      </c>
      <c r="O911" t="str">
        <f>TRIM(CLEAN(Table1[[#This Row],[Updated hourly_rate (USD)]]))</f>
        <v>100</v>
      </c>
      <c r="P911" t="str">
        <f>SUBSTITUTE(SUBSTITUTE(Table1[[#This Row],[Formatted hourly rate]],"USD ",""),"$","")</f>
        <v>100</v>
      </c>
      <c r="Q911">
        <v>4</v>
      </c>
      <c r="R911">
        <f>IF(Table1[[#This Row],[rating]]="",2.6,Table1[[#This Row],[rating]])</f>
        <v>4</v>
      </c>
      <c r="S911" t="s">
        <v>159</v>
      </c>
      <c r="T911" t="str">
        <f>TRIM(CLEAN(Table1[[#This Row],[is_active]]))</f>
        <v>no</v>
      </c>
      <c r="U91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11" s="11" t="str">
        <f>TRIM(IF(Table1[[#This Row],[is_active3]]="Unknown","TRUE",Table1[[#This Row],[is_active3]]))</f>
        <v>FALSE</v>
      </c>
      <c r="W911">
        <v>0.72</v>
      </c>
      <c r="X911">
        <f>IF(Table1[[#This Row],[client_satisfaction]]&gt;1,Table1[[#This Row],[client_satisfaction]]/100,Table1[[#This Row],[client_satisfaction]])</f>
        <v>0.72</v>
      </c>
      <c r="Y911">
        <f>IF(Table1[[#This Row],[client_satisfaction2]]=0,0.75,Table1[[#This Row],[client_satisfaction2]])</f>
        <v>0.72</v>
      </c>
    </row>
    <row r="912" spans="1:25" x14ac:dyDescent="0.25">
      <c r="A912" t="s">
        <v>1898</v>
      </c>
      <c r="B912" t="s">
        <v>1899</v>
      </c>
      <c r="C912" t="str">
        <f>PROPER(TRIM(SUBSTITUTE(SUBSTITUTE(SUBSTITUTE(Table1[[#This Row],[name]],"Ms. ",""),"Mr. ",""),"Mrs. ","")))</f>
        <v>William Hartman</v>
      </c>
      <c r="D912" t="s">
        <v>92</v>
      </c>
      <c r="E91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12">
        <v>47</v>
      </c>
      <c r="G912" t="str">
        <f>TRIM(IF(Table1[[#This Row],[age]]="","Unknown",Table1[[#This Row],[age]]))</f>
        <v>47</v>
      </c>
      <c r="H912" t="s">
        <v>93</v>
      </c>
      <c r="I912" t="s">
        <v>94</v>
      </c>
      <c r="J912" t="s">
        <v>17</v>
      </c>
      <c r="K912">
        <v>10</v>
      </c>
      <c r="L912" s="10" t="str">
        <f>TRIM(IF(Table1[[#This Row],[years_of_experience]]="","Unknown",Table1[[#This Row],[years_of_experience]]))</f>
        <v>10</v>
      </c>
      <c r="M912" t="s">
        <v>170</v>
      </c>
      <c r="N912" t="str">
        <f>IF(Table1[[#This Row],[hourly_rate (USD)]]="",MEDIAN(Table1[hourly_rate (USD)]),Table1[[#This Row],[hourly_rate (USD)]])</f>
        <v>$75</v>
      </c>
      <c r="O912" t="str">
        <f>TRIM(CLEAN(Table1[[#This Row],[Updated hourly_rate (USD)]]))</f>
        <v>$75</v>
      </c>
      <c r="P912" t="str">
        <f>SUBSTITUTE(SUBSTITUTE(Table1[[#This Row],[Formatted hourly rate]],"USD ",""),"$","")</f>
        <v>75</v>
      </c>
      <c r="Q912">
        <v>1.9</v>
      </c>
      <c r="R912">
        <f>IF(Table1[[#This Row],[rating]]="",2.6,Table1[[#This Row],[rating]])</f>
        <v>1.9</v>
      </c>
      <c r="T912" t="str">
        <f>TRIM(CLEAN(Table1[[#This Row],[is_active]]))</f>
        <v/>
      </c>
      <c r="U91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12" s="11" t="str">
        <f>TRIM(IF(Table1[[#This Row],[is_active3]]="Unknown","TRUE",Table1[[#This Row],[is_active3]]))</f>
        <v>TRUE</v>
      </c>
      <c r="X912">
        <f>IF(Table1[[#This Row],[client_satisfaction]]&gt;1,Table1[[#This Row],[client_satisfaction]]/100,Table1[[#This Row],[client_satisfaction]])</f>
        <v>0</v>
      </c>
      <c r="Y912">
        <f>IF(Table1[[#This Row],[client_satisfaction2]]=0,0.75,Table1[[#This Row],[client_satisfaction2]])</f>
        <v>0.75</v>
      </c>
    </row>
    <row r="913" spans="1:25" x14ac:dyDescent="0.25">
      <c r="A913" t="s">
        <v>1900</v>
      </c>
      <c r="B913" t="s">
        <v>1901</v>
      </c>
      <c r="C913" t="str">
        <f>PROPER(TRIM(SUBSTITUTE(SUBSTITUTE(SUBSTITUTE(Table1[[#This Row],[name]],"Ms. ",""),"Mr. ",""),"Mrs. ","")))</f>
        <v>Sonya Haley</v>
      </c>
      <c r="D913" t="s">
        <v>39</v>
      </c>
      <c r="E91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13">
        <v>53</v>
      </c>
      <c r="G913" t="str">
        <f>TRIM(IF(Table1[[#This Row],[age]]="","Unknown",Table1[[#This Row],[age]]))</f>
        <v>53</v>
      </c>
      <c r="H913" t="s">
        <v>153</v>
      </c>
      <c r="I913" t="s">
        <v>154</v>
      </c>
      <c r="J913" t="s">
        <v>114</v>
      </c>
      <c r="K913">
        <v>26</v>
      </c>
      <c r="L913" s="10" t="str">
        <f>TRIM(IF(Table1[[#This Row],[years_of_experience]]="","Unknown",Table1[[#This Row],[years_of_experience]]))</f>
        <v>26</v>
      </c>
      <c r="M913">
        <v>75</v>
      </c>
      <c r="N913">
        <f>IF(Table1[[#This Row],[hourly_rate (USD)]]="",MEDIAN(Table1[hourly_rate (USD)]),Table1[[#This Row],[hourly_rate (USD)]])</f>
        <v>75</v>
      </c>
      <c r="O913" t="str">
        <f>TRIM(CLEAN(Table1[[#This Row],[Updated hourly_rate (USD)]]))</f>
        <v>75</v>
      </c>
      <c r="P913" t="str">
        <f>SUBSTITUTE(SUBSTITUTE(Table1[[#This Row],[Formatted hourly rate]],"USD ",""),"$","")</f>
        <v>75</v>
      </c>
      <c r="Q913">
        <v>2.4</v>
      </c>
      <c r="R913">
        <f>IF(Table1[[#This Row],[rating]]="",2.6,Table1[[#This Row],[rating]])</f>
        <v>2.4</v>
      </c>
      <c r="S913" t="s">
        <v>68</v>
      </c>
      <c r="T913" t="str">
        <f>TRIM(CLEAN(Table1[[#This Row],[is_active]]))</f>
        <v>yes</v>
      </c>
      <c r="U91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13" s="11" t="str">
        <f>TRIM(IF(Table1[[#This Row],[is_active3]]="Unknown","TRUE",Table1[[#This Row],[is_active3]]))</f>
        <v>TRUE</v>
      </c>
      <c r="X913">
        <f>IF(Table1[[#This Row],[client_satisfaction]]&gt;1,Table1[[#This Row],[client_satisfaction]]/100,Table1[[#This Row],[client_satisfaction]])</f>
        <v>0</v>
      </c>
      <c r="Y913">
        <f>IF(Table1[[#This Row],[client_satisfaction2]]=0,0.75,Table1[[#This Row],[client_satisfaction2]])</f>
        <v>0.75</v>
      </c>
    </row>
    <row r="914" spans="1:25" x14ac:dyDescent="0.25">
      <c r="A914" t="s">
        <v>1902</v>
      </c>
      <c r="B914" t="s">
        <v>519</v>
      </c>
      <c r="C914" t="str">
        <f>PROPER(TRIM(SUBSTITUTE(SUBSTITUTE(SUBSTITUTE(Table1[[#This Row],[name]],"Ms. ",""),"Mr. ",""),"Mrs. ","")))</f>
        <v>Robert Evans</v>
      </c>
      <c r="D914" t="s">
        <v>61</v>
      </c>
      <c r="E91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14">
        <v>49</v>
      </c>
      <c r="G914" t="str">
        <f>TRIM(IF(Table1[[#This Row],[age]]="","Unknown",Table1[[#This Row],[age]]))</f>
        <v>49</v>
      </c>
      <c r="H914" t="s">
        <v>153</v>
      </c>
      <c r="I914" t="s">
        <v>154</v>
      </c>
      <c r="J914" t="s">
        <v>51</v>
      </c>
      <c r="L914" s="10" t="str">
        <f>TRIM(IF(Table1[[#This Row],[years_of_experience]]="","Unknown",Table1[[#This Row],[years_of_experience]]))</f>
        <v>Unknown</v>
      </c>
      <c r="M914" t="s">
        <v>45</v>
      </c>
      <c r="N914" t="str">
        <f>IF(Table1[[#This Row],[hourly_rate (USD)]]="",MEDIAN(Table1[hourly_rate (USD)]),Table1[[#This Row],[hourly_rate (USD)]])</f>
        <v>$30</v>
      </c>
      <c r="O914" t="str">
        <f>TRIM(CLEAN(Table1[[#This Row],[Updated hourly_rate (USD)]]))</f>
        <v>$30</v>
      </c>
      <c r="P914" t="str">
        <f>SUBSTITUTE(SUBSTITUTE(Table1[[#This Row],[Formatted hourly rate]],"USD ",""),"$","")</f>
        <v>30</v>
      </c>
      <c r="R914">
        <f>IF(Table1[[#This Row],[rating]]="",2.6,Table1[[#This Row],[rating]])</f>
        <v>2.6</v>
      </c>
      <c r="S914" t="s">
        <v>68</v>
      </c>
      <c r="T914" t="str">
        <f>TRIM(CLEAN(Table1[[#This Row],[is_active]]))</f>
        <v>yes</v>
      </c>
      <c r="U91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14" s="11" t="str">
        <f>TRIM(IF(Table1[[#This Row],[is_active3]]="Unknown","TRUE",Table1[[#This Row],[is_active3]]))</f>
        <v>TRUE</v>
      </c>
      <c r="W914">
        <v>0.74</v>
      </c>
      <c r="X914">
        <f>IF(Table1[[#This Row],[client_satisfaction]]&gt;1,Table1[[#This Row],[client_satisfaction]]/100,Table1[[#This Row],[client_satisfaction]])</f>
        <v>0.74</v>
      </c>
      <c r="Y914">
        <f>IF(Table1[[#This Row],[client_satisfaction2]]=0,0.75,Table1[[#This Row],[client_satisfaction2]])</f>
        <v>0.74</v>
      </c>
    </row>
    <row r="915" spans="1:25" x14ac:dyDescent="0.25">
      <c r="A915" t="s">
        <v>1903</v>
      </c>
      <c r="B915" t="s">
        <v>1904</v>
      </c>
      <c r="C915" t="str">
        <f>PROPER(TRIM(SUBSTITUTE(SUBSTITUTE(SUBSTITUTE(Table1[[#This Row],[name]],"Ms. ",""),"Mr. ",""),"Mrs. ","")))</f>
        <v>Patricia Richardson</v>
      </c>
      <c r="D915" t="s">
        <v>14</v>
      </c>
      <c r="E91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15">
        <v>50</v>
      </c>
      <c r="G915" t="str">
        <f>TRIM(IF(Table1[[#This Row],[age]]="","Unknown",Table1[[#This Row],[age]]))</f>
        <v>50</v>
      </c>
      <c r="H915" t="s">
        <v>153</v>
      </c>
      <c r="I915" t="s">
        <v>154</v>
      </c>
      <c r="J915" t="s">
        <v>23</v>
      </c>
      <c r="K915">
        <v>8</v>
      </c>
      <c r="L915" s="10" t="str">
        <f>TRIM(IF(Table1[[#This Row],[years_of_experience]]="","Unknown",Table1[[#This Row],[years_of_experience]]))</f>
        <v>8</v>
      </c>
      <c r="M915" t="s">
        <v>98</v>
      </c>
      <c r="N915" t="str">
        <f>IF(Table1[[#This Row],[hourly_rate (USD)]]="",MEDIAN(Table1[hourly_rate (USD)]),Table1[[#This Row],[hourly_rate (USD)]])</f>
        <v>USD 50</v>
      </c>
      <c r="O915" t="str">
        <f>TRIM(CLEAN(Table1[[#This Row],[Updated hourly_rate (USD)]]))</f>
        <v>USD 50</v>
      </c>
      <c r="P915" t="str">
        <f>SUBSTITUTE(SUBSTITUTE(Table1[[#This Row],[Formatted hourly rate]],"USD ",""),"$","")</f>
        <v>50</v>
      </c>
      <c r="Q915">
        <v>3.7</v>
      </c>
      <c r="R915">
        <f>IF(Table1[[#This Row],[rating]]="",2.6,Table1[[#This Row],[rating]])</f>
        <v>3.7</v>
      </c>
      <c r="S915" t="s">
        <v>74</v>
      </c>
      <c r="T915" t="str">
        <f>TRIM(CLEAN(Table1[[#This Row],[is_active]]))</f>
        <v>Y</v>
      </c>
      <c r="U91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15" s="11" t="str">
        <f>TRIM(IF(Table1[[#This Row],[is_active3]]="Unknown","TRUE",Table1[[#This Row],[is_active3]]))</f>
        <v>TRUE</v>
      </c>
      <c r="W915">
        <v>0.82</v>
      </c>
      <c r="X915">
        <f>IF(Table1[[#This Row],[client_satisfaction]]&gt;1,Table1[[#This Row],[client_satisfaction]]/100,Table1[[#This Row],[client_satisfaction]])</f>
        <v>0.82</v>
      </c>
      <c r="Y915">
        <f>IF(Table1[[#This Row],[client_satisfaction2]]=0,0.75,Table1[[#This Row],[client_satisfaction2]])</f>
        <v>0.82</v>
      </c>
    </row>
    <row r="916" spans="1:25" x14ac:dyDescent="0.25">
      <c r="A916" t="s">
        <v>1905</v>
      </c>
      <c r="B916" t="s">
        <v>1906</v>
      </c>
      <c r="C916" t="str">
        <f>PROPER(TRIM(SUBSTITUTE(SUBSTITUTE(SUBSTITUTE(Table1[[#This Row],[name]],"Ms. ",""),"Mr. ",""),"Mrs. ","")))</f>
        <v>Carolyn Lopez</v>
      </c>
      <c r="D916" t="s">
        <v>39</v>
      </c>
      <c r="E91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16">
        <v>59</v>
      </c>
      <c r="G916" t="str">
        <f>TRIM(IF(Table1[[#This Row],[age]]="","Unknown",Table1[[#This Row],[age]]))</f>
        <v>59</v>
      </c>
      <c r="H916" t="s">
        <v>112</v>
      </c>
      <c r="I916" t="s">
        <v>113</v>
      </c>
      <c r="J916" t="s">
        <v>114</v>
      </c>
      <c r="K916">
        <v>22</v>
      </c>
      <c r="L916" s="10" t="str">
        <f>TRIM(IF(Table1[[#This Row],[years_of_experience]]="","Unknown",Table1[[#This Row],[years_of_experience]]))</f>
        <v>22</v>
      </c>
      <c r="M916" t="s">
        <v>24</v>
      </c>
      <c r="N916" t="str">
        <f>IF(Table1[[#This Row],[hourly_rate (USD)]]="",MEDIAN(Table1[hourly_rate (USD)]),Table1[[#This Row],[hourly_rate (USD)]])</f>
        <v>USD 100</v>
      </c>
      <c r="O916" t="str">
        <f>TRIM(CLEAN(Table1[[#This Row],[Updated hourly_rate (USD)]]))</f>
        <v>USD 100</v>
      </c>
      <c r="P916" t="str">
        <f>SUBSTITUTE(SUBSTITUTE(Table1[[#This Row],[Formatted hourly rate]],"USD ",""),"$","")</f>
        <v>100</v>
      </c>
      <c r="Q916">
        <v>1.1000000000000001</v>
      </c>
      <c r="R916">
        <f>IF(Table1[[#This Row],[rating]]="",2.6,Table1[[#This Row],[rating]])</f>
        <v>1.1000000000000001</v>
      </c>
      <c r="S916" t="s">
        <v>159</v>
      </c>
      <c r="T916" t="str">
        <f>TRIM(CLEAN(Table1[[#This Row],[is_active]]))</f>
        <v>no</v>
      </c>
      <c r="U91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16" s="11" t="str">
        <f>TRIM(IF(Table1[[#This Row],[is_active3]]="Unknown","TRUE",Table1[[#This Row],[is_active3]]))</f>
        <v>FALSE</v>
      </c>
      <c r="W916">
        <v>0.85</v>
      </c>
      <c r="X916">
        <f>IF(Table1[[#This Row],[client_satisfaction]]&gt;1,Table1[[#This Row],[client_satisfaction]]/100,Table1[[#This Row],[client_satisfaction]])</f>
        <v>0.85</v>
      </c>
      <c r="Y916">
        <f>IF(Table1[[#This Row],[client_satisfaction2]]=0,0.75,Table1[[#This Row],[client_satisfaction2]])</f>
        <v>0.85</v>
      </c>
    </row>
    <row r="917" spans="1:25" x14ac:dyDescent="0.25">
      <c r="A917" t="s">
        <v>1907</v>
      </c>
      <c r="B917" t="s">
        <v>1908</v>
      </c>
      <c r="C917" t="str">
        <f>PROPER(TRIM(SUBSTITUTE(SUBSTITUTE(SUBSTITUTE(Table1[[#This Row],[name]],"Ms. ",""),"Mr. ",""),"Mrs. ","")))</f>
        <v>Kyle Burns</v>
      </c>
      <c r="D917" t="s">
        <v>92</v>
      </c>
      <c r="E91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17">
        <v>33</v>
      </c>
      <c r="G917" t="str">
        <f>TRIM(IF(Table1[[#This Row],[age]]="","Unknown",Table1[[#This Row],[age]]))</f>
        <v>33</v>
      </c>
      <c r="H917" t="s">
        <v>62</v>
      </c>
      <c r="I917" t="s">
        <v>63</v>
      </c>
      <c r="J917" t="s">
        <v>51</v>
      </c>
      <c r="K917">
        <v>8</v>
      </c>
      <c r="L917" s="10" t="str">
        <f>TRIM(IF(Table1[[#This Row],[years_of_experience]]="","Unknown",Table1[[#This Row],[years_of_experience]]))</f>
        <v>8</v>
      </c>
      <c r="M917" t="s">
        <v>52</v>
      </c>
      <c r="N917" t="str">
        <f>IF(Table1[[#This Row],[hourly_rate (USD)]]="",MEDIAN(Table1[hourly_rate (USD)]),Table1[[#This Row],[hourly_rate (USD)]])</f>
        <v>USD 75</v>
      </c>
      <c r="O917" t="str">
        <f>TRIM(CLEAN(Table1[[#This Row],[Updated hourly_rate (USD)]]))</f>
        <v>USD 75</v>
      </c>
      <c r="P917" t="str">
        <f>SUBSTITUTE(SUBSTITUTE(Table1[[#This Row],[Formatted hourly rate]],"USD ",""),"$","")</f>
        <v>75</v>
      </c>
      <c r="Q917">
        <v>2.2999999999999998</v>
      </c>
      <c r="R917">
        <f>IF(Table1[[#This Row],[rating]]="",2.6,Table1[[#This Row],[rating]])</f>
        <v>2.2999999999999998</v>
      </c>
      <c r="S917" t="b">
        <v>1</v>
      </c>
      <c r="T917" t="str">
        <f>TRIM(CLEAN(Table1[[#This Row],[is_active]]))</f>
        <v>TRUE</v>
      </c>
      <c r="U91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17" s="11" t="str">
        <f>TRIM(IF(Table1[[#This Row],[is_active3]]="Unknown","TRUE",Table1[[#This Row],[is_active3]]))</f>
        <v>TRUE</v>
      </c>
      <c r="W917">
        <v>0.68</v>
      </c>
      <c r="X917">
        <f>IF(Table1[[#This Row],[client_satisfaction]]&gt;1,Table1[[#This Row],[client_satisfaction]]/100,Table1[[#This Row],[client_satisfaction]])</f>
        <v>0.68</v>
      </c>
      <c r="Y917">
        <f>IF(Table1[[#This Row],[client_satisfaction2]]=0,0.75,Table1[[#This Row],[client_satisfaction2]])</f>
        <v>0.68</v>
      </c>
    </row>
    <row r="918" spans="1:25" x14ac:dyDescent="0.25">
      <c r="A918" t="s">
        <v>1909</v>
      </c>
      <c r="B918" t="s">
        <v>1910</v>
      </c>
      <c r="C918" t="str">
        <f>PROPER(TRIM(SUBSTITUTE(SUBSTITUTE(SUBSTITUTE(Table1[[#This Row],[name]],"Ms. ",""),"Mr. ",""),"Mrs. ","")))</f>
        <v>Margaret Garcia</v>
      </c>
      <c r="D918" t="s">
        <v>14</v>
      </c>
      <c r="E91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18">
        <v>45</v>
      </c>
      <c r="G918" t="str">
        <f>TRIM(IF(Table1[[#This Row],[age]]="","Unknown",Table1[[#This Row],[age]]))</f>
        <v>45</v>
      </c>
      <c r="H918" t="s">
        <v>128</v>
      </c>
      <c r="I918" t="s">
        <v>22</v>
      </c>
      <c r="J918" t="s">
        <v>35</v>
      </c>
      <c r="K918">
        <v>22</v>
      </c>
      <c r="L918" s="10" t="str">
        <f>TRIM(IF(Table1[[#This Row],[years_of_experience]]="","Unknown",Table1[[#This Row],[years_of_experience]]))</f>
        <v>22</v>
      </c>
      <c r="M918">
        <v>40</v>
      </c>
      <c r="N918">
        <f>IF(Table1[[#This Row],[hourly_rate (USD)]]="",MEDIAN(Table1[hourly_rate (USD)]),Table1[[#This Row],[hourly_rate (USD)]])</f>
        <v>40</v>
      </c>
      <c r="O918" t="str">
        <f>TRIM(CLEAN(Table1[[#This Row],[Updated hourly_rate (USD)]]))</f>
        <v>40</v>
      </c>
      <c r="P918" t="str">
        <f>SUBSTITUTE(SUBSTITUTE(Table1[[#This Row],[Formatted hourly rate]],"USD ",""),"$","")</f>
        <v>40</v>
      </c>
      <c r="Q918">
        <v>3.7</v>
      </c>
      <c r="R918">
        <f>IF(Table1[[#This Row],[rating]]="",2.6,Table1[[#This Row],[rating]])</f>
        <v>3.7</v>
      </c>
      <c r="S918" t="s">
        <v>74</v>
      </c>
      <c r="T918" t="str">
        <f>TRIM(CLEAN(Table1[[#This Row],[is_active]]))</f>
        <v>Y</v>
      </c>
      <c r="U91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18" s="11" t="str">
        <f>TRIM(IF(Table1[[#This Row],[is_active3]]="Unknown","TRUE",Table1[[#This Row],[is_active3]]))</f>
        <v>TRUE</v>
      </c>
      <c r="W918">
        <v>0.99</v>
      </c>
      <c r="X918">
        <f>IF(Table1[[#This Row],[client_satisfaction]]&gt;1,Table1[[#This Row],[client_satisfaction]]/100,Table1[[#This Row],[client_satisfaction]])</f>
        <v>0.99</v>
      </c>
      <c r="Y918">
        <f>IF(Table1[[#This Row],[client_satisfaction2]]=0,0.75,Table1[[#This Row],[client_satisfaction2]])</f>
        <v>0.99</v>
      </c>
    </row>
    <row r="919" spans="1:25" x14ac:dyDescent="0.25">
      <c r="A919" t="s">
        <v>1911</v>
      </c>
      <c r="B919" t="s">
        <v>1912</v>
      </c>
      <c r="C919" t="str">
        <f>PROPER(TRIM(SUBSTITUTE(SUBSTITUTE(SUBSTITUTE(Table1[[#This Row],[name]],"Ms. ",""),"Mr. ",""),"Mrs. ","")))</f>
        <v>Brittany Barker</v>
      </c>
      <c r="D919" t="s">
        <v>39</v>
      </c>
      <c r="E91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19">
        <v>36</v>
      </c>
      <c r="G919" t="str">
        <f>TRIM(IF(Table1[[#This Row],[age]]="","Unknown",Table1[[#This Row],[age]]))</f>
        <v>36</v>
      </c>
      <c r="H919" t="s">
        <v>15</v>
      </c>
      <c r="I919" t="s">
        <v>16</v>
      </c>
      <c r="J919" t="s">
        <v>30</v>
      </c>
      <c r="K919">
        <v>14</v>
      </c>
      <c r="L919" s="10" t="str">
        <f>TRIM(IF(Table1[[#This Row],[years_of_experience]]="","Unknown",Table1[[#This Row],[years_of_experience]]))</f>
        <v>14</v>
      </c>
      <c r="M919">
        <v>30</v>
      </c>
      <c r="N919">
        <f>IF(Table1[[#This Row],[hourly_rate (USD)]]="",MEDIAN(Table1[hourly_rate (USD)]),Table1[[#This Row],[hourly_rate (USD)]])</f>
        <v>30</v>
      </c>
      <c r="O919" t="str">
        <f>TRIM(CLEAN(Table1[[#This Row],[Updated hourly_rate (USD)]]))</f>
        <v>30</v>
      </c>
      <c r="P919" t="str">
        <f>SUBSTITUTE(SUBSTITUTE(Table1[[#This Row],[Formatted hourly rate]],"USD ",""),"$","")</f>
        <v>30</v>
      </c>
      <c r="Q919">
        <v>1.9</v>
      </c>
      <c r="R919">
        <f>IF(Table1[[#This Row],[rating]]="",2.6,Table1[[#This Row],[rating]])</f>
        <v>1.9</v>
      </c>
      <c r="S919">
        <v>0</v>
      </c>
      <c r="T919" t="str">
        <f>TRIM(CLEAN(Table1[[#This Row],[is_active]]))</f>
        <v>0</v>
      </c>
      <c r="U91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19" s="11" t="str">
        <f>TRIM(IF(Table1[[#This Row],[is_active3]]="Unknown","TRUE",Table1[[#This Row],[is_active3]]))</f>
        <v>FALSE</v>
      </c>
      <c r="W919">
        <v>0.62</v>
      </c>
      <c r="X919">
        <f>IF(Table1[[#This Row],[client_satisfaction]]&gt;1,Table1[[#This Row],[client_satisfaction]]/100,Table1[[#This Row],[client_satisfaction]])</f>
        <v>0.62</v>
      </c>
      <c r="Y919">
        <f>IF(Table1[[#This Row],[client_satisfaction2]]=0,0.75,Table1[[#This Row],[client_satisfaction2]])</f>
        <v>0.62</v>
      </c>
    </row>
    <row r="920" spans="1:25" x14ac:dyDescent="0.25">
      <c r="A920" t="s">
        <v>1913</v>
      </c>
      <c r="B920" t="s">
        <v>1914</v>
      </c>
      <c r="C920" t="str">
        <f>PROPER(TRIM(SUBSTITUTE(SUBSTITUTE(SUBSTITUTE(Table1[[#This Row],[name]],"Ms. ",""),"Mr. ",""),"Mrs. ","")))</f>
        <v>Paul Campbell</v>
      </c>
      <c r="D920" t="s">
        <v>27</v>
      </c>
      <c r="E92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20">
        <v>46</v>
      </c>
      <c r="G920" t="str">
        <f>TRIM(IF(Table1[[#This Row],[age]]="","Unknown",Table1[[#This Row],[age]]))</f>
        <v>46</v>
      </c>
      <c r="H920" t="s">
        <v>153</v>
      </c>
      <c r="I920" t="s">
        <v>154</v>
      </c>
      <c r="J920" t="s">
        <v>73</v>
      </c>
      <c r="K920">
        <v>6</v>
      </c>
      <c r="L920" s="10" t="str">
        <f>TRIM(IF(Table1[[#This Row],[years_of_experience]]="","Unknown",Table1[[#This Row],[years_of_experience]]))</f>
        <v>6</v>
      </c>
      <c r="M920">
        <v>30</v>
      </c>
      <c r="N920">
        <f>IF(Table1[[#This Row],[hourly_rate (USD)]]="",MEDIAN(Table1[hourly_rate (USD)]),Table1[[#This Row],[hourly_rate (USD)]])</f>
        <v>30</v>
      </c>
      <c r="O920" t="str">
        <f>TRIM(CLEAN(Table1[[#This Row],[Updated hourly_rate (USD)]]))</f>
        <v>30</v>
      </c>
      <c r="P920" t="str">
        <f>SUBSTITUTE(SUBSTITUTE(Table1[[#This Row],[Formatted hourly rate]],"USD ",""),"$","")</f>
        <v>30</v>
      </c>
      <c r="Q920">
        <v>1.5</v>
      </c>
      <c r="R920">
        <f>IF(Table1[[#This Row],[rating]]="",2.6,Table1[[#This Row],[rating]])</f>
        <v>1.5</v>
      </c>
      <c r="S920" t="s">
        <v>31</v>
      </c>
      <c r="T920" t="str">
        <f>TRIM(CLEAN(Table1[[#This Row],[is_active]]))</f>
        <v>N</v>
      </c>
      <c r="U92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20" s="11" t="str">
        <f>TRIM(IF(Table1[[#This Row],[is_active3]]="Unknown","TRUE",Table1[[#This Row],[is_active3]]))</f>
        <v>FALSE</v>
      </c>
      <c r="X920">
        <f>IF(Table1[[#This Row],[client_satisfaction]]&gt;1,Table1[[#This Row],[client_satisfaction]]/100,Table1[[#This Row],[client_satisfaction]])</f>
        <v>0</v>
      </c>
      <c r="Y920">
        <f>IF(Table1[[#This Row],[client_satisfaction2]]=0,0.75,Table1[[#This Row],[client_satisfaction2]])</f>
        <v>0.75</v>
      </c>
    </row>
    <row r="921" spans="1:25" x14ac:dyDescent="0.25">
      <c r="A921" t="s">
        <v>1915</v>
      </c>
      <c r="B921" t="s">
        <v>1916</v>
      </c>
      <c r="C921" t="str">
        <f>PROPER(TRIM(SUBSTITUTE(SUBSTITUTE(SUBSTITUTE(Table1[[#This Row],[name]],"Ms. ",""),"Mr. ",""),"Mrs. ","")))</f>
        <v>Amy Morrow</v>
      </c>
      <c r="D921" t="s">
        <v>39</v>
      </c>
      <c r="E92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21">
        <v>53</v>
      </c>
      <c r="G921" t="str">
        <f>TRIM(IF(Table1[[#This Row],[age]]="","Unknown",Table1[[#This Row],[age]]))</f>
        <v>53</v>
      </c>
      <c r="H921" t="s">
        <v>62</v>
      </c>
      <c r="I921" t="s">
        <v>63</v>
      </c>
      <c r="J921" t="s">
        <v>30</v>
      </c>
      <c r="K921">
        <v>14</v>
      </c>
      <c r="L921" s="10" t="str">
        <f>TRIM(IF(Table1[[#This Row],[years_of_experience]]="","Unknown",Table1[[#This Row],[years_of_experience]]))</f>
        <v>14</v>
      </c>
      <c r="M921">
        <v>30</v>
      </c>
      <c r="N921">
        <f>IF(Table1[[#This Row],[hourly_rate (USD)]]="",MEDIAN(Table1[hourly_rate (USD)]),Table1[[#This Row],[hourly_rate (USD)]])</f>
        <v>30</v>
      </c>
      <c r="O921" t="str">
        <f>TRIM(CLEAN(Table1[[#This Row],[Updated hourly_rate (USD)]]))</f>
        <v>30</v>
      </c>
      <c r="P921" t="str">
        <f>SUBSTITUTE(SUBSTITUTE(Table1[[#This Row],[Formatted hourly rate]],"USD ",""),"$","")</f>
        <v>30</v>
      </c>
      <c r="Q921">
        <v>0</v>
      </c>
      <c r="R921">
        <f>IF(Table1[[#This Row],[rating]]="",2.6,Table1[[#This Row],[rating]])</f>
        <v>0</v>
      </c>
      <c r="S921" t="b">
        <v>0</v>
      </c>
      <c r="T921" t="str">
        <f>TRIM(CLEAN(Table1[[#This Row],[is_active]]))</f>
        <v>FALSE</v>
      </c>
      <c r="U92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21" s="11" t="str">
        <f>TRIM(IF(Table1[[#This Row],[is_active3]]="Unknown","TRUE",Table1[[#This Row],[is_active3]]))</f>
        <v>TRUE</v>
      </c>
      <c r="W921">
        <v>0.83</v>
      </c>
      <c r="X921">
        <f>IF(Table1[[#This Row],[client_satisfaction]]&gt;1,Table1[[#This Row],[client_satisfaction]]/100,Table1[[#This Row],[client_satisfaction]])</f>
        <v>0.83</v>
      </c>
      <c r="Y921">
        <f>IF(Table1[[#This Row],[client_satisfaction2]]=0,0.75,Table1[[#This Row],[client_satisfaction2]])</f>
        <v>0.83</v>
      </c>
    </row>
    <row r="922" spans="1:25" x14ac:dyDescent="0.25">
      <c r="A922" t="s">
        <v>1917</v>
      </c>
      <c r="B922" t="s">
        <v>1918</v>
      </c>
      <c r="C922" t="str">
        <f>PROPER(TRIM(SUBSTITUTE(SUBSTITUTE(SUBSTITUTE(Table1[[#This Row],[name]],"Ms. ",""),"Mr. ",""),"Mrs. ","")))</f>
        <v>Amy Fitzgerald</v>
      </c>
      <c r="D922" t="s">
        <v>14</v>
      </c>
      <c r="E92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22">
        <v>24</v>
      </c>
      <c r="G922" t="str">
        <f>TRIM(IF(Table1[[#This Row],[age]]="","Unknown",Table1[[#This Row],[age]]))</f>
        <v>24</v>
      </c>
      <c r="H922" t="s">
        <v>58</v>
      </c>
      <c r="I922" t="s">
        <v>22</v>
      </c>
      <c r="J922" t="s">
        <v>35</v>
      </c>
      <c r="K922">
        <v>2</v>
      </c>
      <c r="L922" s="10" t="str">
        <f>TRIM(IF(Table1[[#This Row],[years_of_experience]]="","Unknown",Table1[[#This Row],[years_of_experience]]))</f>
        <v>2</v>
      </c>
      <c r="M922">
        <v>30</v>
      </c>
      <c r="N922">
        <f>IF(Table1[[#This Row],[hourly_rate (USD)]]="",MEDIAN(Table1[hourly_rate (USD)]),Table1[[#This Row],[hourly_rate (USD)]])</f>
        <v>30</v>
      </c>
      <c r="O922" t="str">
        <f>TRIM(CLEAN(Table1[[#This Row],[Updated hourly_rate (USD)]]))</f>
        <v>30</v>
      </c>
      <c r="P922" t="str">
        <f>SUBSTITUTE(SUBSTITUTE(Table1[[#This Row],[Formatted hourly rate]],"USD ",""),"$","")</f>
        <v>30</v>
      </c>
      <c r="Q922">
        <v>3.6</v>
      </c>
      <c r="R922">
        <f>IF(Table1[[#This Row],[rating]]="",2.6,Table1[[#This Row],[rating]])</f>
        <v>3.6</v>
      </c>
      <c r="T922" t="str">
        <f>TRIM(CLEAN(Table1[[#This Row],[is_active]]))</f>
        <v/>
      </c>
      <c r="U92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22" s="11" t="str">
        <f>TRIM(IF(Table1[[#This Row],[is_active3]]="Unknown","TRUE",Table1[[#This Row],[is_active3]]))</f>
        <v>TRUE</v>
      </c>
      <c r="W922">
        <v>0.92</v>
      </c>
      <c r="X922">
        <f>IF(Table1[[#This Row],[client_satisfaction]]&gt;1,Table1[[#This Row],[client_satisfaction]]/100,Table1[[#This Row],[client_satisfaction]])</f>
        <v>0.92</v>
      </c>
      <c r="Y922">
        <f>IF(Table1[[#This Row],[client_satisfaction2]]=0,0.75,Table1[[#This Row],[client_satisfaction2]])</f>
        <v>0.92</v>
      </c>
    </row>
    <row r="923" spans="1:25" x14ac:dyDescent="0.25">
      <c r="A923" t="s">
        <v>1919</v>
      </c>
      <c r="B923" t="s">
        <v>1920</v>
      </c>
      <c r="C923" t="str">
        <f>PROPER(TRIM(SUBSTITUTE(SUBSTITUTE(SUBSTITUTE(Table1[[#This Row],[name]],"Ms. ",""),"Mr. ",""),"Mrs. ","")))</f>
        <v>Anita Becker</v>
      </c>
      <c r="D923" t="s">
        <v>39</v>
      </c>
      <c r="E92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23">
        <v>49</v>
      </c>
      <c r="G923" t="str">
        <f>TRIM(IF(Table1[[#This Row],[age]]="","Unknown",Table1[[#This Row],[age]]))</f>
        <v>49</v>
      </c>
      <c r="H923" t="s">
        <v>190</v>
      </c>
      <c r="I923" t="s">
        <v>72</v>
      </c>
      <c r="J923" t="s">
        <v>89</v>
      </c>
      <c r="K923">
        <v>4</v>
      </c>
      <c r="L923" s="10" t="str">
        <f>TRIM(IF(Table1[[#This Row],[years_of_experience]]="","Unknown",Table1[[#This Row],[years_of_experience]]))</f>
        <v>4</v>
      </c>
      <c r="M923" t="s">
        <v>170</v>
      </c>
      <c r="N923" t="str">
        <f>IF(Table1[[#This Row],[hourly_rate (USD)]]="",MEDIAN(Table1[hourly_rate (USD)]),Table1[[#This Row],[hourly_rate (USD)]])</f>
        <v>$75</v>
      </c>
      <c r="O923" t="str">
        <f>TRIM(CLEAN(Table1[[#This Row],[Updated hourly_rate (USD)]]))</f>
        <v>$75</v>
      </c>
      <c r="P923" t="str">
        <f>SUBSTITUTE(SUBSTITUTE(Table1[[#This Row],[Formatted hourly rate]],"USD ",""),"$","")</f>
        <v>75</v>
      </c>
      <c r="Q923">
        <v>2.1</v>
      </c>
      <c r="R923">
        <f>IF(Table1[[#This Row],[rating]]="",2.6,Table1[[#This Row],[rating]])</f>
        <v>2.1</v>
      </c>
      <c r="T923" t="str">
        <f>TRIM(CLEAN(Table1[[#This Row],[is_active]]))</f>
        <v/>
      </c>
      <c r="U92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23" s="11" t="str">
        <f>TRIM(IF(Table1[[#This Row],[is_active3]]="Unknown","TRUE",Table1[[#This Row],[is_active3]]))</f>
        <v>TRUE</v>
      </c>
      <c r="W923">
        <v>0.85</v>
      </c>
      <c r="X923">
        <f>IF(Table1[[#This Row],[client_satisfaction]]&gt;1,Table1[[#This Row],[client_satisfaction]]/100,Table1[[#This Row],[client_satisfaction]])</f>
        <v>0.85</v>
      </c>
      <c r="Y923">
        <f>IF(Table1[[#This Row],[client_satisfaction2]]=0,0.75,Table1[[#This Row],[client_satisfaction2]])</f>
        <v>0.85</v>
      </c>
    </row>
    <row r="924" spans="1:25" x14ac:dyDescent="0.25">
      <c r="A924" t="s">
        <v>1921</v>
      </c>
      <c r="B924" t="s">
        <v>1922</v>
      </c>
      <c r="C924" t="str">
        <f>PROPER(TRIM(SUBSTITUTE(SUBSTITUTE(SUBSTITUTE(Table1[[#This Row],[name]],"Ms. ",""),"Mr. ",""),"Mrs. ","")))</f>
        <v>Amy Brooks</v>
      </c>
      <c r="D924" t="s">
        <v>34</v>
      </c>
      <c r="E92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24">
        <v>49</v>
      </c>
      <c r="G924" t="str">
        <f>TRIM(IF(Table1[[#This Row],[age]]="","Unknown",Table1[[#This Row],[age]]))</f>
        <v>49</v>
      </c>
      <c r="H924" t="s">
        <v>112</v>
      </c>
      <c r="I924" t="s">
        <v>113</v>
      </c>
      <c r="J924" t="s">
        <v>44</v>
      </c>
      <c r="K924">
        <v>4</v>
      </c>
      <c r="L924" s="10" t="str">
        <f>TRIM(IF(Table1[[#This Row],[years_of_experience]]="","Unknown",Table1[[#This Row],[years_of_experience]]))</f>
        <v>4</v>
      </c>
      <c r="M924">
        <v>75</v>
      </c>
      <c r="N924">
        <f>IF(Table1[[#This Row],[hourly_rate (USD)]]="",MEDIAN(Table1[hourly_rate (USD)]),Table1[[#This Row],[hourly_rate (USD)]])</f>
        <v>75</v>
      </c>
      <c r="O924" t="str">
        <f>TRIM(CLEAN(Table1[[#This Row],[Updated hourly_rate (USD)]]))</f>
        <v>75</v>
      </c>
      <c r="P924" t="str">
        <f>SUBSTITUTE(SUBSTITUTE(Table1[[#This Row],[Formatted hourly rate]],"USD ",""),"$","")</f>
        <v>75</v>
      </c>
      <c r="Q924">
        <v>2.9</v>
      </c>
      <c r="R924">
        <f>IF(Table1[[#This Row],[rating]]="",2.6,Table1[[#This Row],[rating]])</f>
        <v>2.9</v>
      </c>
      <c r="S924" t="s">
        <v>31</v>
      </c>
      <c r="T924" t="str">
        <f>TRIM(CLEAN(Table1[[#This Row],[is_active]]))</f>
        <v>N</v>
      </c>
      <c r="U92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24" s="11" t="str">
        <f>TRIM(IF(Table1[[#This Row],[is_active3]]="Unknown","TRUE",Table1[[#This Row],[is_active3]]))</f>
        <v>FALSE</v>
      </c>
      <c r="X924">
        <f>IF(Table1[[#This Row],[client_satisfaction]]&gt;1,Table1[[#This Row],[client_satisfaction]]/100,Table1[[#This Row],[client_satisfaction]])</f>
        <v>0</v>
      </c>
      <c r="Y924">
        <f>IF(Table1[[#This Row],[client_satisfaction2]]=0,0.75,Table1[[#This Row],[client_satisfaction2]])</f>
        <v>0.75</v>
      </c>
    </row>
    <row r="925" spans="1:25" x14ac:dyDescent="0.25">
      <c r="A925" t="s">
        <v>1923</v>
      </c>
      <c r="B925" t="s">
        <v>1924</v>
      </c>
      <c r="C925" t="str">
        <f>PROPER(TRIM(SUBSTITUTE(SUBSTITUTE(SUBSTITUTE(Table1[[#This Row],[name]],"Ms. ",""),"Mr. ",""),"Mrs. ","")))</f>
        <v>Lori Marshall</v>
      </c>
      <c r="D925" t="s">
        <v>20</v>
      </c>
      <c r="E92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25">
        <v>49</v>
      </c>
      <c r="G925" t="str">
        <f>TRIM(IF(Table1[[#This Row],[age]]="","Unknown",Table1[[#This Row],[age]]))</f>
        <v>49</v>
      </c>
      <c r="H925" t="s">
        <v>112</v>
      </c>
      <c r="I925" t="s">
        <v>113</v>
      </c>
      <c r="J925" t="s">
        <v>23</v>
      </c>
      <c r="K925">
        <v>24</v>
      </c>
      <c r="L925" s="10" t="str">
        <f>TRIM(IF(Table1[[#This Row],[years_of_experience]]="","Unknown",Table1[[#This Row],[years_of_experience]]))</f>
        <v>24</v>
      </c>
      <c r="M925">
        <v>100</v>
      </c>
      <c r="N925">
        <f>IF(Table1[[#This Row],[hourly_rate (USD)]]="",MEDIAN(Table1[hourly_rate (USD)]),Table1[[#This Row],[hourly_rate (USD)]])</f>
        <v>100</v>
      </c>
      <c r="O925" t="str">
        <f>TRIM(CLEAN(Table1[[#This Row],[Updated hourly_rate (USD)]]))</f>
        <v>100</v>
      </c>
      <c r="P925" t="str">
        <f>SUBSTITUTE(SUBSTITUTE(Table1[[#This Row],[Formatted hourly rate]],"USD ",""),"$","")</f>
        <v>100</v>
      </c>
      <c r="Q925">
        <v>3.6</v>
      </c>
      <c r="R925">
        <f>IF(Table1[[#This Row],[rating]]="",2.6,Table1[[#This Row],[rating]])</f>
        <v>3.6</v>
      </c>
      <c r="S925" t="b">
        <v>1</v>
      </c>
      <c r="T925" t="str">
        <f>TRIM(CLEAN(Table1[[#This Row],[is_active]]))</f>
        <v>TRUE</v>
      </c>
      <c r="U92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25" s="11" t="str">
        <f>TRIM(IF(Table1[[#This Row],[is_active3]]="Unknown","TRUE",Table1[[#This Row],[is_active3]]))</f>
        <v>TRUE</v>
      </c>
      <c r="X925">
        <f>IF(Table1[[#This Row],[client_satisfaction]]&gt;1,Table1[[#This Row],[client_satisfaction]]/100,Table1[[#This Row],[client_satisfaction]])</f>
        <v>0</v>
      </c>
      <c r="Y925">
        <f>IF(Table1[[#This Row],[client_satisfaction2]]=0,0.75,Table1[[#This Row],[client_satisfaction2]])</f>
        <v>0.75</v>
      </c>
    </row>
    <row r="926" spans="1:25" x14ac:dyDescent="0.25">
      <c r="A926" t="s">
        <v>1925</v>
      </c>
      <c r="B926" t="s">
        <v>1926</v>
      </c>
      <c r="C926" t="str">
        <f>PROPER(TRIM(SUBSTITUTE(SUBSTITUTE(SUBSTITUTE(Table1[[#This Row],[name]],"Ms. ",""),"Mr. ",""),"Mrs. ","")))</f>
        <v>Jennifer Miller</v>
      </c>
      <c r="D926" t="s">
        <v>77</v>
      </c>
      <c r="E92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26">
        <v>58</v>
      </c>
      <c r="G926" t="str">
        <f>TRIM(IF(Table1[[#This Row],[age]]="","Unknown",Table1[[#This Row],[age]]))</f>
        <v>58</v>
      </c>
      <c r="H926" t="s">
        <v>107</v>
      </c>
      <c r="I926" t="s">
        <v>108</v>
      </c>
      <c r="J926" t="s">
        <v>17</v>
      </c>
      <c r="K926">
        <v>29</v>
      </c>
      <c r="L926" s="10" t="str">
        <f>TRIM(IF(Table1[[#This Row],[years_of_experience]]="","Unknown",Table1[[#This Row],[years_of_experience]]))</f>
        <v>29</v>
      </c>
      <c r="M926">
        <v>30</v>
      </c>
      <c r="N926">
        <f>IF(Table1[[#This Row],[hourly_rate (USD)]]="",MEDIAN(Table1[hourly_rate (USD)]),Table1[[#This Row],[hourly_rate (USD)]])</f>
        <v>30</v>
      </c>
      <c r="O926" t="str">
        <f>TRIM(CLEAN(Table1[[#This Row],[Updated hourly_rate (USD)]]))</f>
        <v>30</v>
      </c>
      <c r="P926" t="str">
        <f>SUBSTITUTE(SUBSTITUTE(Table1[[#This Row],[Formatted hourly rate]],"USD ",""),"$","")</f>
        <v>30</v>
      </c>
      <c r="Q926">
        <v>3.3</v>
      </c>
      <c r="R926">
        <f>IF(Table1[[#This Row],[rating]]="",2.6,Table1[[#This Row],[rating]])</f>
        <v>3.3</v>
      </c>
      <c r="S926" t="s">
        <v>68</v>
      </c>
      <c r="T926" t="str">
        <f>TRIM(CLEAN(Table1[[#This Row],[is_active]]))</f>
        <v>yes</v>
      </c>
      <c r="U92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26" s="11" t="str">
        <f>TRIM(IF(Table1[[#This Row],[is_active3]]="Unknown","TRUE",Table1[[#This Row],[is_active3]]))</f>
        <v>TRUE</v>
      </c>
      <c r="W926">
        <v>0.89</v>
      </c>
      <c r="X926">
        <f>IF(Table1[[#This Row],[client_satisfaction]]&gt;1,Table1[[#This Row],[client_satisfaction]]/100,Table1[[#This Row],[client_satisfaction]])</f>
        <v>0.89</v>
      </c>
      <c r="Y926">
        <f>IF(Table1[[#This Row],[client_satisfaction2]]=0,0.75,Table1[[#This Row],[client_satisfaction2]])</f>
        <v>0.89</v>
      </c>
    </row>
    <row r="927" spans="1:25" x14ac:dyDescent="0.25">
      <c r="A927" t="s">
        <v>1927</v>
      </c>
      <c r="B927" t="s">
        <v>1928</v>
      </c>
      <c r="C927" t="str">
        <f>PROPER(TRIM(SUBSTITUTE(SUBSTITUTE(SUBSTITUTE(Table1[[#This Row],[name]],"Ms. ",""),"Mr. ",""),"Mrs. ","")))</f>
        <v>Thomas Young</v>
      </c>
      <c r="D927" t="s">
        <v>61</v>
      </c>
      <c r="E92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27">
        <v>50</v>
      </c>
      <c r="G927" t="str">
        <f>TRIM(IF(Table1[[#This Row],[age]]="","Unknown",Table1[[#This Row],[age]]))</f>
        <v>50</v>
      </c>
      <c r="H927" t="s">
        <v>153</v>
      </c>
      <c r="I927" t="s">
        <v>154</v>
      </c>
      <c r="J927" t="s">
        <v>73</v>
      </c>
      <c r="K927">
        <v>13</v>
      </c>
      <c r="L927" s="10" t="str">
        <f>TRIM(IF(Table1[[#This Row],[years_of_experience]]="","Unknown",Table1[[#This Row],[years_of_experience]]))</f>
        <v>13</v>
      </c>
      <c r="N927">
        <f>IF(Table1[[#This Row],[hourly_rate (USD)]]="",MEDIAN(Table1[hourly_rate (USD)]),Table1[[#This Row],[hourly_rate (USD)]])</f>
        <v>50</v>
      </c>
      <c r="O927" t="str">
        <f>TRIM(CLEAN(Table1[[#This Row],[Updated hourly_rate (USD)]]))</f>
        <v>50</v>
      </c>
      <c r="P927" t="str">
        <f>SUBSTITUTE(SUBSTITUTE(Table1[[#This Row],[Formatted hourly rate]],"USD ",""),"$","")</f>
        <v>50</v>
      </c>
      <c r="Q927">
        <v>2.5</v>
      </c>
      <c r="R927">
        <f>IF(Table1[[#This Row],[rating]]="",2.6,Table1[[#This Row],[rating]])</f>
        <v>2.5</v>
      </c>
      <c r="S927" t="s">
        <v>74</v>
      </c>
      <c r="T927" t="str">
        <f>TRIM(CLEAN(Table1[[#This Row],[is_active]]))</f>
        <v>Y</v>
      </c>
      <c r="U92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27" s="11" t="str">
        <f>TRIM(IF(Table1[[#This Row],[is_active3]]="Unknown","TRUE",Table1[[#This Row],[is_active3]]))</f>
        <v>TRUE</v>
      </c>
      <c r="W927">
        <v>0.81</v>
      </c>
      <c r="X927">
        <f>IF(Table1[[#This Row],[client_satisfaction]]&gt;1,Table1[[#This Row],[client_satisfaction]]/100,Table1[[#This Row],[client_satisfaction]])</f>
        <v>0.81</v>
      </c>
      <c r="Y927">
        <f>IF(Table1[[#This Row],[client_satisfaction2]]=0,0.75,Table1[[#This Row],[client_satisfaction2]])</f>
        <v>0.81</v>
      </c>
    </row>
    <row r="928" spans="1:25" x14ac:dyDescent="0.25">
      <c r="A928" t="s">
        <v>1929</v>
      </c>
      <c r="B928" t="s">
        <v>1930</v>
      </c>
      <c r="C928" t="str">
        <f>PROPER(TRIM(SUBSTITUTE(SUBSTITUTE(SUBSTITUTE(Table1[[#This Row],[name]],"Ms. ",""),"Mr. ",""),"Mrs. ","")))</f>
        <v>Zachary Larsen</v>
      </c>
      <c r="D928" t="s">
        <v>92</v>
      </c>
      <c r="E92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28">
        <v>27</v>
      </c>
      <c r="G928" t="str">
        <f>TRIM(IF(Table1[[#This Row],[age]]="","Unknown",Table1[[#This Row],[age]]))</f>
        <v>27</v>
      </c>
      <c r="H928" t="s">
        <v>153</v>
      </c>
      <c r="I928" t="s">
        <v>154</v>
      </c>
      <c r="J928" t="s">
        <v>89</v>
      </c>
      <c r="K928">
        <v>1</v>
      </c>
      <c r="L928" s="10" t="str">
        <f>TRIM(IF(Table1[[#This Row],[years_of_experience]]="","Unknown",Table1[[#This Row],[years_of_experience]]))</f>
        <v>1</v>
      </c>
      <c r="M928" t="s">
        <v>24</v>
      </c>
      <c r="N928" t="str">
        <f>IF(Table1[[#This Row],[hourly_rate (USD)]]="",MEDIAN(Table1[hourly_rate (USD)]),Table1[[#This Row],[hourly_rate (USD)]])</f>
        <v>USD 100</v>
      </c>
      <c r="O928" t="str">
        <f>TRIM(CLEAN(Table1[[#This Row],[Updated hourly_rate (USD)]]))</f>
        <v>USD 100</v>
      </c>
      <c r="P928" t="str">
        <f>SUBSTITUTE(SUBSTITUTE(Table1[[#This Row],[Formatted hourly rate]],"USD ",""),"$","")</f>
        <v>100</v>
      </c>
      <c r="Q928">
        <v>3.7</v>
      </c>
      <c r="R928">
        <f>IF(Table1[[#This Row],[rating]]="",2.6,Table1[[#This Row],[rating]])</f>
        <v>3.7</v>
      </c>
      <c r="S928" t="s">
        <v>74</v>
      </c>
      <c r="T928" t="str">
        <f>TRIM(CLEAN(Table1[[#This Row],[is_active]]))</f>
        <v>Y</v>
      </c>
      <c r="U92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28" s="11" t="str">
        <f>TRIM(IF(Table1[[#This Row],[is_active3]]="Unknown","TRUE",Table1[[#This Row],[is_active3]]))</f>
        <v>TRUE</v>
      </c>
      <c r="W928">
        <v>61</v>
      </c>
      <c r="X928">
        <f>IF(Table1[[#This Row],[client_satisfaction]]&gt;1,Table1[[#This Row],[client_satisfaction]]/100,Table1[[#This Row],[client_satisfaction]])</f>
        <v>0.61</v>
      </c>
      <c r="Y928">
        <f>IF(Table1[[#This Row],[client_satisfaction2]]=0,0.75,Table1[[#This Row],[client_satisfaction2]])</f>
        <v>0.61</v>
      </c>
    </row>
    <row r="929" spans="1:25" x14ac:dyDescent="0.25">
      <c r="A929" t="s">
        <v>1931</v>
      </c>
      <c r="B929" t="s">
        <v>1932</v>
      </c>
      <c r="C929" t="str">
        <f>PROPER(TRIM(SUBSTITUTE(SUBSTITUTE(SUBSTITUTE(Table1[[#This Row],[name]],"Ms. ",""),"Mr. ",""),"Mrs. ","")))</f>
        <v>Valerie Gutierrez</v>
      </c>
      <c r="D929" t="s">
        <v>34</v>
      </c>
      <c r="E92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29">
        <v>20</v>
      </c>
      <c r="G929" t="str">
        <f>TRIM(IF(Table1[[#This Row],[age]]="","Unknown",Table1[[#This Row],[age]]))</f>
        <v>20</v>
      </c>
      <c r="H929" t="s">
        <v>112</v>
      </c>
      <c r="I929" t="s">
        <v>113</v>
      </c>
      <c r="J929" t="s">
        <v>114</v>
      </c>
      <c r="L929" s="10" t="str">
        <f>TRIM(IF(Table1[[#This Row],[years_of_experience]]="","Unknown",Table1[[#This Row],[years_of_experience]]))</f>
        <v>Unknown</v>
      </c>
      <c r="M929" t="s">
        <v>45</v>
      </c>
      <c r="N929" t="str">
        <f>IF(Table1[[#This Row],[hourly_rate (USD)]]="",MEDIAN(Table1[hourly_rate (USD)]),Table1[[#This Row],[hourly_rate (USD)]])</f>
        <v>$30</v>
      </c>
      <c r="O929" t="str">
        <f>TRIM(CLEAN(Table1[[#This Row],[Updated hourly_rate (USD)]]))</f>
        <v>$30</v>
      </c>
      <c r="P929" t="str">
        <f>SUBSTITUTE(SUBSTITUTE(Table1[[#This Row],[Formatted hourly rate]],"USD ",""),"$","")</f>
        <v>30</v>
      </c>
      <c r="Q929">
        <v>4.5999999999999996</v>
      </c>
      <c r="R929">
        <f>IF(Table1[[#This Row],[rating]]="",2.6,Table1[[#This Row],[rating]])</f>
        <v>4.5999999999999996</v>
      </c>
      <c r="S929">
        <v>1</v>
      </c>
      <c r="T929" t="str">
        <f>TRIM(CLEAN(Table1[[#This Row],[is_active]]))</f>
        <v>1</v>
      </c>
      <c r="U92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29" s="11" t="str">
        <f>TRIM(IF(Table1[[#This Row],[is_active3]]="Unknown","TRUE",Table1[[#This Row],[is_active3]]))</f>
        <v>TRUE</v>
      </c>
      <c r="X929">
        <f>IF(Table1[[#This Row],[client_satisfaction]]&gt;1,Table1[[#This Row],[client_satisfaction]]/100,Table1[[#This Row],[client_satisfaction]])</f>
        <v>0</v>
      </c>
      <c r="Y929">
        <f>IF(Table1[[#This Row],[client_satisfaction2]]=0,0.75,Table1[[#This Row],[client_satisfaction2]])</f>
        <v>0.75</v>
      </c>
    </row>
    <row r="930" spans="1:25" x14ac:dyDescent="0.25">
      <c r="A930" t="s">
        <v>1933</v>
      </c>
      <c r="B930" t="s">
        <v>1934</v>
      </c>
      <c r="C930" t="str">
        <f>PROPER(TRIM(SUBSTITUTE(SUBSTITUTE(SUBSTITUTE(Table1[[#This Row],[name]],"Ms. ",""),"Mr. ",""),"Mrs. ","")))</f>
        <v>Daniel Parker</v>
      </c>
      <c r="D930" t="s">
        <v>61</v>
      </c>
      <c r="E93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30">
        <v>52</v>
      </c>
      <c r="G930" t="str">
        <f>TRIM(IF(Table1[[#This Row],[age]]="","Unknown",Table1[[#This Row],[age]]))</f>
        <v>52</v>
      </c>
      <c r="H930" t="s">
        <v>124</v>
      </c>
      <c r="I930" t="s">
        <v>125</v>
      </c>
      <c r="J930" t="s">
        <v>17</v>
      </c>
      <c r="K930">
        <v>15</v>
      </c>
      <c r="L930" s="10" t="str">
        <f>TRIM(IF(Table1[[#This Row],[years_of_experience]]="","Unknown",Table1[[#This Row],[years_of_experience]]))</f>
        <v>15</v>
      </c>
      <c r="M930" t="s">
        <v>36</v>
      </c>
      <c r="N930" t="str">
        <f>IF(Table1[[#This Row],[hourly_rate (USD)]]="",MEDIAN(Table1[hourly_rate (USD)]),Table1[[#This Row],[hourly_rate (USD)]])</f>
        <v>$40</v>
      </c>
      <c r="O930" t="str">
        <f>TRIM(CLEAN(Table1[[#This Row],[Updated hourly_rate (USD)]]))</f>
        <v>$40</v>
      </c>
      <c r="P930" t="str">
        <f>SUBSTITUTE(SUBSTITUTE(Table1[[#This Row],[Formatted hourly rate]],"USD ",""),"$","")</f>
        <v>40</v>
      </c>
      <c r="Q930">
        <v>0</v>
      </c>
      <c r="R930">
        <f>IF(Table1[[#This Row],[rating]]="",2.6,Table1[[#This Row],[rating]])</f>
        <v>0</v>
      </c>
      <c r="S930">
        <v>1</v>
      </c>
      <c r="T930" t="str">
        <f>TRIM(CLEAN(Table1[[#This Row],[is_active]]))</f>
        <v>1</v>
      </c>
      <c r="U93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30" s="11" t="str">
        <f>TRIM(IF(Table1[[#This Row],[is_active3]]="Unknown","TRUE",Table1[[#This Row],[is_active3]]))</f>
        <v>TRUE</v>
      </c>
      <c r="W930">
        <v>0.92</v>
      </c>
      <c r="X930">
        <f>IF(Table1[[#This Row],[client_satisfaction]]&gt;1,Table1[[#This Row],[client_satisfaction]]/100,Table1[[#This Row],[client_satisfaction]])</f>
        <v>0.92</v>
      </c>
      <c r="Y930">
        <f>IF(Table1[[#This Row],[client_satisfaction2]]=0,0.75,Table1[[#This Row],[client_satisfaction2]])</f>
        <v>0.92</v>
      </c>
    </row>
    <row r="931" spans="1:25" x14ac:dyDescent="0.25">
      <c r="A931" t="s">
        <v>1935</v>
      </c>
      <c r="B931" t="s">
        <v>1936</v>
      </c>
      <c r="C931" t="str">
        <f>PROPER(TRIM(SUBSTITUTE(SUBSTITUTE(SUBSTITUTE(Table1[[#This Row],[name]],"Ms. ",""),"Mr. ",""),"Mrs. ","")))</f>
        <v>Nicole Bennett</v>
      </c>
      <c r="D931" t="s">
        <v>77</v>
      </c>
      <c r="E93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31">
        <v>22</v>
      </c>
      <c r="G931" t="str">
        <f>TRIM(IF(Table1[[#This Row],[age]]="","Unknown",Table1[[#This Row],[age]]))</f>
        <v>22</v>
      </c>
      <c r="H931" t="s">
        <v>135</v>
      </c>
      <c r="I931" t="s">
        <v>136</v>
      </c>
      <c r="J931" t="s">
        <v>114</v>
      </c>
      <c r="K931">
        <v>2</v>
      </c>
      <c r="L931" s="10" t="str">
        <f>TRIM(IF(Table1[[#This Row],[years_of_experience]]="","Unknown",Table1[[#This Row],[years_of_experience]]))</f>
        <v>2</v>
      </c>
      <c r="M931">
        <v>30</v>
      </c>
      <c r="N931">
        <f>IF(Table1[[#This Row],[hourly_rate (USD)]]="",MEDIAN(Table1[hourly_rate (USD)]),Table1[[#This Row],[hourly_rate (USD)]])</f>
        <v>30</v>
      </c>
      <c r="O931" t="str">
        <f>TRIM(CLEAN(Table1[[#This Row],[Updated hourly_rate (USD)]]))</f>
        <v>30</v>
      </c>
      <c r="P931" t="str">
        <f>SUBSTITUTE(SUBSTITUTE(Table1[[#This Row],[Formatted hourly rate]],"USD ",""),"$","")</f>
        <v>30</v>
      </c>
      <c r="Q931">
        <v>2</v>
      </c>
      <c r="R931">
        <f>IF(Table1[[#This Row],[rating]]="",2.6,Table1[[#This Row],[rating]])</f>
        <v>2</v>
      </c>
      <c r="S931" t="s">
        <v>159</v>
      </c>
      <c r="T931" t="str">
        <f>TRIM(CLEAN(Table1[[#This Row],[is_active]]))</f>
        <v>no</v>
      </c>
      <c r="U93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31" s="11" t="str">
        <f>TRIM(IF(Table1[[#This Row],[is_active3]]="Unknown","TRUE",Table1[[#This Row],[is_active3]]))</f>
        <v>FALSE</v>
      </c>
      <c r="W931">
        <v>0.96</v>
      </c>
      <c r="X931">
        <f>IF(Table1[[#This Row],[client_satisfaction]]&gt;1,Table1[[#This Row],[client_satisfaction]]/100,Table1[[#This Row],[client_satisfaction]])</f>
        <v>0.96</v>
      </c>
      <c r="Y931">
        <f>IF(Table1[[#This Row],[client_satisfaction2]]=0,0.75,Table1[[#This Row],[client_satisfaction2]])</f>
        <v>0.96</v>
      </c>
    </row>
    <row r="932" spans="1:25" x14ac:dyDescent="0.25">
      <c r="A932" t="s">
        <v>1937</v>
      </c>
      <c r="B932" t="s">
        <v>1938</v>
      </c>
      <c r="C932" t="str">
        <f>PROPER(TRIM(SUBSTITUTE(SUBSTITUTE(SUBSTITUTE(Table1[[#This Row],[name]],"Ms. ",""),"Mr. ",""),"Mrs. ","")))</f>
        <v>Lauren Lowery</v>
      </c>
      <c r="D932" t="s">
        <v>77</v>
      </c>
      <c r="E93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32">
        <v>38</v>
      </c>
      <c r="G932" t="str">
        <f>TRIM(IF(Table1[[#This Row],[age]]="","Unknown",Table1[[#This Row],[age]]))</f>
        <v>38</v>
      </c>
      <c r="H932" t="s">
        <v>62</v>
      </c>
      <c r="I932" t="s">
        <v>63</v>
      </c>
      <c r="J932" t="s">
        <v>35</v>
      </c>
      <c r="K932">
        <v>14</v>
      </c>
      <c r="L932" s="10" t="str">
        <f>TRIM(IF(Table1[[#This Row],[years_of_experience]]="","Unknown",Table1[[#This Row],[years_of_experience]]))</f>
        <v>14</v>
      </c>
      <c r="M932">
        <v>100</v>
      </c>
      <c r="N932">
        <f>IF(Table1[[#This Row],[hourly_rate (USD)]]="",MEDIAN(Table1[hourly_rate (USD)]),Table1[[#This Row],[hourly_rate (USD)]])</f>
        <v>100</v>
      </c>
      <c r="O932" t="str">
        <f>TRIM(CLEAN(Table1[[#This Row],[Updated hourly_rate (USD)]]))</f>
        <v>100</v>
      </c>
      <c r="P932" t="str">
        <f>SUBSTITUTE(SUBSTITUTE(Table1[[#This Row],[Formatted hourly rate]],"USD ",""),"$","")</f>
        <v>100</v>
      </c>
      <c r="Q932">
        <v>1.7</v>
      </c>
      <c r="R932">
        <f>IF(Table1[[#This Row],[rating]]="",2.6,Table1[[#This Row],[rating]])</f>
        <v>1.7</v>
      </c>
      <c r="S932" t="b">
        <v>0</v>
      </c>
      <c r="T932" t="str">
        <f>TRIM(CLEAN(Table1[[#This Row],[is_active]]))</f>
        <v>FALSE</v>
      </c>
      <c r="U93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32" s="11" t="str">
        <f>TRIM(IF(Table1[[#This Row],[is_active3]]="Unknown","TRUE",Table1[[#This Row],[is_active3]]))</f>
        <v>TRUE</v>
      </c>
      <c r="W932">
        <v>0.66</v>
      </c>
      <c r="X932">
        <f>IF(Table1[[#This Row],[client_satisfaction]]&gt;1,Table1[[#This Row],[client_satisfaction]]/100,Table1[[#This Row],[client_satisfaction]])</f>
        <v>0.66</v>
      </c>
      <c r="Y932">
        <f>IF(Table1[[#This Row],[client_satisfaction2]]=0,0.75,Table1[[#This Row],[client_satisfaction2]])</f>
        <v>0.66</v>
      </c>
    </row>
    <row r="933" spans="1:25" x14ac:dyDescent="0.25">
      <c r="A933" t="s">
        <v>1939</v>
      </c>
      <c r="B933" t="s">
        <v>1940</v>
      </c>
      <c r="C933" t="str">
        <f>PROPER(TRIM(SUBSTITUTE(SUBSTITUTE(SUBSTITUTE(Table1[[#This Row],[name]],"Ms. ",""),"Mr. ",""),"Mrs. ","")))</f>
        <v>Alexander Woodward</v>
      </c>
      <c r="D933" t="s">
        <v>27</v>
      </c>
      <c r="E93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33">
        <v>21</v>
      </c>
      <c r="G933" t="str">
        <f>TRIM(IF(Table1[[#This Row],[age]]="","Unknown",Table1[[#This Row],[age]]))</f>
        <v>21</v>
      </c>
      <c r="H933" t="s">
        <v>128</v>
      </c>
      <c r="I933" t="s">
        <v>22</v>
      </c>
      <c r="J933" t="s">
        <v>30</v>
      </c>
      <c r="K933">
        <v>0</v>
      </c>
      <c r="L933" s="10" t="str">
        <f>TRIM(IF(Table1[[#This Row],[years_of_experience]]="","Unknown",Table1[[#This Row],[years_of_experience]]))</f>
        <v>0</v>
      </c>
      <c r="M933" t="s">
        <v>24</v>
      </c>
      <c r="N933" t="str">
        <f>IF(Table1[[#This Row],[hourly_rate (USD)]]="",MEDIAN(Table1[hourly_rate (USD)]),Table1[[#This Row],[hourly_rate (USD)]])</f>
        <v>USD 100</v>
      </c>
      <c r="O933" t="str">
        <f>TRIM(CLEAN(Table1[[#This Row],[Updated hourly_rate (USD)]]))</f>
        <v>USD 100</v>
      </c>
      <c r="P933" t="str">
        <f>SUBSTITUTE(SUBSTITUTE(Table1[[#This Row],[Formatted hourly rate]],"USD ",""),"$","")</f>
        <v>100</v>
      </c>
      <c r="Q933">
        <v>3</v>
      </c>
      <c r="R933">
        <f>IF(Table1[[#This Row],[rating]]="",2.6,Table1[[#This Row],[rating]])</f>
        <v>3</v>
      </c>
      <c r="S933" t="s">
        <v>31</v>
      </c>
      <c r="T933" t="str">
        <f>TRIM(CLEAN(Table1[[#This Row],[is_active]]))</f>
        <v>N</v>
      </c>
      <c r="U93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33" s="11" t="str">
        <f>TRIM(IF(Table1[[#This Row],[is_active3]]="Unknown","TRUE",Table1[[#This Row],[is_active3]]))</f>
        <v>FALSE</v>
      </c>
      <c r="W933">
        <v>0.64</v>
      </c>
      <c r="X933">
        <f>IF(Table1[[#This Row],[client_satisfaction]]&gt;1,Table1[[#This Row],[client_satisfaction]]/100,Table1[[#This Row],[client_satisfaction]])</f>
        <v>0.64</v>
      </c>
      <c r="Y933">
        <f>IF(Table1[[#This Row],[client_satisfaction2]]=0,0.75,Table1[[#This Row],[client_satisfaction2]])</f>
        <v>0.64</v>
      </c>
    </row>
    <row r="934" spans="1:25" x14ac:dyDescent="0.25">
      <c r="A934" t="s">
        <v>1941</v>
      </c>
      <c r="B934" t="s">
        <v>1942</v>
      </c>
      <c r="C934" t="str">
        <f>PROPER(TRIM(SUBSTITUTE(SUBSTITUTE(SUBSTITUTE(Table1[[#This Row],[name]],"Ms. ",""),"Mr. ",""),"Mrs. ","")))</f>
        <v>Anthony Walter</v>
      </c>
      <c r="D934" t="s">
        <v>61</v>
      </c>
      <c r="E93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34">
        <v>41</v>
      </c>
      <c r="G934" t="str">
        <f>TRIM(IF(Table1[[#This Row],[age]]="","Unknown",Table1[[#This Row],[age]]))</f>
        <v>41</v>
      </c>
      <c r="H934" t="s">
        <v>21</v>
      </c>
      <c r="I934" t="s">
        <v>22</v>
      </c>
      <c r="J934" t="s">
        <v>44</v>
      </c>
      <c r="K934">
        <v>15</v>
      </c>
      <c r="L934" s="10" t="str">
        <f>TRIM(IF(Table1[[#This Row],[years_of_experience]]="","Unknown",Table1[[#This Row],[years_of_experience]]))</f>
        <v>15</v>
      </c>
      <c r="M934">
        <v>40</v>
      </c>
      <c r="N934">
        <f>IF(Table1[[#This Row],[hourly_rate (USD)]]="",MEDIAN(Table1[hourly_rate (USD)]),Table1[[#This Row],[hourly_rate (USD)]])</f>
        <v>40</v>
      </c>
      <c r="O934" t="str">
        <f>TRIM(CLEAN(Table1[[#This Row],[Updated hourly_rate (USD)]]))</f>
        <v>40</v>
      </c>
      <c r="P934" t="str">
        <f>SUBSTITUTE(SUBSTITUTE(Table1[[#This Row],[Formatted hourly rate]],"USD ",""),"$","")</f>
        <v>40</v>
      </c>
      <c r="Q934">
        <v>3.4</v>
      </c>
      <c r="R934">
        <f>IF(Table1[[#This Row],[rating]]="",2.6,Table1[[#This Row],[rating]])</f>
        <v>3.4</v>
      </c>
      <c r="S934" t="b">
        <v>0</v>
      </c>
      <c r="T934" t="str">
        <f>TRIM(CLEAN(Table1[[#This Row],[is_active]]))</f>
        <v>FALSE</v>
      </c>
      <c r="U934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34" s="11" t="str">
        <f>TRIM(IF(Table1[[#This Row],[is_active3]]="Unknown","TRUE",Table1[[#This Row],[is_active3]]))</f>
        <v>TRUE</v>
      </c>
      <c r="W934">
        <v>1</v>
      </c>
      <c r="X934">
        <f>IF(Table1[[#This Row],[client_satisfaction]]&gt;1,Table1[[#This Row],[client_satisfaction]]/100,Table1[[#This Row],[client_satisfaction]])</f>
        <v>1</v>
      </c>
      <c r="Y934">
        <f>IF(Table1[[#This Row],[client_satisfaction2]]=0,0.75,Table1[[#This Row],[client_satisfaction2]])</f>
        <v>1</v>
      </c>
    </row>
    <row r="935" spans="1:25" x14ac:dyDescent="0.25">
      <c r="A935" t="s">
        <v>1943</v>
      </c>
      <c r="B935" t="s">
        <v>1944</v>
      </c>
      <c r="C935" t="str">
        <f>PROPER(TRIM(SUBSTITUTE(SUBSTITUTE(SUBSTITUTE(Table1[[#This Row],[name]],"Ms. ",""),"Mr. ",""),"Mrs. ","")))</f>
        <v>Valerie Finley</v>
      </c>
      <c r="D935" t="s">
        <v>39</v>
      </c>
      <c r="E93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35">
        <v>33</v>
      </c>
      <c r="G935" t="str">
        <f>TRIM(IF(Table1[[#This Row],[age]]="","Unknown",Table1[[#This Row],[age]]))</f>
        <v>33</v>
      </c>
      <c r="H935" t="s">
        <v>49</v>
      </c>
      <c r="I935" t="s">
        <v>50</v>
      </c>
      <c r="J935" t="s">
        <v>17</v>
      </c>
      <c r="K935">
        <v>6</v>
      </c>
      <c r="L935" s="10" t="str">
        <f>TRIM(IF(Table1[[#This Row],[years_of_experience]]="","Unknown",Table1[[#This Row],[years_of_experience]]))</f>
        <v>6</v>
      </c>
      <c r="M935">
        <v>40</v>
      </c>
      <c r="N935">
        <f>IF(Table1[[#This Row],[hourly_rate (USD)]]="",MEDIAN(Table1[hourly_rate (USD)]),Table1[[#This Row],[hourly_rate (USD)]])</f>
        <v>40</v>
      </c>
      <c r="O935" t="str">
        <f>TRIM(CLEAN(Table1[[#This Row],[Updated hourly_rate (USD)]]))</f>
        <v>40</v>
      </c>
      <c r="P935" t="str">
        <f>SUBSTITUTE(SUBSTITUTE(Table1[[#This Row],[Formatted hourly rate]],"USD ",""),"$","")</f>
        <v>40</v>
      </c>
      <c r="Q935">
        <v>3.2</v>
      </c>
      <c r="R935">
        <f>IF(Table1[[#This Row],[rating]]="",2.6,Table1[[#This Row],[rating]])</f>
        <v>3.2</v>
      </c>
      <c r="S935">
        <v>1</v>
      </c>
      <c r="T935" t="str">
        <f>TRIM(CLEAN(Table1[[#This Row],[is_active]]))</f>
        <v>1</v>
      </c>
      <c r="U93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35" s="11" t="str">
        <f>TRIM(IF(Table1[[#This Row],[is_active3]]="Unknown","TRUE",Table1[[#This Row],[is_active3]]))</f>
        <v>TRUE</v>
      </c>
      <c r="W935">
        <v>0.95</v>
      </c>
      <c r="X935">
        <f>IF(Table1[[#This Row],[client_satisfaction]]&gt;1,Table1[[#This Row],[client_satisfaction]]/100,Table1[[#This Row],[client_satisfaction]])</f>
        <v>0.95</v>
      </c>
      <c r="Y935">
        <f>IF(Table1[[#This Row],[client_satisfaction2]]=0,0.75,Table1[[#This Row],[client_satisfaction2]])</f>
        <v>0.95</v>
      </c>
    </row>
    <row r="936" spans="1:25" x14ac:dyDescent="0.25">
      <c r="A936" t="s">
        <v>1945</v>
      </c>
      <c r="B936" t="s">
        <v>1946</v>
      </c>
      <c r="C936" t="str">
        <f>PROPER(TRIM(SUBSTITUTE(SUBSTITUTE(SUBSTITUTE(Table1[[#This Row],[name]],"Ms. ",""),"Mr. ",""),"Mrs. ","")))</f>
        <v>Deborah Kelley</v>
      </c>
      <c r="D936" t="s">
        <v>14</v>
      </c>
      <c r="E93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36">
        <v>38</v>
      </c>
      <c r="G936" t="str">
        <f>TRIM(IF(Table1[[#This Row],[age]]="","Unknown",Table1[[#This Row],[age]]))</f>
        <v>38</v>
      </c>
      <c r="H936" t="s">
        <v>179</v>
      </c>
      <c r="I936" t="s">
        <v>72</v>
      </c>
      <c r="J936" t="s">
        <v>23</v>
      </c>
      <c r="K936">
        <v>11</v>
      </c>
      <c r="L936" s="10" t="str">
        <f>TRIM(IF(Table1[[#This Row],[years_of_experience]]="","Unknown",Table1[[#This Row],[years_of_experience]]))</f>
        <v>11</v>
      </c>
      <c r="N936">
        <f>IF(Table1[[#This Row],[hourly_rate (USD)]]="",MEDIAN(Table1[hourly_rate (USD)]),Table1[[#This Row],[hourly_rate (USD)]])</f>
        <v>50</v>
      </c>
      <c r="O936" t="str">
        <f>TRIM(CLEAN(Table1[[#This Row],[Updated hourly_rate (USD)]]))</f>
        <v>50</v>
      </c>
      <c r="P936" t="str">
        <f>SUBSTITUTE(SUBSTITUTE(Table1[[#This Row],[Formatted hourly rate]],"USD ",""),"$","")</f>
        <v>50</v>
      </c>
      <c r="Q936">
        <v>2.8</v>
      </c>
      <c r="R936">
        <f>IF(Table1[[#This Row],[rating]]="",2.6,Table1[[#This Row],[rating]])</f>
        <v>2.8</v>
      </c>
      <c r="T936" t="str">
        <f>TRIM(CLEAN(Table1[[#This Row],[is_active]]))</f>
        <v/>
      </c>
      <c r="U93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36" s="11" t="str">
        <f>TRIM(IF(Table1[[#This Row],[is_active3]]="Unknown","TRUE",Table1[[#This Row],[is_active3]]))</f>
        <v>TRUE</v>
      </c>
      <c r="W936">
        <v>91</v>
      </c>
      <c r="X936">
        <f>IF(Table1[[#This Row],[client_satisfaction]]&gt;1,Table1[[#This Row],[client_satisfaction]]/100,Table1[[#This Row],[client_satisfaction]])</f>
        <v>0.91</v>
      </c>
      <c r="Y936">
        <f>IF(Table1[[#This Row],[client_satisfaction2]]=0,0.75,Table1[[#This Row],[client_satisfaction2]])</f>
        <v>0.91</v>
      </c>
    </row>
    <row r="937" spans="1:25" x14ac:dyDescent="0.25">
      <c r="A937" t="s">
        <v>1947</v>
      </c>
      <c r="B937" t="s">
        <v>1948</v>
      </c>
      <c r="C937" t="str">
        <f>PROPER(TRIM(SUBSTITUTE(SUBSTITUTE(SUBSTITUTE(Table1[[#This Row],[name]],"Ms. ",""),"Mr. ",""),"Mrs. ","")))</f>
        <v>Kristina Miller</v>
      </c>
      <c r="D937" t="s">
        <v>34</v>
      </c>
      <c r="E93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37">
        <v>26</v>
      </c>
      <c r="G937" t="str">
        <f>TRIM(IF(Table1[[#This Row],[age]]="","Unknown",Table1[[#This Row],[age]]))</f>
        <v>26</v>
      </c>
      <c r="H937" t="s">
        <v>124</v>
      </c>
      <c r="I937" t="s">
        <v>125</v>
      </c>
      <c r="J937" t="s">
        <v>89</v>
      </c>
      <c r="K937">
        <v>8</v>
      </c>
      <c r="L937" s="10" t="str">
        <f>TRIM(IF(Table1[[#This Row],[years_of_experience]]="","Unknown",Table1[[#This Row],[years_of_experience]]))</f>
        <v>8</v>
      </c>
      <c r="M937" t="s">
        <v>314</v>
      </c>
      <c r="N937" t="str">
        <f>IF(Table1[[#This Row],[hourly_rate (USD)]]="",MEDIAN(Table1[hourly_rate (USD)]),Table1[[#This Row],[hourly_rate (USD)]])</f>
        <v>USD 20</v>
      </c>
      <c r="O937" t="str">
        <f>TRIM(CLEAN(Table1[[#This Row],[Updated hourly_rate (USD)]]))</f>
        <v>USD 20</v>
      </c>
      <c r="P937" t="str">
        <f>SUBSTITUTE(SUBSTITUTE(Table1[[#This Row],[Formatted hourly rate]],"USD ",""),"$","")</f>
        <v>20</v>
      </c>
      <c r="Q937">
        <v>4.0999999999999996</v>
      </c>
      <c r="R937">
        <f>IF(Table1[[#This Row],[rating]]="",2.6,Table1[[#This Row],[rating]])</f>
        <v>4.0999999999999996</v>
      </c>
      <c r="S937" t="s">
        <v>68</v>
      </c>
      <c r="T937" t="str">
        <f>TRIM(CLEAN(Table1[[#This Row],[is_active]]))</f>
        <v>yes</v>
      </c>
      <c r="U93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37" s="11" t="str">
        <f>TRIM(IF(Table1[[#This Row],[is_active3]]="Unknown","TRUE",Table1[[#This Row],[is_active3]]))</f>
        <v>TRUE</v>
      </c>
      <c r="W937">
        <v>0.82</v>
      </c>
      <c r="X937">
        <f>IF(Table1[[#This Row],[client_satisfaction]]&gt;1,Table1[[#This Row],[client_satisfaction]]/100,Table1[[#This Row],[client_satisfaction]])</f>
        <v>0.82</v>
      </c>
      <c r="Y937">
        <f>IF(Table1[[#This Row],[client_satisfaction2]]=0,0.75,Table1[[#This Row],[client_satisfaction2]])</f>
        <v>0.82</v>
      </c>
    </row>
    <row r="938" spans="1:25" x14ac:dyDescent="0.25">
      <c r="A938" t="s">
        <v>1949</v>
      </c>
      <c r="B938" t="s">
        <v>1950</v>
      </c>
      <c r="C938" t="str">
        <f>PROPER(TRIM(SUBSTITUTE(SUBSTITUTE(SUBSTITUTE(Table1[[#This Row],[name]],"Ms. ",""),"Mr. ",""),"Mrs. ","")))</f>
        <v>Anne Hampton</v>
      </c>
      <c r="D938" t="s">
        <v>14</v>
      </c>
      <c r="E93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38">
        <v>43</v>
      </c>
      <c r="G938" t="str">
        <f>TRIM(IF(Table1[[#This Row],[age]]="","Unknown",Table1[[#This Row],[age]]))</f>
        <v>43</v>
      </c>
      <c r="H938" t="s">
        <v>42</v>
      </c>
      <c r="I938" t="s">
        <v>43</v>
      </c>
      <c r="J938" t="s">
        <v>44</v>
      </c>
      <c r="K938">
        <v>3</v>
      </c>
      <c r="L938" s="10" t="str">
        <f>TRIM(IF(Table1[[#This Row],[years_of_experience]]="","Unknown",Table1[[#This Row],[years_of_experience]]))</f>
        <v>3</v>
      </c>
      <c r="M938">
        <v>20</v>
      </c>
      <c r="N938">
        <f>IF(Table1[[#This Row],[hourly_rate (USD)]]="",MEDIAN(Table1[hourly_rate (USD)]),Table1[[#This Row],[hourly_rate (USD)]])</f>
        <v>20</v>
      </c>
      <c r="O938" t="str">
        <f>TRIM(CLEAN(Table1[[#This Row],[Updated hourly_rate (USD)]]))</f>
        <v>20</v>
      </c>
      <c r="P938" t="str">
        <f>SUBSTITUTE(SUBSTITUTE(Table1[[#This Row],[Formatted hourly rate]],"USD ",""),"$","")</f>
        <v>20</v>
      </c>
      <c r="Q938">
        <v>0</v>
      </c>
      <c r="R938">
        <f>IF(Table1[[#This Row],[rating]]="",2.6,Table1[[#This Row],[rating]])</f>
        <v>0</v>
      </c>
      <c r="S938" t="s">
        <v>74</v>
      </c>
      <c r="T938" t="str">
        <f>TRIM(CLEAN(Table1[[#This Row],[is_active]]))</f>
        <v>Y</v>
      </c>
      <c r="U93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38" s="11" t="str">
        <f>TRIM(IF(Table1[[#This Row],[is_active3]]="Unknown","TRUE",Table1[[#This Row],[is_active3]]))</f>
        <v>TRUE</v>
      </c>
      <c r="W938">
        <v>0.95</v>
      </c>
      <c r="X938">
        <f>IF(Table1[[#This Row],[client_satisfaction]]&gt;1,Table1[[#This Row],[client_satisfaction]]/100,Table1[[#This Row],[client_satisfaction]])</f>
        <v>0.95</v>
      </c>
      <c r="Y938">
        <f>IF(Table1[[#This Row],[client_satisfaction2]]=0,0.75,Table1[[#This Row],[client_satisfaction2]])</f>
        <v>0.95</v>
      </c>
    </row>
    <row r="939" spans="1:25" x14ac:dyDescent="0.25">
      <c r="A939" t="s">
        <v>1951</v>
      </c>
      <c r="B939" t="s">
        <v>1952</v>
      </c>
      <c r="C939" t="str">
        <f>PROPER(TRIM(SUBSTITUTE(SUBSTITUTE(SUBSTITUTE(Table1[[#This Row],[name]],"Ms. ",""),"Mr. ",""),"Mrs. ","")))</f>
        <v>Sandra Henry</v>
      </c>
      <c r="D939" t="s">
        <v>77</v>
      </c>
      <c r="E93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39">
        <v>21</v>
      </c>
      <c r="G939" t="str">
        <f>TRIM(IF(Table1[[#This Row],[age]]="","Unknown",Table1[[#This Row],[age]]))</f>
        <v>21</v>
      </c>
      <c r="H939" t="s">
        <v>15</v>
      </c>
      <c r="I939" t="s">
        <v>16</v>
      </c>
      <c r="J939" t="s">
        <v>78</v>
      </c>
      <c r="K939">
        <v>0</v>
      </c>
      <c r="L939" s="10" t="str">
        <f>TRIM(IF(Table1[[#This Row],[years_of_experience]]="","Unknown",Table1[[#This Row],[years_of_experience]]))</f>
        <v>0</v>
      </c>
      <c r="N939">
        <f>IF(Table1[[#This Row],[hourly_rate (USD)]]="",MEDIAN(Table1[hourly_rate (USD)]),Table1[[#This Row],[hourly_rate (USD)]])</f>
        <v>50</v>
      </c>
      <c r="O939" t="str">
        <f>TRIM(CLEAN(Table1[[#This Row],[Updated hourly_rate (USD)]]))</f>
        <v>50</v>
      </c>
      <c r="P939" t="str">
        <f>SUBSTITUTE(SUBSTITUTE(Table1[[#This Row],[Formatted hourly rate]],"USD ",""),"$","")</f>
        <v>50</v>
      </c>
      <c r="Q939">
        <v>0</v>
      </c>
      <c r="R939">
        <f>IF(Table1[[#This Row],[rating]]="",2.6,Table1[[#This Row],[rating]])</f>
        <v>0</v>
      </c>
      <c r="S939">
        <v>1</v>
      </c>
      <c r="T939" t="str">
        <f>TRIM(CLEAN(Table1[[#This Row],[is_active]]))</f>
        <v>1</v>
      </c>
      <c r="U93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39" s="11" t="str">
        <f>TRIM(IF(Table1[[#This Row],[is_active3]]="Unknown","TRUE",Table1[[#This Row],[is_active3]]))</f>
        <v>TRUE</v>
      </c>
      <c r="W939">
        <v>0.95</v>
      </c>
      <c r="X939">
        <f>IF(Table1[[#This Row],[client_satisfaction]]&gt;1,Table1[[#This Row],[client_satisfaction]]/100,Table1[[#This Row],[client_satisfaction]])</f>
        <v>0.95</v>
      </c>
      <c r="Y939">
        <f>IF(Table1[[#This Row],[client_satisfaction2]]=0,0.75,Table1[[#This Row],[client_satisfaction2]])</f>
        <v>0.95</v>
      </c>
    </row>
    <row r="940" spans="1:25" x14ac:dyDescent="0.25">
      <c r="A940" t="s">
        <v>1953</v>
      </c>
      <c r="B940" t="s">
        <v>1954</v>
      </c>
      <c r="C940" t="str">
        <f>PROPER(TRIM(SUBSTITUTE(SUBSTITUTE(SUBSTITUTE(Table1[[#This Row],[name]],"Ms. ",""),"Mr. ",""),"Mrs. ","")))</f>
        <v>Tony Hester</v>
      </c>
      <c r="D940" t="s">
        <v>61</v>
      </c>
      <c r="E94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40">
        <v>47</v>
      </c>
      <c r="G940" t="str">
        <f>TRIM(IF(Table1[[#This Row],[age]]="","Unknown",Table1[[#This Row],[age]]))</f>
        <v>47</v>
      </c>
      <c r="H940" t="s">
        <v>112</v>
      </c>
      <c r="I940" t="s">
        <v>113</v>
      </c>
      <c r="J940" t="s">
        <v>23</v>
      </c>
      <c r="K940">
        <v>7</v>
      </c>
      <c r="L940" s="10" t="str">
        <f>TRIM(IF(Table1[[#This Row],[years_of_experience]]="","Unknown",Table1[[#This Row],[years_of_experience]]))</f>
        <v>7</v>
      </c>
      <c r="M940" t="s">
        <v>109</v>
      </c>
      <c r="N940" t="str">
        <f>IF(Table1[[#This Row],[hourly_rate (USD)]]="",MEDIAN(Table1[hourly_rate (USD)]),Table1[[#This Row],[hourly_rate (USD)]])</f>
        <v>USD 30</v>
      </c>
      <c r="O940" t="str">
        <f>TRIM(CLEAN(Table1[[#This Row],[Updated hourly_rate (USD)]]))</f>
        <v>USD 30</v>
      </c>
      <c r="P940" t="str">
        <f>SUBSTITUTE(SUBSTITUTE(Table1[[#This Row],[Formatted hourly rate]],"USD ",""),"$","")</f>
        <v>30</v>
      </c>
      <c r="R940">
        <f>IF(Table1[[#This Row],[rating]]="",2.6,Table1[[#This Row],[rating]])</f>
        <v>2.6</v>
      </c>
      <c r="T940" t="str">
        <f>TRIM(CLEAN(Table1[[#This Row],[is_active]]))</f>
        <v/>
      </c>
      <c r="U94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40" s="11" t="str">
        <f>TRIM(IF(Table1[[#This Row],[is_active3]]="Unknown","TRUE",Table1[[#This Row],[is_active3]]))</f>
        <v>TRUE</v>
      </c>
      <c r="W940">
        <v>69</v>
      </c>
      <c r="X940">
        <f>IF(Table1[[#This Row],[client_satisfaction]]&gt;1,Table1[[#This Row],[client_satisfaction]]/100,Table1[[#This Row],[client_satisfaction]])</f>
        <v>0.69</v>
      </c>
      <c r="Y940">
        <f>IF(Table1[[#This Row],[client_satisfaction2]]=0,0.75,Table1[[#This Row],[client_satisfaction2]])</f>
        <v>0.69</v>
      </c>
    </row>
    <row r="941" spans="1:25" x14ac:dyDescent="0.25">
      <c r="A941" t="s">
        <v>1955</v>
      </c>
      <c r="B941" t="s">
        <v>1956</v>
      </c>
      <c r="C941" t="str">
        <f>PROPER(TRIM(SUBSTITUTE(SUBSTITUTE(SUBSTITUTE(Table1[[#This Row],[name]],"Ms. ",""),"Mr. ",""),"Mrs. ","")))</f>
        <v>Nathan Davis</v>
      </c>
      <c r="D941" t="s">
        <v>61</v>
      </c>
      <c r="E94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41">
        <v>35</v>
      </c>
      <c r="G941" t="str">
        <f>TRIM(IF(Table1[[#This Row],[age]]="","Unknown",Table1[[#This Row],[age]]))</f>
        <v>35</v>
      </c>
      <c r="H941" t="s">
        <v>190</v>
      </c>
      <c r="I941" t="s">
        <v>72</v>
      </c>
      <c r="J941" t="s">
        <v>30</v>
      </c>
      <c r="K941">
        <v>6</v>
      </c>
      <c r="L941" s="10" t="str">
        <f>TRIM(IF(Table1[[#This Row],[years_of_experience]]="","Unknown",Table1[[#This Row],[years_of_experience]]))</f>
        <v>6</v>
      </c>
      <c r="M941">
        <v>40</v>
      </c>
      <c r="N941">
        <f>IF(Table1[[#This Row],[hourly_rate (USD)]]="",MEDIAN(Table1[hourly_rate (USD)]),Table1[[#This Row],[hourly_rate (USD)]])</f>
        <v>40</v>
      </c>
      <c r="O941" t="str">
        <f>TRIM(CLEAN(Table1[[#This Row],[Updated hourly_rate (USD)]]))</f>
        <v>40</v>
      </c>
      <c r="P941" t="str">
        <f>SUBSTITUTE(SUBSTITUTE(Table1[[#This Row],[Formatted hourly rate]],"USD ",""),"$","")</f>
        <v>40</v>
      </c>
      <c r="R941">
        <f>IF(Table1[[#This Row],[rating]]="",2.6,Table1[[#This Row],[rating]])</f>
        <v>2.6</v>
      </c>
      <c r="S941" t="s">
        <v>68</v>
      </c>
      <c r="T941" t="str">
        <f>TRIM(CLEAN(Table1[[#This Row],[is_active]]))</f>
        <v>yes</v>
      </c>
      <c r="U94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41" s="11" t="str">
        <f>TRIM(IF(Table1[[#This Row],[is_active3]]="Unknown","TRUE",Table1[[#This Row],[is_active3]]))</f>
        <v>TRUE</v>
      </c>
      <c r="W941">
        <v>0.91</v>
      </c>
      <c r="X941">
        <f>IF(Table1[[#This Row],[client_satisfaction]]&gt;1,Table1[[#This Row],[client_satisfaction]]/100,Table1[[#This Row],[client_satisfaction]])</f>
        <v>0.91</v>
      </c>
      <c r="Y941">
        <f>IF(Table1[[#This Row],[client_satisfaction2]]=0,0.75,Table1[[#This Row],[client_satisfaction2]])</f>
        <v>0.91</v>
      </c>
    </row>
    <row r="942" spans="1:25" x14ac:dyDescent="0.25">
      <c r="A942" t="s">
        <v>1957</v>
      </c>
      <c r="B942" t="s">
        <v>1958</v>
      </c>
      <c r="C942" t="str">
        <f>PROPER(TRIM(SUBSTITUTE(SUBSTITUTE(SUBSTITUTE(Table1[[#This Row],[name]],"Ms. ",""),"Mr. ",""),"Mrs. ","")))</f>
        <v>Erica Jackson</v>
      </c>
      <c r="D942" t="s">
        <v>77</v>
      </c>
      <c r="E94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42">
        <v>37</v>
      </c>
      <c r="G942" t="str">
        <f>TRIM(IF(Table1[[#This Row],[age]]="","Unknown",Table1[[#This Row],[age]]))</f>
        <v>37</v>
      </c>
      <c r="H942" t="s">
        <v>49</v>
      </c>
      <c r="I942" t="s">
        <v>50</v>
      </c>
      <c r="J942" t="s">
        <v>23</v>
      </c>
      <c r="K942">
        <v>9</v>
      </c>
      <c r="L942" s="10" t="str">
        <f>TRIM(IF(Table1[[#This Row],[years_of_experience]]="","Unknown",Table1[[#This Row],[years_of_experience]]))</f>
        <v>9</v>
      </c>
      <c r="M942" t="s">
        <v>45</v>
      </c>
      <c r="N942" t="str">
        <f>IF(Table1[[#This Row],[hourly_rate (USD)]]="",MEDIAN(Table1[hourly_rate (USD)]),Table1[[#This Row],[hourly_rate (USD)]])</f>
        <v>$30</v>
      </c>
      <c r="O942" t="str">
        <f>TRIM(CLEAN(Table1[[#This Row],[Updated hourly_rate (USD)]]))</f>
        <v>$30</v>
      </c>
      <c r="P942" t="str">
        <f>SUBSTITUTE(SUBSTITUTE(Table1[[#This Row],[Formatted hourly rate]],"USD ",""),"$","")</f>
        <v>30</v>
      </c>
      <c r="Q942">
        <v>2.7</v>
      </c>
      <c r="R942">
        <f>IF(Table1[[#This Row],[rating]]="",2.6,Table1[[#This Row],[rating]])</f>
        <v>2.7</v>
      </c>
      <c r="S942">
        <v>1</v>
      </c>
      <c r="T942" t="str">
        <f>TRIM(CLEAN(Table1[[#This Row],[is_active]]))</f>
        <v>1</v>
      </c>
      <c r="U94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42" s="11" t="str">
        <f>TRIM(IF(Table1[[#This Row],[is_active3]]="Unknown","TRUE",Table1[[#This Row],[is_active3]]))</f>
        <v>TRUE</v>
      </c>
      <c r="X942">
        <f>IF(Table1[[#This Row],[client_satisfaction]]&gt;1,Table1[[#This Row],[client_satisfaction]]/100,Table1[[#This Row],[client_satisfaction]])</f>
        <v>0</v>
      </c>
      <c r="Y942">
        <f>IF(Table1[[#This Row],[client_satisfaction2]]=0,0.75,Table1[[#This Row],[client_satisfaction2]])</f>
        <v>0.75</v>
      </c>
    </row>
    <row r="943" spans="1:25" x14ac:dyDescent="0.25">
      <c r="A943" t="s">
        <v>1959</v>
      </c>
      <c r="B943" t="s">
        <v>1960</v>
      </c>
      <c r="C943" t="str">
        <f>PROPER(TRIM(SUBSTITUTE(SUBSTITUTE(SUBSTITUTE(Table1[[#This Row],[name]],"Ms. ",""),"Mr. ",""),"Mrs. ","")))</f>
        <v>Nancy Glover</v>
      </c>
      <c r="D943" t="s">
        <v>20</v>
      </c>
      <c r="E94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43">
        <v>38</v>
      </c>
      <c r="G943" t="str">
        <f>TRIM(IF(Table1[[#This Row],[age]]="","Unknown",Table1[[#This Row],[age]]))</f>
        <v>38</v>
      </c>
      <c r="H943" t="s">
        <v>107</v>
      </c>
      <c r="I943" t="s">
        <v>108</v>
      </c>
      <c r="J943" t="s">
        <v>44</v>
      </c>
      <c r="K943">
        <v>15</v>
      </c>
      <c r="L943" s="10" t="str">
        <f>TRIM(IF(Table1[[#This Row],[years_of_experience]]="","Unknown",Table1[[#This Row],[years_of_experience]]))</f>
        <v>15</v>
      </c>
      <c r="M943">
        <v>40</v>
      </c>
      <c r="N943">
        <f>IF(Table1[[#This Row],[hourly_rate (USD)]]="",MEDIAN(Table1[hourly_rate (USD)]),Table1[[#This Row],[hourly_rate (USD)]])</f>
        <v>40</v>
      </c>
      <c r="O943" t="str">
        <f>TRIM(CLEAN(Table1[[#This Row],[Updated hourly_rate (USD)]]))</f>
        <v>40</v>
      </c>
      <c r="P943" t="str">
        <f>SUBSTITUTE(SUBSTITUTE(Table1[[#This Row],[Formatted hourly rate]],"USD ",""),"$","")</f>
        <v>40</v>
      </c>
      <c r="Q943">
        <v>4</v>
      </c>
      <c r="R943">
        <f>IF(Table1[[#This Row],[rating]]="",2.6,Table1[[#This Row],[rating]])</f>
        <v>4</v>
      </c>
      <c r="T943" t="str">
        <f>TRIM(CLEAN(Table1[[#This Row],[is_active]]))</f>
        <v/>
      </c>
      <c r="U94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43" s="11" t="str">
        <f>TRIM(IF(Table1[[#This Row],[is_active3]]="Unknown","TRUE",Table1[[#This Row],[is_active3]]))</f>
        <v>TRUE</v>
      </c>
      <c r="W943">
        <v>0.62</v>
      </c>
      <c r="X943">
        <f>IF(Table1[[#This Row],[client_satisfaction]]&gt;1,Table1[[#This Row],[client_satisfaction]]/100,Table1[[#This Row],[client_satisfaction]])</f>
        <v>0.62</v>
      </c>
      <c r="Y943">
        <f>IF(Table1[[#This Row],[client_satisfaction2]]=0,0.75,Table1[[#This Row],[client_satisfaction2]])</f>
        <v>0.62</v>
      </c>
    </row>
    <row r="944" spans="1:25" x14ac:dyDescent="0.25">
      <c r="A944" t="s">
        <v>1961</v>
      </c>
      <c r="B944" t="s">
        <v>1962</v>
      </c>
      <c r="C944" t="str">
        <f>PROPER(TRIM(SUBSTITUTE(SUBSTITUTE(SUBSTITUTE(Table1[[#This Row],[name]],"Ms. ",""),"Mr. ",""),"Mrs. ","")))</f>
        <v>Richard Sanchez</v>
      </c>
      <c r="D944" t="s">
        <v>61</v>
      </c>
      <c r="E94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44">
        <v>40</v>
      </c>
      <c r="G944" t="str">
        <f>TRIM(IF(Table1[[#This Row],[age]]="","Unknown",Table1[[#This Row],[age]]))</f>
        <v>40</v>
      </c>
      <c r="H944" t="s">
        <v>128</v>
      </c>
      <c r="I944" t="s">
        <v>22</v>
      </c>
      <c r="J944" t="s">
        <v>51</v>
      </c>
      <c r="K944">
        <v>20</v>
      </c>
      <c r="L944" s="10" t="str">
        <f>TRIM(IF(Table1[[#This Row],[years_of_experience]]="","Unknown",Table1[[#This Row],[years_of_experience]]))</f>
        <v>20</v>
      </c>
      <c r="M944">
        <v>20</v>
      </c>
      <c r="N944">
        <f>IF(Table1[[#This Row],[hourly_rate (USD)]]="",MEDIAN(Table1[hourly_rate (USD)]),Table1[[#This Row],[hourly_rate (USD)]])</f>
        <v>20</v>
      </c>
      <c r="O944" t="str">
        <f>TRIM(CLEAN(Table1[[#This Row],[Updated hourly_rate (USD)]]))</f>
        <v>20</v>
      </c>
      <c r="P944" t="str">
        <f>SUBSTITUTE(SUBSTITUTE(Table1[[#This Row],[Formatted hourly rate]],"USD ",""),"$","")</f>
        <v>20</v>
      </c>
      <c r="Q944">
        <v>2.5</v>
      </c>
      <c r="R944">
        <f>IF(Table1[[#This Row],[rating]]="",2.6,Table1[[#This Row],[rating]])</f>
        <v>2.5</v>
      </c>
      <c r="S944">
        <v>0</v>
      </c>
      <c r="T944" t="str">
        <f>TRIM(CLEAN(Table1[[#This Row],[is_active]]))</f>
        <v>0</v>
      </c>
      <c r="U94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44" s="11" t="str">
        <f>TRIM(IF(Table1[[#This Row],[is_active3]]="Unknown","TRUE",Table1[[#This Row],[is_active3]]))</f>
        <v>FALSE</v>
      </c>
      <c r="W944">
        <v>0.81</v>
      </c>
      <c r="X944">
        <f>IF(Table1[[#This Row],[client_satisfaction]]&gt;1,Table1[[#This Row],[client_satisfaction]]/100,Table1[[#This Row],[client_satisfaction]])</f>
        <v>0.81</v>
      </c>
      <c r="Y944">
        <f>IF(Table1[[#This Row],[client_satisfaction2]]=0,0.75,Table1[[#This Row],[client_satisfaction2]])</f>
        <v>0.81</v>
      </c>
    </row>
    <row r="945" spans="1:25" x14ac:dyDescent="0.25">
      <c r="A945" t="s">
        <v>1963</v>
      </c>
      <c r="B945" t="s">
        <v>1964</v>
      </c>
      <c r="C945" t="str">
        <f>PROPER(TRIM(SUBSTITUTE(SUBSTITUTE(SUBSTITUTE(Table1[[#This Row],[name]],"Ms. ",""),"Mr. ",""),"Mrs. ","")))</f>
        <v>Savannah Reid</v>
      </c>
      <c r="D945" t="s">
        <v>14</v>
      </c>
      <c r="E94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45">
        <v>46</v>
      </c>
      <c r="G945" t="str">
        <f>TRIM(IF(Table1[[#This Row],[age]]="","Unknown",Table1[[#This Row],[age]]))</f>
        <v>46</v>
      </c>
      <c r="H945" t="s">
        <v>107</v>
      </c>
      <c r="I945" t="s">
        <v>108</v>
      </c>
      <c r="J945" t="s">
        <v>51</v>
      </c>
      <c r="K945">
        <v>16</v>
      </c>
      <c r="L945" s="10" t="str">
        <f>TRIM(IF(Table1[[#This Row],[years_of_experience]]="","Unknown",Table1[[#This Row],[years_of_experience]]))</f>
        <v>16</v>
      </c>
      <c r="M945">
        <v>75</v>
      </c>
      <c r="N945">
        <f>IF(Table1[[#This Row],[hourly_rate (USD)]]="",MEDIAN(Table1[hourly_rate (USD)]),Table1[[#This Row],[hourly_rate (USD)]])</f>
        <v>75</v>
      </c>
      <c r="O945" t="str">
        <f>TRIM(CLEAN(Table1[[#This Row],[Updated hourly_rate (USD)]]))</f>
        <v>75</v>
      </c>
      <c r="P945" t="str">
        <f>SUBSTITUTE(SUBSTITUTE(Table1[[#This Row],[Formatted hourly rate]],"USD ",""),"$","")</f>
        <v>75</v>
      </c>
      <c r="Q945">
        <v>0</v>
      </c>
      <c r="R945">
        <f>IF(Table1[[#This Row],[rating]]="",2.6,Table1[[#This Row],[rating]])</f>
        <v>0</v>
      </c>
      <c r="S945" t="s">
        <v>159</v>
      </c>
      <c r="T945" t="str">
        <f>TRIM(CLEAN(Table1[[#This Row],[is_active]]))</f>
        <v>no</v>
      </c>
      <c r="U94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45" s="11" t="str">
        <f>TRIM(IF(Table1[[#This Row],[is_active3]]="Unknown","TRUE",Table1[[#This Row],[is_active3]]))</f>
        <v>FALSE</v>
      </c>
      <c r="W945">
        <v>0.94</v>
      </c>
      <c r="X945">
        <f>IF(Table1[[#This Row],[client_satisfaction]]&gt;1,Table1[[#This Row],[client_satisfaction]]/100,Table1[[#This Row],[client_satisfaction]])</f>
        <v>0.94</v>
      </c>
      <c r="Y945">
        <f>IF(Table1[[#This Row],[client_satisfaction2]]=0,0.75,Table1[[#This Row],[client_satisfaction2]])</f>
        <v>0.94</v>
      </c>
    </row>
    <row r="946" spans="1:25" x14ac:dyDescent="0.25">
      <c r="A946" t="s">
        <v>1965</v>
      </c>
      <c r="B946" t="s">
        <v>1966</v>
      </c>
      <c r="C946" t="str">
        <f>PROPER(TRIM(SUBSTITUTE(SUBSTITUTE(SUBSTITUTE(Table1[[#This Row],[name]],"Ms. ",""),"Mr. ",""),"Mrs. ","")))</f>
        <v>Robert Salazar</v>
      </c>
      <c r="D946" t="s">
        <v>48</v>
      </c>
      <c r="E94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46">
        <v>56</v>
      </c>
      <c r="G946" t="str">
        <f>TRIM(IF(Table1[[#This Row],[age]]="","Unknown",Table1[[#This Row],[age]]))</f>
        <v>56</v>
      </c>
      <c r="H946" t="s">
        <v>139</v>
      </c>
      <c r="I946" t="s">
        <v>140</v>
      </c>
      <c r="J946" t="s">
        <v>89</v>
      </c>
      <c r="K946">
        <v>22</v>
      </c>
      <c r="L946" s="10" t="str">
        <f>TRIM(IF(Table1[[#This Row],[years_of_experience]]="","Unknown",Table1[[#This Row],[years_of_experience]]))</f>
        <v>22</v>
      </c>
      <c r="M946" t="s">
        <v>109</v>
      </c>
      <c r="N946" t="str">
        <f>IF(Table1[[#This Row],[hourly_rate (USD)]]="",MEDIAN(Table1[hourly_rate (USD)]),Table1[[#This Row],[hourly_rate (USD)]])</f>
        <v>USD 30</v>
      </c>
      <c r="O946" t="str">
        <f>TRIM(CLEAN(Table1[[#This Row],[Updated hourly_rate (USD)]]))</f>
        <v>USD 30</v>
      </c>
      <c r="P946" t="str">
        <f>SUBSTITUTE(SUBSTITUTE(Table1[[#This Row],[Formatted hourly rate]],"USD ",""),"$","")</f>
        <v>30</v>
      </c>
      <c r="R946">
        <f>IF(Table1[[#This Row],[rating]]="",2.6,Table1[[#This Row],[rating]])</f>
        <v>2.6</v>
      </c>
      <c r="S946" t="s">
        <v>159</v>
      </c>
      <c r="T946" t="str">
        <f>TRIM(CLEAN(Table1[[#This Row],[is_active]]))</f>
        <v>no</v>
      </c>
      <c r="U94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46" s="11" t="str">
        <f>TRIM(IF(Table1[[#This Row],[is_active3]]="Unknown","TRUE",Table1[[#This Row],[is_active3]]))</f>
        <v>FALSE</v>
      </c>
      <c r="W946">
        <v>0.95</v>
      </c>
      <c r="X946">
        <f>IF(Table1[[#This Row],[client_satisfaction]]&gt;1,Table1[[#This Row],[client_satisfaction]]/100,Table1[[#This Row],[client_satisfaction]])</f>
        <v>0.95</v>
      </c>
      <c r="Y946">
        <f>IF(Table1[[#This Row],[client_satisfaction2]]=0,0.75,Table1[[#This Row],[client_satisfaction2]])</f>
        <v>0.95</v>
      </c>
    </row>
    <row r="947" spans="1:25" x14ac:dyDescent="0.25">
      <c r="A947" t="s">
        <v>1967</v>
      </c>
      <c r="B947" t="s">
        <v>1968</v>
      </c>
      <c r="C947" t="str">
        <f>PROPER(TRIM(SUBSTITUTE(SUBSTITUTE(SUBSTITUTE(Table1[[#This Row],[name]],"Ms. ",""),"Mr. ",""),"Mrs. ","")))</f>
        <v>Hector Greer</v>
      </c>
      <c r="D947" t="s">
        <v>48</v>
      </c>
      <c r="E94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47">
        <v>24</v>
      </c>
      <c r="G947" t="str">
        <f>TRIM(IF(Table1[[#This Row],[age]]="","Unknown",Table1[[#This Row],[age]]))</f>
        <v>24</v>
      </c>
      <c r="H947" t="s">
        <v>62</v>
      </c>
      <c r="I947" t="s">
        <v>63</v>
      </c>
      <c r="J947" t="s">
        <v>30</v>
      </c>
      <c r="K947">
        <v>2</v>
      </c>
      <c r="L947" s="10" t="str">
        <f>TRIM(IF(Table1[[#This Row],[years_of_experience]]="","Unknown",Table1[[#This Row],[years_of_experience]]))</f>
        <v>2</v>
      </c>
      <c r="N947">
        <f>IF(Table1[[#This Row],[hourly_rate (USD)]]="",MEDIAN(Table1[hourly_rate (USD)]),Table1[[#This Row],[hourly_rate (USD)]])</f>
        <v>50</v>
      </c>
      <c r="O947" t="str">
        <f>TRIM(CLEAN(Table1[[#This Row],[Updated hourly_rate (USD)]]))</f>
        <v>50</v>
      </c>
      <c r="P947" t="str">
        <f>SUBSTITUTE(SUBSTITUTE(Table1[[#This Row],[Formatted hourly rate]],"USD ",""),"$","")</f>
        <v>50</v>
      </c>
      <c r="Q947">
        <v>1.6</v>
      </c>
      <c r="R947">
        <f>IF(Table1[[#This Row],[rating]]="",2.6,Table1[[#This Row],[rating]])</f>
        <v>1.6</v>
      </c>
      <c r="S947" t="s">
        <v>159</v>
      </c>
      <c r="T947" t="str">
        <f>TRIM(CLEAN(Table1[[#This Row],[is_active]]))</f>
        <v>no</v>
      </c>
      <c r="U94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47" s="11" t="str">
        <f>TRIM(IF(Table1[[#This Row],[is_active3]]="Unknown","TRUE",Table1[[#This Row],[is_active3]]))</f>
        <v>FALSE</v>
      </c>
      <c r="W947">
        <v>1</v>
      </c>
      <c r="X947">
        <f>IF(Table1[[#This Row],[client_satisfaction]]&gt;1,Table1[[#This Row],[client_satisfaction]]/100,Table1[[#This Row],[client_satisfaction]])</f>
        <v>1</v>
      </c>
      <c r="Y947">
        <f>IF(Table1[[#This Row],[client_satisfaction2]]=0,0.75,Table1[[#This Row],[client_satisfaction2]])</f>
        <v>1</v>
      </c>
    </row>
    <row r="948" spans="1:25" x14ac:dyDescent="0.25">
      <c r="A948" t="s">
        <v>1969</v>
      </c>
      <c r="B948" t="s">
        <v>1970</v>
      </c>
      <c r="C948" t="str">
        <f>PROPER(TRIM(SUBSTITUTE(SUBSTITUTE(SUBSTITUTE(Table1[[#This Row],[name]],"Ms. ",""),"Mr. ",""),"Mrs. ","")))</f>
        <v>Thomas Jackson</v>
      </c>
      <c r="D948" t="s">
        <v>92</v>
      </c>
      <c r="E94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G948" t="str">
        <f>TRIM(IF(Table1[[#This Row],[age]]="","Unknown",Table1[[#This Row],[age]]))</f>
        <v>Unknown</v>
      </c>
      <c r="H948" t="s">
        <v>179</v>
      </c>
      <c r="I948" t="s">
        <v>72</v>
      </c>
      <c r="J948" t="s">
        <v>44</v>
      </c>
      <c r="K948">
        <v>1</v>
      </c>
      <c r="L948" s="10" t="str">
        <f>TRIM(IF(Table1[[#This Row],[years_of_experience]]="","Unknown",Table1[[#This Row],[years_of_experience]]))</f>
        <v>1</v>
      </c>
      <c r="M948">
        <v>75</v>
      </c>
      <c r="N948">
        <f>IF(Table1[[#This Row],[hourly_rate (USD)]]="",MEDIAN(Table1[hourly_rate (USD)]),Table1[[#This Row],[hourly_rate (USD)]])</f>
        <v>75</v>
      </c>
      <c r="O948" t="str">
        <f>TRIM(CLEAN(Table1[[#This Row],[Updated hourly_rate (USD)]]))</f>
        <v>75</v>
      </c>
      <c r="P948" t="str">
        <f>SUBSTITUTE(SUBSTITUTE(Table1[[#This Row],[Formatted hourly rate]],"USD ",""),"$","")</f>
        <v>75</v>
      </c>
      <c r="Q948">
        <v>0</v>
      </c>
      <c r="R948">
        <f>IF(Table1[[#This Row],[rating]]="",2.6,Table1[[#This Row],[rating]])</f>
        <v>0</v>
      </c>
      <c r="S948" t="b">
        <v>1</v>
      </c>
      <c r="T948" t="str">
        <f>TRIM(CLEAN(Table1[[#This Row],[is_active]]))</f>
        <v>TRUE</v>
      </c>
      <c r="U948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48" s="11" t="str">
        <f>TRIM(IF(Table1[[#This Row],[is_active3]]="Unknown","TRUE",Table1[[#This Row],[is_active3]]))</f>
        <v>TRUE</v>
      </c>
      <c r="W948">
        <v>0.94</v>
      </c>
      <c r="X948">
        <f>IF(Table1[[#This Row],[client_satisfaction]]&gt;1,Table1[[#This Row],[client_satisfaction]]/100,Table1[[#This Row],[client_satisfaction]])</f>
        <v>0.94</v>
      </c>
      <c r="Y948">
        <f>IF(Table1[[#This Row],[client_satisfaction2]]=0,0.75,Table1[[#This Row],[client_satisfaction2]])</f>
        <v>0.94</v>
      </c>
    </row>
    <row r="949" spans="1:25" x14ac:dyDescent="0.25">
      <c r="A949" t="s">
        <v>1971</v>
      </c>
      <c r="B949" t="s">
        <v>1972</v>
      </c>
      <c r="C949" t="str">
        <f>PROPER(TRIM(SUBSTITUTE(SUBSTITUTE(SUBSTITUTE(Table1[[#This Row],[name]],"Ms. ",""),"Mr. ",""),"Mrs. ","")))</f>
        <v>Tina Clark</v>
      </c>
      <c r="D949" t="s">
        <v>34</v>
      </c>
      <c r="E94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49">
        <v>38</v>
      </c>
      <c r="G949" t="str">
        <f>TRIM(IF(Table1[[#This Row],[age]]="","Unknown",Table1[[#This Row],[age]]))</f>
        <v>38</v>
      </c>
      <c r="H949" t="s">
        <v>62</v>
      </c>
      <c r="I949" t="s">
        <v>63</v>
      </c>
      <c r="J949" t="s">
        <v>23</v>
      </c>
      <c r="K949">
        <v>8</v>
      </c>
      <c r="L949" s="10" t="str">
        <f>TRIM(IF(Table1[[#This Row],[years_of_experience]]="","Unknown",Table1[[#This Row],[years_of_experience]]))</f>
        <v>8</v>
      </c>
      <c r="M949">
        <v>30</v>
      </c>
      <c r="N949">
        <f>IF(Table1[[#This Row],[hourly_rate (USD)]]="",MEDIAN(Table1[hourly_rate (USD)]),Table1[[#This Row],[hourly_rate (USD)]])</f>
        <v>30</v>
      </c>
      <c r="O949" t="str">
        <f>TRIM(CLEAN(Table1[[#This Row],[Updated hourly_rate (USD)]]))</f>
        <v>30</v>
      </c>
      <c r="P949" t="str">
        <f>SUBSTITUTE(SUBSTITUTE(Table1[[#This Row],[Formatted hourly rate]],"USD ",""),"$","")</f>
        <v>30</v>
      </c>
      <c r="Q949">
        <v>4</v>
      </c>
      <c r="R949">
        <f>IF(Table1[[#This Row],[rating]]="",2.6,Table1[[#This Row],[rating]])</f>
        <v>4</v>
      </c>
      <c r="S949">
        <v>1</v>
      </c>
      <c r="T949" t="str">
        <f>TRIM(CLEAN(Table1[[#This Row],[is_active]]))</f>
        <v>1</v>
      </c>
      <c r="U94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49" s="11" t="str">
        <f>TRIM(IF(Table1[[#This Row],[is_active3]]="Unknown","TRUE",Table1[[#This Row],[is_active3]]))</f>
        <v>TRUE</v>
      </c>
      <c r="W949">
        <v>0.92</v>
      </c>
      <c r="X949">
        <f>IF(Table1[[#This Row],[client_satisfaction]]&gt;1,Table1[[#This Row],[client_satisfaction]]/100,Table1[[#This Row],[client_satisfaction]])</f>
        <v>0.92</v>
      </c>
      <c r="Y949">
        <f>IF(Table1[[#This Row],[client_satisfaction2]]=0,0.75,Table1[[#This Row],[client_satisfaction2]])</f>
        <v>0.92</v>
      </c>
    </row>
    <row r="950" spans="1:25" x14ac:dyDescent="0.25">
      <c r="A950" t="s">
        <v>1973</v>
      </c>
      <c r="B950" t="s">
        <v>1974</v>
      </c>
      <c r="C950" t="str">
        <f>PROPER(TRIM(SUBSTITUTE(SUBSTITUTE(SUBSTITUTE(Table1[[#This Row],[name]],"Ms. ",""),"Mr. ",""),"Mrs. ","")))</f>
        <v>Heather Brown</v>
      </c>
      <c r="D950" t="s">
        <v>77</v>
      </c>
      <c r="E95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50">
        <v>28</v>
      </c>
      <c r="G950" t="str">
        <f>TRIM(IF(Table1[[#This Row],[age]]="","Unknown",Table1[[#This Row],[age]]))</f>
        <v>28</v>
      </c>
      <c r="H950" t="s">
        <v>135</v>
      </c>
      <c r="I950" t="s">
        <v>136</v>
      </c>
      <c r="J950" t="s">
        <v>89</v>
      </c>
      <c r="K950">
        <v>8</v>
      </c>
      <c r="L950" s="10" t="str">
        <f>TRIM(IF(Table1[[#This Row],[years_of_experience]]="","Unknown",Table1[[#This Row],[years_of_experience]]))</f>
        <v>8</v>
      </c>
      <c r="M950" t="s">
        <v>98</v>
      </c>
      <c r="N950" t="str">
        <f>IF(Table1[[#This Row],[hourly_rate (USD)]]="",MEDIAN(Table1[hourly_rate (USD)]),Table1[[#This Row],[hourly_rate (USD)]])</f>
        <v>USD 50</v>
      </c>
      <c r="O950" t="str">
        <f>TRIM(CLEAN(Table1[[#This Row],[Updated hourly_rate (USD)]]))</f>
        <v>USD 50</v>
      </c>
      <c r="P950" t="str">
        <f>SUBSTITUTE(SUBSTITUTE(Table1[[#This Row],[Formatted hourly rate]],"USD ",""),"$","")</f>
        <v>50</v>
      </c>
      <c r="Q950">
        <v>2.5</v>
      </c>
      <c r="R950">
        <f>IF(Table1[[#This Row],[rating]]="",2.6,Table1[[#This Row],[rating]])</f>
        <v>2.5</v>
      </c>
      <c r="S950" t="b">
        <v>1</v>
      </c>
      <c r="T950" t="str">
        <f>TRIM(CLEAN(Table1[[#This Row],[is_active]]))</f>
        <v>TRUE</v>
      </c>
      <c r="U95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50" s="11" t="str">
        <f>TRIM(IF(Table1[[#This Row],[is_active3]]="Unknown","TRUE",Table1[[#This Row],[is_active3]]))</f>
        <v>TRUE</v>
      </c>
      <c r="W950">
        <v>0.95</v>
      </c>
      <c r="X950">
        <f>IF(Table1[[#This Row],[client_satisfaction]]&gt;1,Table1[[#This Row],[client_satisfaction]]/100,Table1[[#This Row],[client_satisfaction]])</f>
        <v>0.95</v>
      </c>
      <c r="Y950">
        <f>IF(Table1[[#This Row],[client_satisfaction2]]=0,0.75,Table1[[#This Row],[client_satisfaction2]])</f>
        <v>0.95</v>
      </c>
    </row>
    <row r="951" spans="1:25" x14ac:dyDescent="0.25">
      <c r="A951" t="s">
        <v>1975</v>
      </c>
      <c r="B951" t="s">
        <v>1976</v>
      </c>
      <c r="C951" t="str">
        <f>PROPER(TRIM(SUBSTITUTE(SUBSTITUTE(SUBSTITUTE(Table1[[#This Row],[name]],"Ms. ",""),"Mr. ",""),"Mrs. ","")))</f>
        <v>John Weaver</v>
      </c>
      <c r="D951" t="s">
        <v>48</v>
      </c>
      <c r="E95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51">
        <v>25</v>
      </c>
      <c r="G951" t="str">
        <f>TRIM(IF(Table1[[#This Row],[age]]="","Unknown",Table1[[#This Row],[age]]))</f>
        <v>25</v>
      </c>
      <c r="H951" t="s">
        <v>107</v>
      </c>
      <c r="I951" t="s">
        <v>108</v>
      </c>
      <c r="J951" t="s">
        <v>89</v>
      </c>
      <c r="K951">
        <v>7</v>
      </c>
      <c r="L951" s="10" t="str">
        <f>TRIM(IF(Table1[[#This Row],[years_of_experience]]="","Unknown",Table1[[#This Row],[years_of_experience]]))</f>
        <v>7</v>
      </c>
      <c r="M951" t="s">
        <v>121</v>
      </c>
      <c r="N951" t="str">
        <f>IF(Table1[[#This Row],[hourly_rate (USD)]]="",MEDIAN(Table1[hourly_rate (USD)]),Table1[[#This Row],[hourly_rate (USD)]])</f>
        <v>$20</v>
      </c>
      <c r="O951" t="str">
        <f>TRIM(CLEAN(Table1[[#This Row],[Updated hourly_rate (USD)]]))</f>
        <v>$20</v>
      </c>
      <c r="P951" t="str">
        <f>SUBSTITUTE(SUBSTITUTE(Table1[[#This Row],[Formatted hourly rate]],"USD ",""),"$","")</f>
        <v>20</v>
      </c>
      <c r="Q951">
        <v>3.8</v>
      </c>
      <c r="R951">
        <f>IF(Table1[[#This Row],[rating]]="",2.6,Table1[[#This Row],[rating]])</f>
        <v>3.8</v>
      </c>
      <c r="T951" t="str">
        <f>TRIM(CLEAN(Table1[[#This Row],[is_active]]))</f>
        <v/>
      </c>
      <c r="U95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51" s="11" t="str">
        <f>TRIM(IF(Table1[[#This Row],[is_active3]]="Unknown","TRUE",Table1[[#This Row],[is_active3]]))</f>
        <v>TRUE</v>
      </c>
      <c r="W951">
        <v>0.97</v>
      </c>
      <c r="X951">
        <f>IF(Table1[[#This Row],[client_satisfaction]]&gt;1,Table1[[#This Row],[client_satisfaction]]/100,Table1[[#This Row],[client_satisfaction]])</f>
        <v>0.97</v>
      </c>
      <c r="Y951">
        <f>IF(Table1[[#This Row],[client_satisfaction2]]=0,0.75,Table1[[#This Row],[client_satisfaction2]])</f>
        <v>0.97</v>
      </c>
    </row>
    <row r="952" spans="1:25" x14ac:dyDescent="0.25">
      <c r="A952" t="s">
        <v>1977</v>
      </c>
      <c r="B952" t="s">
        <v>1978</v>
      </c>
      <c r="C952" t="str">
        <f>PROPER(TRIM(SUBSTITUTE(SUBSTITUTE(SUBSTITUTE(Table1[[#This Row],[name]],"Ms. ",""),"Mr. ",""),"Mrs. ","")))</f>
        <v>Bradley Harris</v>
      </c>
      <c r="D952" t="s">
        <v>97</v>
      </c>
      <c r="E95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52">
        <v>41</v>
      </c>
      <c r="G952" t="str">
        <f>TRIM(IF(Table1[[#This Row],[age]]="","Unknown",Table1[[#This Row],[age]]))</f>
        <v>41</v>
      </c>
      <c r="H952" t="s">
        <v>67</v>
      </c>
      <c r="I952" t="s">
        <v>22</v>
      </c>
      <c r="J952" t="s">
        <v>89</v>
      </c>
      <c r="K952">
        <v>8</v>
      </c>
      <c r="L952" s="10" t="str">
        <f>TRIM(IF(Table1[[#This Row],[years_of_experience]]="","Unknown",Table1[[#This Row],[years_of_experience]]))</f>
        <v>8</v>
      </c>
      <c r="M952">
        <v>50</v>
      </c>
      <c r="N952">
        <f>IF(Table1[[#This Row],[hourly_rate (USD)]]="",MEDIAN(Table1[hourly_rate (USD)]),Table1[[#This Row],[hourly_rate (USD)]])</f>
        <v>50</v>
      </c>
      <c r="O952" t="str">
        <f>TRIM(CLEAN(Table1[[#This Row],[Updated hourly_rate (USD)]]))</f>
        <v>50</v>
      </c>
      <c r="P952" t="str">
        <f>SUBSTITUTE(SUBSTITUTE(Table1[[#This Row],[Formatted hourly rate]],"USD ",""),"$","")</f>
        <v>50</v>
      </c>
      <c r="Q952">
        <v>4.8</v>
      </c>
      <c r="R952">
        <f>IF(Table1[[#This Row],[rating]]="",2.6,Table1[[#This Row],[rating]])</f>
        <v>4.8</v>
      </c>
      <c r="S952" t="s">
        <v>31</v>
      </c>
      <c r="T952" t="str">
        <f>TRIM(CLEAN(Table1[[#This Row],[is_active]]))</f>
        <v>N</v>
      </c>
      <c r="U95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52" s="11" t="str">
        <f>TRIM(IF(Table1[[#This Row],[is_active3]]="Unknown","TRUE",Table1[[#This Row],[is_active3]]))</f>
        <v>FALSE</v>
      </c>
      <c r="W952">
        <v>0.75</v>
      </c>
      <c r="X952">
        <f>IF(Table1[[#This Row],[client_satisfaction]]&gt;1,Table1[[#This Row],[client_satisfaction]]/100,Table1[[#This Row],[client_satisfaction]])</f>
        <v>0.75</v>
      </c>
      <c r="Y952">
        <f>IF(Table1[[#This Row],[client_satisfaction2]]=0,0.75,Table1[[#This Row],[client_satisfaction2]])</f>
        <v>0.75</v>
      </c>
    </row>
    <row r="953" spans="1:25" x14ac:dyDescent="0.25">
      <c r="A953" t="s">
        <v>1979</v>
      </c>
      <c r="B953" t="s">
        <v>1980</v>
      </c>
      <c r="C953" t="str">
        <f>PROPER(TRIM(SUBSTITUTE(SUBSTITUTE(SUBSTITUTE(Table1[[#This Row],[name]],"Ms. ",""),"Mr. ",""),"Mrs. ","")))</f>
        <v>Cassandra Macdonald</v>
      </c>
      <c r="D953" t="s">
        <v>14</v>
      </c>
      <c r="E95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53">
        <v>45</v>
      </c>
      <c r="G953" t="str">
        <f>TRIM(IF(Table1[[#This Row],[age]]="","Unknown",Table1[[#This Row],[age]]))</f>
        <v>45</v>
      </c>
      <c r="H953" t="s">
        <v>179</v>
      </c>
      <c r="I953" t="s">
        <v>72</v>
      </c>
      <c r="J953" t="s">
        <v>51</v>
      </c>
      <c r="K953">
        <v>6</v>
      </c>
      <c r="L953" s="10" t="str">
        <f>TRIM(IF(Table1[[#This Row],[years_of_experience]]="","Unknown",Table1[[#This Row],[years_of_experience]]))</f>
        <v>6</v>
      </c>
      <c r="M953">
        <v>40</v>
      </c>
      <c r="N953">
        <f>IF(Table1[[#This Row],[hourly_rate (USD)]]="",MEDIAN(Table1[hourly_rate (USD)]),Table1[[#This Row],[hourly_rate (USD)]])</f>
        <v>40</v>
      </c>
      <c r="O953" t="str">
        <f>TRIM(CLEAN(Table1[[#This Row],[Updated hourly_rate (USD)]]))</f>
        <v>40</v>
      </c>
      <c r="P953" t="str">
        <f>SUBSTITUTE(SUBSTITUTE(Table1[[#This Row],[Formatted hourly rate]],"USD ",""),"$","")</f>
        <v>40</v>
      </c>
      <c r="Q953">
        <v>2</v>
      </c>
      <c r="R953">
        <f>IF(Table1[[#This Row],[rating]]="",2.6,Table1[[#This Row],[rating]])</f>
        <v>2</v>
      </c>
      <c r="S953">
        <v>1</v>
      </c>
      <c r="T953" t="str">
        <f>TRIM(CLEAN(Table1[[#This Row],[is_active]]))</f>
        <v>1</v>
      </c>
      <c r="U95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53" s="11" t="str">
        <f>TRIM(IF(Table1[[#This Row],[is_active3]]="Unknown","TRUE",Table1[[#This Row],[is_active3]]))</f>
        <v>TRUE</v>
      </c>
      <c r="W953">
        <v>0.78</v>
      </c>
      <c r="X953">
        <f>IF(Table1[[#This Row],[client_satisfaction]]&gt;1,Table1[[#This Row],[client_satisfaction]]/100,Table1[[#This Row],[client_satisfaction]])</f>
        <v>0.78</v>
      </c>
      <c r="Y953">
        <f>IF(Table1[[#This Row],[client_satisfaction2]]=0,0.75,Table1[[#This Row],[client_satisfaction2]])</f>
        <v>0.78</v>
      </c>
    </row>
    <row r="954" spans="1:25" x14ac:dyDescent="0.25">
      <c r="A954" t="s">
        <v>1981</v>
      </c>
      <c r="B954" t="s">
        <v>1982</v>
      </c>
      <c r="C954" t="str">
        <f>PROPER(TRIM(SUBSTITUTE(SUBSTITUTE(SUBSTITUTE(Table1[[#This Row],[name]],"Ms. ",""),"Mr. ",""),"Mrs. ","")))</f>
        <v>Matthew White</v>
      </c>
      <c r="D954" t="s">
        <v>48</v>
      </c>
      <c r="E95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54">
        <v>47</v>
      </c>
      <c r="G954" t="str">
        <f>TRIM(IF(Table1[[#This Row],[age]]="","Unknown",Table1[[#This Row],[age]]))</f>
        <v>47</v>
      </c>
      <c r="H954" t="s">
        <v>62</v>
      </c>
      <c r="I954" t="s">
        <v>63</v>
      </c>
      <c r="J954" t="s">
        <v>89</v>
      </c>
      <c r="K954">
        <v>16</v>
      </c>
      <c r="L954" s="10" t="str">
        <f>TRIM(IF(Table1[[#This Row],[years_of_experience]]="","Unknown",Table1[[#This Row],[years_of_experience]]))</f>
        <v>16</v>
      </c>
      <c r="M954" t="s">
        <v>229</v>
      </c>
      <c r="N954" t="str">
        <f>IF(Table1[[#This Row],[hourly_rate (USD)]]="",MEDIAN(Table1[hourly_rate (USD)]),Table1[[#This Row],[hourly_rate (USD)]])</f>
        <v>$100</v>
      </c>
      <c r="O954" t="str">
        <f>TRIM(CLEAN(Table1[[#This Row],[Updated hourly_rate (USD)]]))</f>
        <v>$100</v>
      </c>
      <c r="P954" t="str">
        <f>SUBSTITUTE(SUBSTITUTE(Table1[[#This Row],[Formatted hourly rate]],"USD ",""),"$","")</f>
        <v>100</v>
      </c>
      <c r="Q954">
        <v>3.3</v>
      </c>
      <c r="R954">
        <f>IF(Table1[[#This Row],[rating]]="",2.6,Table1[[#This Row],[rating]])</f>
        <v>3.3</v>
      </c>
      <c r="S954">
        <v>0</v>
      </c>
      <c r="T954" t="str">
        <f>TRIM(CLEAN(Table1[[#This Row],[is_active]]))</f>
        <v>0</v>
      </c>
      <c r="U95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54" s="11" t="str">
        <f>TRIM(IF(Table1[[#This Row],[is_active3]]="Unknown","TRUE",Table1[[#This Row],[is_active3]]))</f>
        <v>FALSE</v>
      </c>
      <c r="W954">
        <v>0.65</v>
      </c>
      <c r="X954">
        <f>IF(Table1[[#This Row],[client_satisfaction]]&gt;1,Table1[[#This Row],[client_satisfaction]]/100,Table1[[#This Row],[client_satisfaction]])</f>
        <v>0.65</v>
      </c>
      <c r="Y954">
        <f>IF(Table1[[#This Row],[client_satisfaction2]]=0,0.75,Table1[[#This Row],[client_satisfaction2]])</f>
        <v>0.65</v>
      </c>
    </row>
    <row r="955" spans="1:25" x14ac:dyDescent="0.25">
      <c r="A955" t="s">
        <v>1983</v>
      </c>
      <c r="B955" t="s">
        <v>1984</v>
      </c>
      <c r="C955" t="str">
        <f>PROPER(TRIM(SUBSTITUTE(SUBSTITUTE(SUBSTITUTE(Table1[[#This Row],[name]],"Ms. ",""),"Mr. ",""),"Mrs. ","")))</f>
        <v>Miss Kimberly Marshall</v>
      </c>
      <c r="D955" t="s">
        <v>34</v>
      </c>
      <c r="E95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55">
        <v>59</v>
      </c>
      <c r="G955" t="str">
        <f>TRIM(IF(Table1[[#This Row],[age]]="","Unknown",Table1[[#This Row],[age]]))</f>
        <v>59</v>
      </c>
      <c r="H955" t="s">
        <v>67</v>
      </c>
      <c r="I955" t="s">
        <v>22</v>
      </c>
      <c r="J955" t="s">
        <v>51</v>
      </c>
      <c r="K955">
        <v>40</v>
      </c>
      <c r="L955" s="10" t="str">
        <f>TRIM(IF(Table1[[#This Row],[years_of_experience]]="","Unknown",Table1[[#This Row],[years_of_experience]]))</f>
        <v>40</v>
      </c>
      <c r="M955">
        <v>40</v>
      </c>
      <c r="N955">
        <f>IF(Table1[[#This Row],[hourly_rate (USD)]]="",MEDIAN(Table1[hourly_rate (USD)]),Table1[[#This Row],[hourly_rate (USD)]])</f>
        <v>40</v>
      </c>
      <c r="O955" t="str">
        <f>TRIM(CLEAN(Table1[[#This Row],[Updated hourly_rate (USD)]]))</f>
        <v>40</v>
      </c>
      <c r="P955" t="str">
        <f>SUBSTITUTE(SUBSTITUTE(Table1[[#This Row],[Formatted hourly rate]],"USD ",""),"$","")</f>
        <v>40</v>
      </c>
      <c r="Q955">
        <v>2.5</v>
      </c>
      <c r="R955">
        <f>IF(Table1[[#This Row],[rating]]="",2.6,Table1[[#This Row],[rating]])</f>
        <v>2.5</v>
      </c>
      <c r="S955" t="b">
        <v>1</v>
      </c>
      <c r="T955" t="str">
        <f>TRIM(CLEAN(Table1[[#This Row],[is_active]]))</f>
        <v>TRUE</v>
      </c>
      <c r="U95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55" s="11" t="str">
        <f>TRIM(IF(Table1[[#This Row],[is_active3]]="Unknown","TRUE",Table1[[#This Row],[is_active3]]))</f>
        <v>TRUE</v>
      </c>
      <c r="W955">
        <v>70</v>
      </c>
      <c r="X955">
        <f>IF(Table1[[#This Row],[client_satisfaction]]&gt;1,Table1[[#This Row],[client_satisfaction]]/100,Table1[[#This Row],[client_satisfaction]])</f>
        <v>0.7</v>
      </c>
      <c r="Y955">
        <f>IF(Table1[[#This Row],[client_satisfaction2]]=0,0.75,Table1[[#This Row],[client_satisfaction2]])</f>
        <v>0.7</v>
      </c>
    </row>
    <row r="956" spans="1:25" x14ac:dyDescent="0.25">
      <c r="A956" t="s">
        <v>1985</v>
      </c>
      <c r="B956" t="s">
        <v>1986</v>
      </c>
      <c r="C956" t="str">
        <f>PROPER(TRIM(SUBSTITUTE(SUBSTITUTE(SUBSTITUTE(Table1[[#This Row],[name]],"Ms. ",""),"Mr. ",""),"Mrs. ","")))</f>
        <v>Laura Thompson</v>
      </c>
      <c r="D956" t="s">
        <v>77</v>
      </c>
      <c r="E95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56">
        <v>25</v>
      </c>
      <c r="G956" t="str">
        <f>TRIM(IF(Table1[[#This Row],[age]]="","Unknown",Table1[[#This Row],[age]]))</f>
        <v>25</v>
      </c>
      <c r="H956" t="s">
        <v>128</v>
      </c>
      <c r="I956" t="s">
        <v>22</v>
      </c>
      <c r="J956" t="s">
        <v>17</v>
      </c>
      <c r="K956">
        <v>6</v>
      </c>
      <c r="L956" s="10" t="str">
        <f>TRIM(IF(Table1[[#This Row],[years_of_experience]]="","Unknown",Table1[[#This Row],[years_of_experience]]))</f>
        <v>6</v>
      </c>
      <c r="M956" t="s">
        <v>229</v>
      </c>
      <c r="N956" t="str">
        <f>IF(Table1[[#This Row],[hourly_rate (USD)]]="",MEDIAN(Table1[hourly_rate (USD)]),Table1[[#This Row],[hourly_rate (USD)]])</f>
        <v>$100</v>
      </c>
      <c r="O956" t="str">
        <f>TRIM(CLEAN(Table1[[#This Row],[Updated hourly_rate (USD)]]))</f>
        <v>$100</v>
      </c>
      <c r="P956" t="str">
        <f>SUBSTITUTE(SUBSTITUTE(Table1[[#This Row],[Formatted hourly rate]],"USD ",""),"$","")</f>
        <v>100</v>
      </c>
      <c r="R956">
        <f>IF(Table1[[#This Row],[rating]]="",2.6,Table1[[#This Row],[rating]])</f>
        <v>2.6</v>
      </c>
      <c r="S956" t="s">
        <v>74</v>
      </c>
      <c r="T956" t="str">
        <f>TRIM(CLEAN(Table1[[#This Row],[is_active]]))</f>
        <v>Y</v>
      </c>
      <c r="U95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56" s="11" t="str">
        <f>TRIM(IF(Table1[[#This Row],[is_active3]]="Unknown","TRUE",Table1[[#This Row],[is_active3]]))</f>
        <v>TRUE</v>
      </c>
      <c r="W956">
        <v>78</v>
      </c>
      <c r="X956">
        <f>IF(Table1[[#This Row],[client_satisfaction]]&gt;1,Table1[[#This Row],[client_satisfaction]]/100,Table1[[#This Row],[client_satisfaction]])</f>
        <v>0.78</v>
      </c>
      <c r="Y956">
        <f>IF(Table1[[#This Row],[client_satisfaction2]]=0,0.75,Table1[[#This Row],[client_satisfaction2]])</f>
        <v>0.78</v>
      </c>
    </row>
    <row r="957" spans="1:25" x14ac:dyDescent="0.25">
      <c r="A957" t="s">
        <v>1987</v>
      </c>
      <c r="B957" t="s">
        <v>1988</v>
      </c>
      <c r="C957" t="str">
        <f>PROPER(TRIM(SUBSTITUTE(SUBSTITUTE(SUBSTITUTE(Table1[[#This Row],[name]],"Ms. ",""),"Mr. ",""),"Mrs. ","")))</f>
        <v>Nathan Soto</v>
      </c>
      <c r="D957" t="s">
        <v>97</v>
      </c>
      <c r="E95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57">
        <v>27</v>
      </c>
      <c r="G957" t="str">
        <f>TRIM(IF(Table1[[#This Row],[age]]="","Unknown",Table1[[#This Row],[age]]))</f>
        <v>27</v>
      </c>
      <c r="H957" t="s">
        <v>21</v>
      </c>
      <c r="I957" t="s">
        <v>22</v>
      </c>
      <c r="J957" t="s">
        <v>35</v>
      </c>
      <c r="K957">
        <v>3</v>
      </c>
      <c r="L957" s="10" t="str">
        <f>TRIM(IF(Table1[[#This Row],[years_of_experience]]="","Unknown",Table1[[#This Row],[years_of_experience]]))</f>
        <v>3</v>
      </c>
      <c r="M957" t="s">
        <v>98</v>
      </c>
      <c r="N957" t="str">
        <f>IF(Table1[[#This Row],[hourly_rate (USD)]]="",MEDIAN(Table1[hourly_rate (USD)]),Table1[[#This Row],[hourly_rate (USD)]])</f>
        <v>USD 50</v>
      </c>
      <c r="O957" t="str">
        <f>TRIM(CLEAN(Table1[[#This Row],[Updated hourly_rate (USD)]]))</f>
        <v>USD 50</v>
      </c>
      <c r="P957" t="str">
        <f>SUBSTITUTE(SUBSTITUTE(Table1[[#This Row],[Formatted hourly rate]],"USD ",""),"$","")</f>
        <v>50</v>
      </c>
      <c r="R957">
        <f>IF(Table1[[#This Row],[rating]]="",2.6,Table1[[#This Row],[rating]])</f>
        <v>2.6</v>
      </c>
      <c r="S957">
        <v>1</v>
      </c>
      <c r="T957" t="str">
        <f>TRIM(CLEAN(Table1[[#This Row],[is_active]]))</f>
        <v>1</v>
      </c>
      <c r="U95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57" s="11" t="str">
        <f>TRIM(IF(Table1[[#This Row],[is_active3]]="Unknown","TRUE",Table1[[#This Row],[is_active3]]))</f>
        <v>TRUE</v>
      </c>
      <c r="W957">
        <v>0.96</v>
      </c>
      <c r="X957">
        <f>IF(Table1[[#This Row],[client_satisfaction]]&gt;1,Table1[[#This Row],[client_satisfaction]]/100,Table1[[#This Row],[client_satisfaction]])</f>
        <v>0.96</v>
      </c>
      <c r="Y957">
        <f>IF(Table1[[#This Row],[client_satisfaction2]]=0,0.75,Table1[[#This Row],[client_satisfaction2]])</f>
        <v>0.96</v>
      </c>
    </row>
    <row r="958" spans="1:25" x14ac:dyDescent="0.25">
      <c r="A958" t="s">
        <v>1989</v>
      </c>
      <c r="B958" t="s">
        <v>1990</v>
      </c>
      <c r="C958" t="str">
        <f>PROPER(TRIM(SUBSTITUTE(SUBSTITUTE(SUBSTITUTE(Table1[[#This Row],[name]],"Ms. ",""),"Mr. ",""),"Mrs. ","")))</f>
        <v>Rhonda Hines</v>
      </c>
      <c r="D958" t="s">
        <v>34</v>
      </c>
      <c r="E95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58">
        <v>57</v>
      </c>
      <c r="G958" t="str">
        <f>TRIM(IF(Table1[[#This Row],[age]]="","Unknown",Table1[[#This Row],[age]]))</f>
        <v>57</v>
      </c>
      <c r="H958" t="s">
        <v>21</v>
      </c>
      <c r="I958" t="s">
        <v>22</v>
      </c>
      <c r="J958" t="s">
        <v>44</v>
      </c>
      <c r="K958">
        <v>5</v>
      </c>
      <c r="L958" s="10" t="str">
        <f>TRIM(IF(Table1[[#This Row],[years_of_experience]]="","Unknown",Table1[[#This Row],[years_of_experience]]))</f>
        <v>5</v>
      </c>
      <c r="M958" t="s">
        <v>24</v>
      </c>
      <c r="N958" t="str">
        <f>IF(Table1[[#This Row],[hourly_rate (USD)]]="",MEDIAN(Table1[hourly_rate (USD)]),Table1[[#This Row],[hourly_rate (USD)]])</f>
        <v>USD 100</v>
      </c>
      <c r="O958" t="str">
        <f>TRIM(CLEAN(Table1[[#This Row],[Updated hourly_rate (USD)]]))</f>
        <v>USD 100</v>
      </c>
      <c r="P958" t="str">
        <f>SUBSTITUTE(SUBSTITUTE(Table1[[#This Row],[Formatted hourly rate]],"USD ",""),"$","")</f>
        <v>100</v>
      </c>
      <c r="Q958">
        <v>0</v>
      </c>
      <c r="R958">
        <f>IF(Table1[[#This Row],[rating]]="",2.6,Table1[[#This Row],[rating]])</f>
        <v>0</v>
      </c>
      <c r="S958">
        <v>1</v>
      </c>
      <c r="T958" t="str">
        <f>TRIM(CLEAN(Table1[[#This Row],[is_active]]))</f>
        <v>1</v>
      </c>
      <c r="U95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58" s="11" t="str">
        <f>TRIM(IF(Table1[[#This Row],[is_active3]]="Unknown","TRUE",Table1[[#This Row],[is_active3]]))</f>
        <v>TRUE</v>
      </c>
      <c r="W958">
        <v>0.8</v>
      </c>
      <c r="X958">
        <f>IF(Table1[[#This Row],[client_satisfaction]]&gt;1,Table1[[#This Row],[client_satisfaction]]/100,Table1[[#This Row],[client_satisfaction]])</f>
        <v>0.8</v>
      </c>
      <c r="Y958">
        <f>IF(Table1[[#This Row],[client_satisfaction2]]=0,0.75,Table1[[#This Row],[client_satisfaction2]])</f>
        <v>0.8</v>
      </c>
    </row>
    <row r="959" spans="1:25" x14ac:dyDescent="0.25">
      <c r="A959" t="s">
        <v>1991</v>
      </c>
      <c r="B959" t="s">
        <v>1992</v>
      </c>
      <c r="C959" t="str">
        <f>PROPER(TRIM(SUBSTITUTE(SUBSTITUTE(SUBSTITUTE(Table1[[#This Row],[name]],"Ms. ",""),"Mr. ",""),"Mrs. ","")))</f>
        <v>Gabrielle Bowman</v>
      </c>
      <c r="D959" t="s">
        <v>34</v>
      </c>
      <c r="E95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59">
        <v>34</v>
      </c>
      <c r="G959" t="str">
        <f>TRIM(IF(Table1[[#This Row],[age]]="","Unknown",Table1[[#This Row],[age]]))</f>
        <v>34</v>
      </c>
      <c r="H959" t="s">
        <v>62</v>
      </c>
      <c r="I959" t="s">
        <v>63</v>
      </c>
      <c r="J959" t="s">
        <v>73</v>
      </c>
      <c r="K959">
        <v>12</v>
      </c>
      <c r="L959" s="10" t="str">
        <f>TRIM(IF(Table1[[#This Row],[years_of_experience]]="","Unknown",Table1[[#This Row],[years_of_experience]]))</f>
        <v>12</v>
      </c>
      <c r="M959" t="s">
        <v>121</v>
      </c>
      <c r="N959" t="str">
        <f>IF(Table1[[#This Row],[hourly_rate (USD)]]="",MEDIAN(Table1[hourly_rate (USD)]),Table1[[#This Row],[hourly_rate (USD)]])</f>
        <v>$20</v>
      </c>
      <c r="O959" t="str">
        <f>TRIM(CLEAN(Table1[[#This Row],[Updated hourly_rate (USD)]]))</f>
        <v>$20</v>
      </c>
      <c r="P959" t="str">
        <f>SUBSTITUTE(SUBSTITUTE(Table1[[#This Row],[Formatted hourly rate]],"USD ",""),"$","")</f>
        <v>20</v>
      </c>
      <c r="Q959">
        <v>1.6</v>
      </c>
      <c r="R959">
        <f>IF(Table1[[#This Row],[rating]]="",2.6,Table1[[#This Row],[rating]])</f>
        <v>1.6</v>
      </c>
      <c r="S959" t="s">
        <v>68</v>
      </c>
      <c r="T959" t="str">
        <f>TRIM(CLEAN(Table1[[#This Row],[is_active]]))</f>
        <v>yes</v>
      </c>
      <c r="U95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59" s="11" t="str">
        <f>TRIM(IF(Table1[[#This Row],[is_active3]]="Unknown","TRUE",Table1[[#This Row],[is_active3]]))</f>
        <v>TRUE</v>
      </c>
      <c r="W959">
        <v>0.64</v>
      </c>
      <c r="X959">
        <f>IF(Table1[[#This Row],[client_satisfaction]]&gt;1,Table1[[#This Row],[client_satisfaction]]/100,Table1[[#This Row],[client_satisfaction]])</f>
        <v>0.64</v>
      </c>
      <c r="Y959">
        <f>IF(Table1[[#This Row],[client_satisfaction2]]=0,0.75,Table1[[#This Row],[client_satisfaction2]])</f>
        <v>0.64</v>
      </c>
    </row>
    <row r="960" spans="1:25" x14ac:dyDescent="0.25">
      <c r="A960" t="s">
        <v>1993</v>
      </c>
      <c r="B960" t="s">
        <v>1994</v>
      </c>
      <c r="C960" t="str">
        <f>PROPER(TRIM(SUBSTITUTE(SUBSTITUTE(SUBSTITUTE(Table1[[#This Row],[name]],"Ms. ",""),"Mr. ",""),"Mrs. ","")))</f>
        <v>Julian Edwards</v>
      </c>
      <c r="D960" t="s">
        <v>92</v>
      </c>
      <c r="E96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60">
        <v>55</v>
      </c>
      <c r="G960" t="str">
        <f>TRIM(IF(Table1[[#This Row],[age]]="","Unknown",Table1[[#This Row],[age]]))</f>
        <v>55</v>
      </c>
      <c r="H960" t="s">
        <v>135</v>
      </c>
      <c r="I960" t="s">
        <v>136</v>
      </c>
      <c r="J960" t="s">
        <v>73</v>
      </c>
      <c r="K960">
        <v>33</v>
      </c>
      <c r="L960" s="10" t="str">
        <f>TRIM(IF(Table1[[#This Row],[years_of_experience]]="","Unknown",Table1[[#This Row],[years_of_experience]]))</f>
        <v>33</v>
      </c>
      <c r="M960">
        <v>50</v>
      </c>
      <c r="N960">
        <f>IF(Table1[[#This Row],[hourly_rate (USD)]]="",MEDIAN(Table1[hourly_rate (USD)]),Table1[[#This Row],[hourly_rate (USD)]])</f>
        <v>50</v>
      </c>
      <c r="O960" t="str">
        <f>TRIM(CLEAN(Table1[[#This Row],[Updated hourly_rate (USD)]]))</f>
        <v>50</v>
      </c>
      <c r="P960" t="str">
        <f>SUBSTITUTE(SUBSTITUTE(Table1[[#This Row],[Formatted hourly rate]],"USD ",""),"$","")</f>
        <v>50</v>
      </c>
      <c r="Q960">
        <v>0</v>
      </c>
      <c r="R960">
        <f>IF(Table1[[#This Row],[rating]]="",2.6,Table1[[#This Row],[rating]])</f>
        <v>0</v>
      </c>
      <c r="S960" t="b">
        <v>0</v>
      </c>
      <c r="T960" t="str">
        <f>TRIM(CLEAN(Table1[[#This Row],[is_active]]))</f>
        <v>FALSE</v>
      </c>
      <c r="U96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60" s="11" t="str">
        <f>TRIM(IF(Table1[[#This Row],[is_active3]]="Unknown","TRUE",Table1[[#This Row],[is_active3]]))</f>
        <v>TRUE</v>
      </c>
      <c r="W960">
        <v>0.92</v>
      </c>
      <c r="X960">
        <f>IF(Table1[[#This Row],[client_satisfaction]]&gt;1,Table1[[#This Row],[client_satisfaction]]/100,Table1[[#This Row],[client_satisfaction]])</f>
        <v>0.92</v>
      </c>
      <c r="Y960">
        <f>IF(Table1[[#This Row],[client_satisfaction2]]=0,0.75,Table1[[#This Row],[client_satisfaction2]])</f>
        <v>0.92</v>
      </c>
    </row>
    <row r="961" spans="1:25" x14ac:dyDescent="0.25">
      <c r="A961" t="s">
        <v>1995</v>
      </c>
      <c r="B961" t="s">
        <v>1996</v>
      </c>
      <c r="C961" t="str">
        <f>PROPER(TRIM(SUBSTITUTE(SUBSTITUTE(SUBSTITUTE(Table1[[#This Row],[name]],"Ms. ",""),"Mr. ",""),"Mrs. ","")))</f>
        <v>Nicholas Scott</v>
      </c>
      <c r="D961" t="s">
        <v>27</v>
      </c>
      <c r="E96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61">
        <v>21</v>
      </c>
      <c r="G961" t="str">
        <f>TRIM(IF(Table1[[#This Row],[age]]="","Unknown",Table1[[#This Row],[age]]))</f>
        <v>21</v>
      </c>
      <c r="H961" t="s">
        <v>139</v>
      </c>
      <c r="I961" t="s">
        <v>140</v>
      </c>
      <c r="J961" t="s">
        <v>17</v>
      </c>
      <c r="K961">
        <v>1</v>
      </c>
      <c r="L961" s="10" t="str">
        <f>TRIM(IF(Table1[[#This Row],[years_of_experience]]="","Unknown",Table1[[#This Row],[years_of_experience]]))</f>
        <v>1</v>
      </c>
      <c r="M961">
        <v>100</v>
      </c>
      <c r="N961">
        <f>IF(Table1[[#This Row],[hourly_rate (USD)]]="",MEDIAN(Table1[hourly_rate (USD)]),Table1[[#This Row],[hourly_rate (USD)]])</f>
        <v>100</v>
      </c>
      <c r="O961" t="str">
        <f>TRIM(CLEAN(Table1[[#This Row],[Updated hourly_rate (USD)]]))</f>
        <v>100</v>
      </c>
      <c r="P961" t="str">
        <f>SUBSTITUTE(SUBSTITUTE(Table1[[#This Row],[Formatted hourly rate]],"USD ",""),"$","")</f>
        <v>100</v>
      </c>
      <c r="Q961">
        <v>0</v>
      </c>
      <c r="R961">
        <f>IF(Table1[[#This Row],[rating]]="",2.6,Table1[[#This Row],[rating]])</f>
        <v>0</v>
      </c>
      <c r="S961">
        <v>1</v>
      </c>
      <c r="T961" t="str">
        <f>TRIM(CLEAN(Table1[[#This Row],[is_active]]))</f>
        <v>1</v>
      </c>
      <c r="U96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61" s="11" t="str">
        <f>TRIM(IF(Table1[[#This Row],[is_active3]]="Unknown","TRUE",Table1[[#This Row],[is_active3]]))</f>
        <v>TRUE</v>
      </c>
      <c r="X961">
        <f>IF(Table1[[#This Row],[client_satisfaction]]&gt;1,Table1[[#This Row],[client_satisfaction]]/100,Table1[[#This Row],[client_satisfaction]])</f>
        <v>0</v>
      </c>
      <c r="Y961">
        <f>IF(Table1[[#This Row],[client_satisfaction2]]=0,0.75,Table1[[#This Row],[client_satisfaction2]])</f>
        <v>0.75</v>
      </c>
    </row>
    <row r="962" spans="1:25" x14ac:dyDescent="0.25">
      <c r="A962" t="s">
        <v>1997</v>
      </c>
      <c r="B962" t="s">
        <v>1998</v>
      </c>
      <c r="C962" t="str">
        <f>PROPER(TRIM(SUBSTITUTE(SUBSTITUTE(SUBSTITUTE(Table1[[#This Row],[name]],"Ms. ",""),"Mr. ",""),"Mrs. ","")))</f>
        <v>Daniel Green</v>
      </c>
      <c r="D962" t="s">
        <v>61</v>
      </c>
      <c r="E96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62">
        <v>53</v>
      </c>
      <c r="G962" t="str">
        <f>TRIM(IF(Table1[[#This Row],[age]]="","Unknown",Table1[[#This Row],[age]]))</f>
        <v>53</v>
      </c>
      <c r="H962" t="s">
        <v>42</v>
      </c>
      <c r="I962" t="s">
        <v>43</v>
      </c>
      <c r="J962" t="s">
        <v>89</v>
      </c>
      <c r="K962">
        <v>27</v>
      </c>
      <c r="L962" s="10" t="str">
        <f>TRIM(IF(Table1[[#This Row],[years_of_experience]]="","Unknown",Table1[[#This Row],[years_of_experience]]))</f>
        <v>27</v>
      </c>
      <c r="M962" t="s">
        <v>314</v>
      </c>
      <c r="N962" t="str">
        <f>IF(Table1[[#This Row],[hourly_rate (USD)]]="",MEDIAN(Table1[hourly_rate (USD)]),Table1[[#This Row],[hourly_rate (USD)]])</f>
        <v>USD 20</v>
      </c>
      <c r="O962" t="str">
        <f>TRIM(CLEAN(Table1[[#This Row],[Updated hourly_rate (USD)]]))</f>
        <v>USD 20</v>
      </c>
      <c r="P962" t="str">
        <f>SUBSTITUTE(SUBSTITUTE(Table1[[#This Row],[Formatted hourly rate]],"USD ",""),"$","")</f>
        <v>20</v>
      </c>
      <c r="Q962">
        <v>4.7</v>
      </c>
      <c r="R962">
        <f>IF(Table1[[#This Row],[rating]]="",2.6,Table1[[#This Row],[rating]])</f>
        <v>4.7</v>
      </c>
      <c r="S962" t="s">
        <v>68</v>
      </c>
      <c r="T962" t="str">
        <f>TRIM(CLEAN(Table1[[#This Row],[is_active]]))</f>
        <v>yes</v>
      </c>
      <c r="U96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62" s="11" t="str">
        <f>TRIM(IF(Table1[[#This Row],[is_active3]]="Unknown","TRUE",Table1[[#This Row],[is_active3]]))</f>
        <v>TRUE</v>
      </c>
      <c r="W962">
        <v>71</v>
      </c>
      <c r="X962">
        <f>IF(Table1[[#This Row],[client_satisfaction]]&gt;1,Table1[[#This Row],[client_satisfaction]]/100,Table1[[#This Row],[client_satisfaction]])</f>
        <v>0.71</v>
      </c>
      <c r="Y962">
        <f>IF(Table1[[#This Row],[client_satisfaction2]]=0,0.75,Table1[[#This Row],[client_satisfaction2]])</f>
        <v>0.71</v>
      </c>
    </row>
    <row r="963" spans="1:25" x14ac:dyDescent="0.25">
      <c r="A963" t="s">
        <v>1999</v>
      </c>
      <c r="B963" t="s">
        <v>2000</v>
      </c>
      <c r="C963" t="str">
        <f>PROPER(TRIM(SUBSTITUTE(SUBSTITUTE(SUBSTITUTE(Table1[[#This Row],[name]],"Ms. ",""),"Mr. ",""),"Mrs. ","")))</f>
        <v>Catherine Johnston</v>
      </c>
      <c r="D963" t="s">
        <v>14</v>
      </c>
      <c r="E96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63">
        <v>21</v>
      </c>
      <c r="G963" t="str">
        <f>TRIM(IF(Table1[[#This Row],[age]]="","Unknown",Table1[[#This Row],[age]]))</f>
        <v>21</v>
      </c>
      <c r="H963" t="s">
        <v>28</v>
      </c>
      <c r="I963" t="s">
        <v>29</v>
      </c>
      <c r="J963" t="s">
        <v>73</v>
      </c>
      <c r="K963">
        <v>1</v>
      </c>
      <c r="L963" s="10" t="str">
        <f>TRIM(IF(Table1[[#This Row],[years_of_experience]]="","Unknown",Table1[[#This Row],[years_of_experience]]))</f>
        <v>1</v>
      </c>
      <c r="M963" t="s">
        <v>229</v>
      </c>
      <c r="N963" t="str">
        <f>IF(Table1[[#This Row],[hourly_rate (USD)]]="",MEDIAN(Table1[hourly_rate (USD)]),Table1[[#This Row],[hourly_rate (USD)]])</f>
        <v>$100</v>
      </c>
      <c r="O963" t="str">
        <f>TRIM(CLEAN(Table1[[#This Row],[Updated hourly_rate (USD)]]))</f>
        <v>$100</v>
      </c>
      <c r="P963" t="str">
        <f>SUBSTITUTE(SUBSTITUTE(Table1[[#This Row],[Formatted hourly rate]],"USD ",""),"$","")</f>
        <v>100</v>
      </c>
      <c r="Q963">
        <v>0</v>
      </c>
      <c r="R963">
        <f>IF(Table1[[#This Row],[rating]]="",2.6,Table1[[#This Row],[rating]])</f>
        <v>0</v>
      </c>
      <c r="S963" t="s">
        <v>68</v>
      </c>
      <c r="T963" t="str">
        <f>TRIM(CLEAN(Table1[[#This Row],[is_active]]))</f>
        <v>yes</v>
      </c>
      <c r="U96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63" s="11" t="str">
        <f>TRIM(IF(Table1[[#This Row],[is_active3]]="Unknown","TRUE",Table1[[#This Row],[is_active3]]))</f>
        <v>TRUE</v>
      </c>
      <c r="W963">
        <v>0.95</v>
      </c>
      <c r="X963">
        <f>IF(Table1[[#This Row],[client_satisfaction]]&gt;1,Table1[[#This Row],[client_satisfaction]]/100,Table1[[#This Row],[client_satisfaction]])</f>
        <v>0.95</v>
      </c>
      <c r="Y963">
        <f>IF(Table1[[#This Row],[client_satisfaction2]]=0,0.75,Table1[[#This Row],[client_satisfaction2]])</f>
        <v>0.95</v>
      </c>
    </row>
    <row r="964" spans="1:25" x14ac:dyDescent="0.25">
      <c r="A964" t="s">
        <v>2001</v>
      </c>
      <c r="B964" t="s">
        <v>2002</v>
      </c>
      <c r="C964" t="str">
        <f>PROPER(TRIM(SUBSTITUTE(SUBSTITUTE(SUBSTITUTE(Table1[[#This Row],[name]],"Ms. ",""),"Mr. ",""),"Mrs. ","")))</f>
        <v>Brenda Koch</v>
      </c>
      <c r="D964" t="s">
        <v>20</v>
      </c>
      <c r="E96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64">
        <v>36</v>
      </c>
      <c r="G964" t="str">
        <f>TRIM(IF(Table1[[#This Row],[age]]="","Unknown",Table1[[#This Row],[age]]))</f>
        <v>36</v>
      </c>
      <c r="H964" t="s">
        <v>107</v>
      </c>
      <c r="I964" t="s">
        <v>108</v>
      </c>
      <c r="J964" t="s">
        <v>35</v>
      </c>
      <c r="L964" s="10" t="str">
        <f>TRIM(IF(Table1[[#This Row],[years_of_experience]]="","Unknown",Table1[[#This Row],[years_of_experience]]))</f>
        <v>Unknown</v>
      </c>
      <c r="M964">
        <v>20</v>
      </c>
      <c r="N964">
        <f>IF(Table1[[#This Row],[hourly_rate (USD)]]="",MEDIAN(Table1[hourly_rate (USD)]),Table1[[#This Row],[hourly_rate (USD)]])</f>
        <v>20</v>
      </c>
      <c r="O964" t="str">
        <f>TRIM(CLEAN(Table1[[#This Row],[Updated hourly_rate (USD)]]))</f>
        <v>20</v>
      </c>
      <c r="P964" t="str">
        <f>SUBSTITUTE(SUBSTITUTE(Table1[[#This Row],[Formatted hourly rate]],"USD ",""),"$","")</f>
        <v>20</v>
      </c>
      <c r="Q964">
        <v>4.0999999999999996</v>
      </c>
      <c r="R964">
        <f>IF(Table1[[#This Row],[rating]]="",2.6,Table1[[#This Row],[rating]])</f>
        <v>4.0999999999999996</v>
      </c>
      <c r="S964" t="s">
        <v>31</v>
      </c>
      <c r="T964" t="str">
        <f>TRIM(CLEAN(Table1[[#This Row],[is_active]]))</f>
        <v>N</v>
      </c>
      <c r="U96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64" s="11" t="str">
        <f>TRIM(IF(Table1[[#This Row],[is_active3]]="Unknown","TRUE",Table1[[#This Row],[is_active3]]))</f>
        <v>FALSE</v>
      </c>
      <c r="W964">
        <v>0.86</v>
      </c>
      <c r="X964">
        <f>IF(Table1[[#This Row],[client_satisfaction]]&gt;1,Table1[[#This Row],[client_satisfaction]]/100,Table1[[#This Row],[client_satisfaction]])</f>
        <v>0.86</v>
      </c>
      <c r="Y964">
        <f>IF(Table1[[#This Row],[client_satisfaction2]]=0,0.75,Table1[[#This Row],[client_satisfaction2]])</f>
        <v>0.86</v>
      </c>
    </row>
    <row r="965" spans="1:25" x14ac:dyDescent="0.25">
      <c r="A965" t="s">
        <v>2003</v>
      </c>
      <c r="B965" t="s">
        <v>2004</v>
      </c>
      <c r="C965" t="str">
        <f>PROPER(TRIM(SUBSTITUTE(SUBSTITUTE(SUBSTITUTE(Table1[[#This Row],[name]],"Ms. ",""),"Mr. ",""),"Mrs. ","")))</f>
        <v>Robert Meza</v>
      </c>
      <c r="D965" t="s">
        <v>27</v>
      </c>
      <c r="E96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65">
        <v>40</v>
      </c>
      <c r="G965" t="str">
        <f>TRIM(IF(Table1[[#This Row],[age]]="","Unknown",Table1[[#This Row],[age]]))</f>
        <v>40</v>
      </c>
      <c r="H965" t="s">
        <v>28</v>
      </c>
      <c r="I965" t="s">
        <v>29</v>
      </c>
      <c r="J965" t="s">
        <v>44</v>
      </c>
      <c r="K965">
        <v>2</v>
      </c>
      <c r="L965" s="10" t="str">
        <f>TRIM(IF(Table1[[#This Row],[years_of_experience]]="","Unknown",Table1[[#This Row],[years_of_experience]]))</f>
        <v>2</v>
      </c>
      <c r="M965" t="s">
        <v>45</v>
      </c>
      <c r="N965" t="str">
        <f>IF(Table1[[#This Row],[hourly_rate (USD)]]="",MEDIAN(Table1[hourly_rate (USD)]),Table1[[#This Row],[hourly_rate (USD)]])</f>
        <v>$30</v>
      </c>
      <c r="O965" t="str">
        <f>TRIM(CLEAN(Table1[[#This Row],[Updated hourly_rate (USD)]]))</f>
        <v>$30</v>
      </c>
      <c r="P965" t="str">
        <f>SUBSTITUTE(SUBSTITUTE(Table1[[#This Row],[Formatted hourly rate]],"USD ",""),"$","")</f>
        <v>30</v>
      </c>
      <c r="Q965">
        <v>1.3</v>
      </c>
      <c r="R965">
        <f>IF(Table1[[#This Row],[rating]]="",2.6,Table1[[#This Row],[rating]])</f>
        <v>1.3</v>
      </c>
      <c r="S965">
        <v>1</v>
      </c>
      <c r="T965" t="str">
        <f>TRIM(CLEAN(Table1[[#This Row],[is_active]]))</f>
        <v>1</v>
      </c>
      <c r="U96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65" s="11" t="str">
        <f>TRIM(IF(Table1[[#This Row],[is_active3]]="Unknown","TRUE",Table1[[#This Row],[is_active3]]))</f>
        <v>TRUE</v>
      </c>
      <c r="W965">
        <v>0.77</v>
      </c>
      <c r="X965">
        <f>IF(Table1[[#This Row],[client_satisfaction]]&gt;1,Table1[[#This Row],[client_satisfaction]]/100,Table1[[#This Row],[client_satisfaction]])</f>
        <v>0.77</v>
      </c>
      <c r="Y965">
        <f>IF(Table1[[#This Row],[client_satisfaction2]]=0,0.75,Table1[[#This Row],[client_satisfaction2]])</f>
        <v>0.77</v>
      </c>
    </row>
    <row r="966" spans="1:25" x14ac:dyDescent="0.25">
      <c r="A966" t="s">
        <v>2005</v>
      </c>
      <c r="B966" t="s">
        <v>2006</v>
      </c>
      <c r="C966" t="str">
        <f>PROPER(TRIM(SUBSTITUTE(SUBSTITUTE(SUBSTITUTE(Table1[[#This Row],[name]],"Ms. ",""),"Mr. ",""),"Mrs. ","")))</f>
        <v>Latoya Brown</v>
      </c>
      <c r="D966" t="s">
        <v>77</v>
      </c>
      <c r="E96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66">
        <v>59</v>
      </c>
      <c r="G966" t="str">
        <f>TRIM(IF(Table1[[#This Row],[age]]="","Unknown",Table1[[#This Row],[age]]))</f>
        <v>59</v>
      </c>
      <c r="H966" t="s">
        <v>67</v>
      </c>
      <c r="I966" t="s">
        <v>22</v>
      </c>
      <c r="J966" t="s">
        <v>73</v>
      </c>
      <c r="K966">
        <v>40</v>
      </c>
      <c r="L966" s="10" t="str">
        <f>TRIM(IF(Table1[[#This Row],[years_of_experience]]="","Unknown",Table1[[#This Row],[years_of_experience]]))</f>
        <v>40</v>
      </c>
      <c r="M966">
        <v>100</v>
      </c>
      <c r="N966">
        <f>IF(Table1[[#This Row],[hourly_rate (USD)]]="",MEDIAN(Table1[hourly_rate (USD)]),Table1[[#This Row],[hourly_rate (USD)]])</f>
        <v>100</v>
      </c>
      <c r="O966" t="str">
        <f>TRIM(CLEAN(Table1[[#This Row],[Updated hourly_rate (USD)]]))</f>
        <v>100</v>
      </c>
      <c r="P966" t="str">
        <f>SUBSTITUTE(SUBSTITUTE(Table1[[#This Row],[Formatted hourly rate]],"USD ",""),"$","")</f>
        <v>100</v>
      </c>
      <c r="Q966">
        <v>2.6</v>
      </c>
      <c r="R966">
        <f>IF(Table1[[#This Row],[rating]]="",2.6,Table1[[#This Row],[rating]])</f>
        <v>2.6</v>
      </c>
      <c r="T966" t="str">
        <f>TRIM(CLEAN(Table1[[#This Row],[is_active]]))</f>
        <v/>
      </c>
      <c r="U966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66" s="11" t="str">
        <f>TRIM(IF(Table1[[#This Row],[is_active3]]="Unknown","TRUE",Table1[[#This Row],[is_active3]]))</f>
        <v>TRUE</v>
      </c>
      <c r="X966">
        <f>IF(Table1[[#This Row],[client_satisfaction]]&gt;1,Table1[[#This Row],[client_satisfaction]]/100,Table1[[#This Row],[client_satisfaction]])</f>
        <v>0</v>
      </c>
      <c r="Y966">
        <f>IF(Table1[[#This Row],[client_satisfaction2]]=0,0.75,Table1[[#This Row],[client_satisfaction2]])</f>
        <v>0.75</v>
      </c>
    </row>
    <row r="967" spans="1:25" x14ac:dyDescent="0.25">
      <c r="A967" t="s">
        <v>2007</v>
      </c>
      <c r="B967" t="s">
        <v>2008</v>
      </c>
      <c r="C967" t="str">
        <f>PROPER(TRIM(SUBSTITUTE(SUBSTITUTE(SUBSTITUTE(Table1[[#This Row],[name]],"Ms. ",""),"Mr. ",""),"Mrs. ","")))</f>
        <v>David Osborne Iii</v>
      </c>
      <c r="D967" t="s">
        <v>48</v>
      </c>
      <c r="E96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67">
        <v>45</v>
      </c>
      <c r="G967" t="str">
        <f>TRIM(IF(Table1[[#This Row],[age]]="","Unknown",Table1[[#This Row],[age]]))</f>
        <v>45</v>
      </c>
      <c r="H967" t="s">
        <v>42</v>
      </c>
      <c r="I967" t="s">
        <v>43</v>
      </c>
      <c r="J967" t="s">
        <v>78</v>
      </c>
      <c r="K967">
        <v>4</v>
      </c>
      <c r="L967" s="10" t="str">
        <f>TRIM(IF(Table1[[#This Row],[years_of_experience]]="","Unknown",Table1[[#This Row],[years_of_experience]]))</f>
        <v>4</v>
      </c>
      <c r="M967" t="s">
        <v>121</v>
      </c>
      <c r="N967" t="str">
        <f>IF(Table1[[#This Row],[hourly_rate (USD)]]="",MEDIAN(Table1[hourly_rate (USD)]),Table1[[#This Row],[hourly_rate (USD)]])</f>
        <v>$20</v>
      </c>
      <c r="O967" t="str">
        <f>TRIM(CLEAN(Table1[[#This Row],[Updated hourly_rate (USD)]]))</f>
        <v>$20</v>
      </c>
      <c r="P967" t="str">
        <f>SUBSTITUTE(SUBSTITUTE(Table1[[#This Row],[Formatted hourly rate]],"USD ",""),"$","")</f>
        <v>20</v>
      </c>
      <c r="Q967">
        <v>2.7</v>
      </c>
      <c r="R967">
        <f>IF(Table1[[#This Row],[rating]]="",2.6,Table1[[#This Row],[rating]])</f>
        <v>2.7</v>
      </c>
      <c r="T967" t="str">
        <f>TRIM(CLEAN(Table1[[#This Row],[is_active]]))</f>
        <v/>
      </c>
      <c r="U96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67" s="11" t="str">
        <f>TRIM(IF(Table1[[#This Row],[is_active3]]="Unknown","TRUE",Table1[[#This Row],[is_active3]]))</f>
        <v>TRUE</v>
      </c>
      <c r="W967">
        <v>0.72</v>
      </c>
      <c r="X967">
        <f>IF(Table1[[#This Row],[client_satisfaction]]&gt;1,Table1[[#This Row],[client_satisfaction]]/100,Table1[[#This Row],[client_satisfaction]])</f>
        <v>0.72</v>
      </c>
      <c r="Y967">
        <f>IF(Table1[[#This Row],[client_satisfaction2]]=0,0.75,Table1[[#This Row],[client_satisfaction2]])</f>
        <v>0.72</v>
      </c>
    </row>
    <row r="968" spans="1:25" x14ac:dyDescent="0.25">
      <c r="A968" t="s">
        <v>2009</v>
      </c>
      <c r="B968" t="s">
        <v>2010</v>
      </c>
      <c r="C968" t="str">
        <f>PROPER(TRIM(SUBSTITUTE(SUBSTITUTE(SUBSTITUTE(Table1[[#This Row],[name]],"Ms. ",""),"Mr. ",""),"Mrs. ","")))</f>
        <v>David Hooper</v>
      </c>
      <c r="D968" t="s">
        <v>61</v>
      </c>
      <c r="E96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68">
        <v>44</v>
      </c>
      <c r="G968" t="str">
        <f>TRIM(IF(Table1[[#This Row],[age]]="","Unknown",Table1[[#This Row],[age]]))</f>
        <v>44</v>
      </c>
      <c r="H968" t="s">
        <v>112</v>
      </c>
      <c r="I968" t="s">
        <v>113</v>
      </c>
      <c r="J968" t="s">
        <v>114</v>
      </c>
      <c r="K968">
        <v>9</v>
      </c>
      <c r="L968" s="10" t="str">
        <f>TRIM(IF(Table1[[#This Row],[years_of_experience]]="","Unknown",Table1[[#This Row],[years_of_experience]]))</f>
        <v>9</v>
      </c>
      <c r="M968">
        <v>40</v>
      </c>
      <c r="N968">
        <f>IF(Table1[[#This Row],[hourly_rate (USD)]]="",MEDIAN(Table1[hourly_rate (USD)]),Table1[[#This Row],[hourly_rate (USD)]])</f>
        <v>40</v>
      </c>
      <c r="O968" t="str">
        <f>TRIM(CLEAN(Table1[[#This Row],[Updated hourly_rate (USD)]]))</f>
        <v>40</v>
      </c>
      <c r="P968" t="str">
        <f>SUBSTITUTE(SUBSTITUTE(Table1[[#This Row],[Formatted hourly rate]],"USD ",""),"$","")</f>
        <v>40</v>
      </c>
      <c r="R968">
        <f>IF(Table1[[#This Row],[rating]]="",2.6,Table1[[#This Row],[rating]])</f>
        <v>2.6</v>
      </c>
      <c r="S968">
        <v>0</v>
      </c>
      <c r="T968" t="str">
        <f>TRIM(CLEAN(Table1[[#This Row],[is_active]]))</f>
        <v>0</v>
      </c>
      <c r="U96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68" s="11" t="str">
        <f>TRIM(IF(Table1[[#This Row],[is_active3]]="Unknown","TRUE",Table1[[#This Row],[is_active3]]))</f>
        <v>FALSE</v>
      </c>
      <c r="W968">
        <v>0.7</v>
      </c>
      <c r="X968">
        <f>IF(Table1[[#This Row],[client_satisfaction]]&gt;1,Table1[[#This Row],[client_satisfaction]]/100,Table1[[#This Row],[client_satisfaction]])</f>
        <v>0.7</v>
      </c>
      <c r="Y968">
        <f>IF(Table1[[#This Row],[client_satisfaction2]]=0,0.75,Table1[[#This Row],[client_satisfaction2]])</f>
        <v>0.7</v>
      </c>
    </row>
    <row r="969" spans="1:25" x14ac:dyDescent="0.25">
      <c r="A969" t="s">
        <v>2011</v>
      </c>
      <c r="B969" t="s">
        <v>2012</v>
      </c>
      <c r="C969" t="str">
        <f>PROPER(TRIM(SUBSTITUTE(SUBSTITUTE(SUBSTITUTE(Table1[[#This Row],[name]],"Ms. ",""),"Mr. ",""),"Mrs. ","")))</f>
        <v>Sarah Miller</v>
      </c>
      <c r="D969" t="s">
        <v>20</v>
      </c>
      <c r="E96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69">
        <v>36</v>
      </c>
      <c r="G969" t="str">
        <f>TRIM(IF(Table1[[#This Row],[age]]="","Unknown",Table1[[#This Row],[age]]))</f>
        <v>36</v>
      </c>
      <c r="H969" t="s">
        <v>67</v>
      </c>
      <c r="I969" t="s">
        <v>22</v>
      </c>
      <c r="J969" t="s">
        <v>78</v>
      </c>
      <c r="K969">
        <v>13</v>
      </c>
      <c r="L969" s="10" t="str">
        <f>TRIM(IF(Table1[[#This Row],[years_of_experience]]="","Unknown",Table1[[#This Row],[years_of_experience]]))</f>
        <v>13</v>
      </c>
      <c r="M969">
        <v>30</v>
      </c>
      <c r="N969">
        <f>IF(Table1[[#This Row],[hourly_rate (USD)]]="",MEDIAN(Table1[hourly_rate (USD)]),Table1[[#This Row],[hourly_rate (USD)]])</f>
        <v>30</v>
      </c>
      <c r="O969" t="str">
        <f>TRIM(CLEAN(Table1[[#This Row],[Updated hourly_rate (USD)]]))</f>
        <v>30</v>
      </c>
      <c r="P969" t="str">
        <f>SUBSTITUTE(SUBSTITUTE(Table1[[#This Row],[Formatted hourly rate]],"USD ",""),"$","")</f>
        <v>30</v>
      </c>
      <c r="Q969">
        <v>3.6</v>
      </c>
      <c r="R969">
        <f>IF(Table1[[#This Row],[rating]]="",2.6,Table1[[#This Row],[rating]])</f>
        <v>3.6</v>
      </c>
      <c r="S969">
        <v>0</v>
      </c>
      <c r="T969" t="str">
        <f>TRIM(CLEAN(Table1[[#This Row],[is_active]]))</f>
        <v>0</v>
      </c>
      <c r="U96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69" s="11" t="str">
        <f>TRIM(IF(Table1[[#This Row],[is_active3]]="Unknown","TRUE",Table1[[#This Row],[is_active3]]))</f>
        <v>FALSE</v>
      </c>
      <c r="W969">
        <v>0.86</v>
      </c>
      <c r="X969">
        <f>IF(Table1[[#This Row],[client_satisfaction]]&gt;1,Table1[[#This Row],[client_satisfaction]]/100,Table1[[#This Row],[client_satisfaction]])</f>
        <v>0.86</v>
      </c>
      <c r="Y969">
        <f>IF(Table1[[#This Row],[client_satisfaction2]]=0,0.75,Table1[[#This Row],[client_satisfaction2]])</f>
        <v>0.86</v>
      </c>
    </row>
    <row r="970" spans="1:25" x14ac:dyDescent="0.25">
      <c r="A970" t="s">
        <v>2013</v>
      </c>
      <c r="B970" t="s">
        <v>2014</v>
      </c>
      <c r="C970" t="str">
        <f>PROPER(TRIM(SUBSTITUTE(SUBSTITUTE(SUBSTITUTE(Table1[[#This Row],[name]],"Ms. ",""),"Mr. ",""),"Mrs. ","")))</f>
        <v>Lisa Werner Md</v>
      </c>
      <c r="D970" t="s">
        <v>77</v>
      </c>
      <c r="E97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70">
        <v>26</v>
      </c>
      <c r="G970" t="str">
        <f>TRIM(IF(Table1[[#This Row],[age]]="","Unknown",Table1[[#This Row],[age]]))</f>
        <v>26</v>
      </c>
      <c r="H970" t="s">
        <v>93</v>
      </c>
      <c r="I970" t="s">
        <v>94</v>
      </c>
      <c r="J970" t="s">
        <v>30</v>
      </c>
      <c r="K970">
        <v>1</v>
      </c>
      <c r="L970" s="10" t="str">
        <f>TRIM(IF(Table1[[#This Row],[years_of_experience]]="","Unknown",Table1[[#This Row],[years_of_experience]]))</f>
        <v>1</v>
      </c>
      <c r="M970">
        <v>75</v>
      </c>
      <c r="N970">
        <f>IF(Table1[[#This Row],[hourly_rate (USD)]]="",MEDIAN(Table1[hourly_rate (USD)]),Table1[[#This Row],[hourly_rate (USD)]])</f>
        <v>75</v>
      </c>
      <c r="O970" t="str">
        <f>TRIM(CLEAN(Table1[[#This Row],[Updated hourly_rate (USD)]]))</f>
        <v>75</v>
      </c>
      <c r="P970" t="str">
        <f>SUBSTITUTE(SUBSTITUTE(Table1[[#This Row],[Formatted hourly rate]],"USD ",""),"$","")</f>
        <v>75</v>
      </c>
      <c r="Q970">
        <v>3</v>
      </c>
      <c r="R970">
        <f>IF(Table1[[#This Row],[rating]]="",2.6,Table1[[#This Row],[rating]])</f>
        <v>3</v>
      </c>
      <c r="S970">
        <v>1</v>
      </c>
      <c r="T970" t="str">
        <f>TRIM(CLEAN(Table1[[#This Row],[is_active]]))</f>
        <v>1</v>
      </c>
      <c r="U97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70" s="11" t="str">
        <f>TRIM(IF(Table1[[#This Row],[is_active3]]="Unknown","TRUE",Table1[[#This Row],[is_active3]]))</f>
        <v>TRUE</v>
      </c>
      <c r="X970">
        <f>IF(Table1[[#This Row],[client_satisfaction]]&gt;1,Table1[[#This Row],[client_satisfaction]]/100,Table1[[#This Row],[client_satisfaction]])</f>
        <v>0</v>
      </c>
      <c r="Y970">
        <f>IF(Table1[[#This Row],[client_satisfaction2]]=0,0.75,Table1[[#This Row],[client_satisfaction2]])</f>
        <v>0.75</v>
      </c>
    </row>
    <row r="971" spans="1:25" x14ac:dyDescent="0.25">
      <c r="A971" t="s">
        <v>2015</v>
      </c>
      <c r="B971" t="s">
        <v>2016</v>
      </c>
      <c r="C971" t="str">
        <f>PROPER(TRIM(SUBSTITUTE(SUBSTITUTE(SUBSTITUTE(Table1[[#This Row],[name]],"Ms. ",""),"Mr. ",""),"Mrs. ","")))</f>
        <v>Eric Jimenez</v>
      </c>
      <c r="D971" t="s">
        <v>48</v>
      </c>
      <c r="E97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71">
        <v>49</v>
      </c>
      <c r="G971" t="str">
        <f>TRIM(IF(Table1[[#This Row],[age]]="","Unknown",Table1[[#This Row],[age]]))</f>
        <v>49</v>
      </c>
      <c r="H971" t="s">
        <v>93</v>
      </c>
      <c r="I971" t="s">
        <v>94</v>
      </c>
      <c r="J971" t="s">
        <v>35</v>
      </c>
      <c r="K971">
        <v>1</v>
      </c>
      <c r="L971" s="10" t="str">
        <f>TRIM(IF(Table1[[#This Row],[years_of_experience]]="","Unknown",Table1[[#This Row],[years_of_experience]]))</f>
        <v>1</v>
      </c>
      <c r="N971">
        <f>IF(Table1[[#This Row],[hourly_rate (USD)]]="",MEDIAN(Table1[hourly_rate (USD)]),Table1[[#This Row],[hourly_rate (USD)]])</f>
        <v>50</v>
      </c>
      <c r="O971" t="str">
        <f>TRIM(CLEAN(Table1[[#This Row],[Updated hourly_rate (USD)]]))</f>
        <v>50</v>
      </c>
      <c r="P971" t="str">
        <f>SUBSTITUTE(SUBSTITUTE(Table1[[#This Row],[Formatted hourly rate]],"USD ",""),"$","")</f>
        <v>50</v>
      </c>
      <c r="Q971">
        <v>0</v>
      </c>
      <c r="R971">
        <f>IF(Table1[[#This Row],[rating]]="",2.6,Table1[[#This Row],[rating]])</f>
        <v>0</v>
      </c>
      <c r="S971">
        <v>0</v>
      </c>
      <c r="T971" t="str">
        <f>TRIM(CLEAN(Table1[[#This Row],[is_active]]))</f>
        <v>0</v>
      </c>
      <c r="U97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71" s="11" t="str">
        <f>TRIM(IF(Table1[[#This Row],[is_active3]]="Unknown","TRUE",Table1[[#This Row],[is_active3]]))</f>
        <v>FALSE</v>
      </c>
      <c r="W971">
        <v>0.82</v>
      </c>
      <c r="X971">
        <f>IF(Table1[[#This Row],[client_satisfaction]]&gt;1,Table1[[#This Row],[client_satisfaction]]/100,Table1[[#This Row],[client_satisfaction]])</f>
        <v>0.82</v>
      </c>
      <c r="Y971">
        <f>IF(Table1[[#This Row],[client_satisfaction2]]=0,0.75,Table1[[#This Row],[client_satisfaction2]])</f>
        <v>0.82</v>
      </c>
    </row>
    <row r="972" spans="1:25" x14ac:dyDescent="0.25">
      <c r="A972" t="s">
        <v>2017</v>
      </c>
      <c r="B972" t="s">
        <v>2018</v>
      </c>
      <c r="C972" t="str">
        <f>PROPER(TRIM(SUBSTITUTE(SUBSTITUTE(SUBSTITUTE(Table1[[#This Row],[name]],"Ms. ",""),"Mr. ",""),"Mrs. ","")))</f>
        <v>Jay Bush</v>
      </c>
      <c r="D972" t="s">
        <v>48</v>
      </c>
      <c r="E97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72">
        <v>29</v>
      </c>
      <c r="G972" t="str">
        <f>TRIM(IF(Table1[[#This Row],[age]]="","Unknown",Table1[[#This Row],[age]]))</f>
        <v>29</v>
      </c>
      <c r="H972" t="s">
        <v>135</v>
      </c>
      <c r="I972" t="s">
        <v>136</v>
      </c>
      <c r="J972" t="s">
        <v>23</v>
      </c>
      <c r="K972">
        <v>3</v>
      </c>
      <c r="L972" s="10" t="str">
        <f>TRIM(IF(Table1[[#This Row],[years_of_experience]]="","Unknown",Table1[[#This Row],[years_of_experience]]))</f>
        <v>3</v>
      </c>
      <c r="M972" t="s">
        <v>55</v>
      </c>
      <c r="N972" t="str">
        <f>IF(Table1[[#This Row],[hourly_rate (USD)]]="",MEDIAN(Table1[hourly_rate (USD)]),Table1[[#This Row],[hourly_rate (USD)]])</f>
        <v>USD 40</v>
      </c>
      <c r="O972" t="str">
        <f>TRIM(CLEAN(Table1[[#This Row],[Updated hourly_rate (USD)]]))</f>
        <v>USD 40</v>
      </c>
      <c r="P972" t="str">
        <f>SUBSTITUTE(SUBSTITUTE(Table1[[#This Row],[Formatted hourly rate]],"USD ",""),"$","")</f>
        <v>40</v>
      </c>
      <c r="Q972">
        <v>0</v>
      </c>
      <c r="R972">
        <f>IF(Table1[[#This Row],[rating]]="",2.6,Table1[[#This Row],[rating]])</f>
        <v>0</v>
      </c>
      <c r="S972" t="b">
        <v>1</v>
      </c>
      <c r="T972" t="str">
        <f>TRIM(CLEAN(Table1[[#This Row],[is_active]]))</f>
        <v>TRUE</v>
      </c>
      <c r="U97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72" s="11" t="str">
        <f>TRIM(IF(Table1[[#This Row],[is_active3]]="Unknown","TRUE",Table1[[#This Row],[is_active3]]))</f>
        <v>TRUE</v>
      </c>
      <c r="W972">
        <v>0.81</v>
      </c>
      <c r="X972">
        <f>IF(Table1[[#This Row],[client_satisfaction]]&gt;1,Table1[[#This Row],[client_satisfaction]]/100,Table1[[#This Row],[client_satisfaction]])</f>
        <v>0.81</v>
      </c>
      <c r="Y972">
        <f>IF(Table1[[#This Row],[client_satisfaction2]]=0,0.75,Table1[[#This Row],[client_satisfaction2]])</f>
        <v>0.81</v>
      </c>
    </row>
    <row r="973" spans="1:25" x14ac:dyDescent="0.25">
      <c r="A973" t="s">
        <v>2019</v>
      </c>
      <c r="B973" t="s">
        <v>2020</v>
      </c>
      <c r="C973" t="str">
        <f>PROPER(TRIM(SUBSTITUTE(SUBSTITUTE(SUBSTITUTE(Table1[[#This Row],[name]],"Ms. ",""),"Mr. ",""),"Mrs. ","")))</f>
        <v>Johnny Rice</v>
      </c>
      <c r="D973" t="s">
        <v>48</v>
      </c>
      <c r="E97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73">
        <v>32</v>
      </c>
      <c r="G973" t="str">
        <f>TRIM(IF(Table1[[#This Row],[age]]="","Unknown",Table1[[#This Row],[age]]))</f>
        <v>32</v>
      </c>
      <c r="H973" t="s">
        <v>135</v>
      </c>
      <c r="I973" t="s">
        <v>136</v>
      </c>
      <c r="J973" t="s">
        <v>30</v>
      </c>
      <c r="K973">
        <v>1</v>
      </c>
      <c r="L973" s="10" t="str">
        <f>TRIM(IF(Table1[[#This Row],[years_of_experience]]="","Unknown",Table1[[#This Row],[years_of_experience]]))</f>
        <v>1</v>
      </c>
      <c r="M973" t="s">
        <v>36</v>
      </c>
      <c r="N973" t="str">
        <f>IF(Table1[[#This Row],[hourly_rate (USD)]]="",MEDIAN(Table1[hourly_rate (USD)]),Table1[[#This Row],[hourly_rate (USD)]])</f>
        <v>$40</v>
      </c>
      <c r="O973" t="str">
        <f>TRIM(CLEAN(Table1[[#This Row],[Updated hourly_rate (USD)]]))</f>
        <v>$40</v>
      </c>
      <c r="P973" t="str">
        <f>SUBSTITUTE(SUBSTITUTE(Table1[[#This Row],[Formatted hourly rate]],"USD ",""),"$","")</f>
        <v>40</v>
      </c>
      <c r="Q973">
        <v>3.1</v>
      </c>
      <c r="R973">
        <f>IF(Table1[[#This Row],[rating]]="",2.6,Table1[[#This Row],[rating]])</f>
        <v>3.1</v>
      </c>
      <c r="S973">
        <v>1</v>
      </c>
      <c r="T973" t="str">
        <f>TRIM(CLEAN(Table1[[#This Row],[is_active]]))</f>
        <v>1</v>
      </c>
      <c r="U97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73" s="11" t="str">
        <f>TRIM(IF(Table1[[#This Row],[is_active3]]="Unknown","TRUE",Table1[[#This Row],[is_active3]]))</f>
        <v>TRUE</v>
      </c>
      <c r="W973">
        <v>0.76</v>
      </c>
      <c r="X973">
        <f>IF(Table1[[#This Row],[client_satisfaction]]&gt;1,Table1[[#This Row],[client_satisfaction]]/100,Table1[[#This Row],[client_satisfaction]])</f>
        <v>0.76</v>
      </c>
      <c r="Y973">
        <f>IF(Table1[[#This Row],[client_satisfaction2]]=0,0.75,Table1[[#This Row],[client_satisfaction2]])</f>
        <v>0.76</v>
      </c>
    </row>
    <row r="974" spans="1:25" x14ac:dyDescent="0.25">
      <c r="A974" t="s">
        <v>2021</v>
      </c>
      <c r="B974" t="s">
        <v>2022</v>
      </c>
      <c r="C974" t="str">
        <f>PROPER(TRIM(SUBSTITUTE(SUBSTITUTE(SUBSTITUTE(Table1[[#This Row],[name]],"Ms. ",""),"Mr. ",""),"Mrs. ","")))</f>
        <v>Matthew Strong</v>
      </c>
      <c r="D974" t="s">
        <v>61</v>
      </c>
      <c r="E97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74">
        <v>24</v>
      </c>
      <c r="G974" t="str">
        <f>TRIM(IF(Table1[[#This Row],[age]]="","Unknown",Table1[[#This Row],[age]]))</f>
        <v>24</v>
      </c>
      <c r="H974" t="s">
        <v>49</v>
      </c>
      <c r="I974" t="s">
        <v>50</v>
      </c>
      <c r="J974" t="s">
        <v>17</v>
      </c>
      <c r="K974">
        <v>3</v>
      </c>
      <c r="L974" s="10" t="str">
        <f>TRIM(IF(Table1[[#This Row],[years_of_experience]]="","Unknown",Table1[[#This Row],[years_of_experience]]))</f>
        <v>3</v>
      </c>
      <c r="M974" t="s">
        <v>109</v>
      </c>
      <c r="N974" t="str">
        <f>IF(Table1[[#This Row],[hourly_rate (USD)]]="",MEDIAN(Table1[hourly_rate (USD)]),Table1[[#This Row],[hourly_rate (USD)]])</f>
        <v>USD 30</v>
      </c>
      <c r="O974" t="str">
        <f>TRIM(CLEAN(Table1[[#This Row],[Updated hourly_rate (USD)]]))</f>
        <v>USD 30</v>
      </c>
      <c r="P974" t="str">
        <f>SUBSTITUTE(SUBSTITUTE(Table1[[#This Row],[Formatted hourly rate]],"USD ",""),"$","")</f>
        <v>30</v>
      </c>
      <c r="Q974">
        <v>3.9</v>
      </c>
      <c r="R974">
        <f>IF(Table1[[#This Row],[rating]]="",2.6,Table1[[#This Row],[rating]])</f>
        <v>3.9</v>
      </c>
      <c r="S974" t="s">
        <v>31</v>
      </c>
      <c r="T974" t="str">
        <f>TRIM(CLEAN(Table1[[#This Row],[is_active]]))</f>
        <v>N</v>
      </c>
      <c r="U97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74" s="11" t="str">
        <f>TRIM(IF(Table1[[#This Row],[is_active3]]="Unknown","TRUE",Table1[[#This Row],[is_active3]]))</f>
        <v>FALSE</v>
      </c>
      <c r="W974">
        <v>0.9</v>
      </c>
      <c r="X974">
        <f>IF(Table1[[#This Row],[client_satisfaction]]&gt;1,Table1[[#This Row],[client_satisfaction]]/100,Table1[[#This Row],[client_satisfaction]])</f>
        <v>0.9</v>
      </c>
      <c r="Y974">
        <f>IF(Table1[[#This Row],[client_satisfaction2]]=0,0.75,Table1[[#This Row],[client_satisfaction2]])</f>
        <v>0.9</v>
      </c>
    </row>
    <row r="975" spans="1:25" x14ac:dyDescent="0.25">
      <c r="A975" t="s">
        <v>2023</v>
      </c>
      <c r="B975" t="s">
        <v>2024</v>
      </c>
      <c r="C975" t="str">
        <f>PROPER(TRIM(SUBSTITUTE(SUBSTITUTE(SUBSTITUTE(Table1[[#This Row],[name]],"Ms. ",""),"Mr. ",""),"Mrs. ","")))</f>
        <v>Mark Chandler</v>
      </c>
      <c r="D975" t="s">
        <v>61</v>
      </c>
      <c r="E97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75">
        <v>35</v>
      </c>
      <c r="G975" t="str">
        <f>TRIM(IF(Table1[[#This Row],[age]]="","Unknown",Table1[[#This Row],[age]]))</f>
        <v>35</v>
      </c>
      <c r="H975" t="s">
        <v>112</v>
      </c>
      <c r="I975" t="s">
        <v>113</v>
      </c>
      <c r="J975" t="s">
        <v>89</v>
      </c>
      <c r="K975">
        <v>14</v>
      </c>
      <c r="L975" s="10" t="str">
        <f>TRIM(IF(Table1[[#This Row],[years_of_experience]]="","Unknown",Table1[[#This Row],[years_of_experience]]))</f>
        <v>14</v>
      </c>
      <c r="M975">
        <v>30</v>
      </c>
      <c r="N975">
        <f>IF(Table1[[#This Row],[hourly_rate (USD)]]="",MEDIAN(Table1[hourly_rate (USD)]),Table1[[#This Row],[hourly_rate (USD)]])</f>
        <v>30</v>
      </c>
      <c r="O975" t="str">
        <f>TRIM(CLEAN(Table1[[#This Row],[Updated hourly_rate (USD)]]))</f>
        <v>30</v>
      </c>
      <c r="P975" t="str">
        <f>SUBSTITUTE(SUBSTITUTE(Table1[[#This Row],[Formatted hourly rate]],"USD ",""),"$","")</f>
        <v>30</v>
      </c>
      <c r="Q975">
        <v>1.6</v>
      </c>
      <c r="R975">
        <f>IF(Table1[[#This Row],[rating]]="",2.6,Table1[[#This Row],[rating]])</f>
        <v>1.6</v>
      </c>
      <c r="S975" t="s">
        <v>74</v>
      </c>
      <c r="T975" t="str">
        <f>TRIM(CLEAN(Table1[[#This Row],[is_active]]))</f>
        <v>Y</v>
      </c>
      <c r="U97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75" s="11" t="str">
        <f>TRIM(IF(Table1[[#This Row],[is_active3]]="Unknown","TRUE",Table1[[#This Row],[is_active3]]))</f>
        <v>TRUE</v>
      </c>
      <c r="W975">
        <v>0.67</v>
      </c>
      <c r="X975">
        <f>IF(Table1[[#This Row],[client_satisfaction]]&gt;1,Table1[[#This Row],[client_satisfaction]]/100,Table1[[#This Row],[client_satisfaction]])</f>
        <v>0.67</v>
      </c>
      <c r="Y975">
        <f>IF(Table1[[#This Row],[client_satisfaction2]]=0,0.75,Table1[[#This Row],[client_satisfaction2]])</f>
        <v>0.67</v>
      </c>
    </row>
    <row r="976" spans="1:25" x14ac:dyDescent="0.25">
      <c r="A976" t="s">
        <v>2025</v>
      </c>
      <c r="B976" t="s">
        <v>2026</v>
      </c>
      <c r="C976" t="str">
        <f>PROPER(TRIM(SUBSTITUTE(SUBSTITUTE(SUBSTITUTE(Table1[[#This Row],[name]],"Ms. ",""),"Mr. ",""),"Mrs. ","")))</f>
        <v>Crystal Brown</v>
      </c>
      <c r="D976" t="s">
        <v>39</v>
      </c>
      <c r="E97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76">
        <v>43</v>
      </c>
      <c r="G976" t="str">
        <f>TRIM(IF(Table1[[#This Row],[age]]="","Unknown",Table1[[#This Row],[age]]))</f>
        <v>43</v>
      </c>
      <c r="H976" t="s">
        <v>190</v>
      </c>
      <c r="I976" t="s">
        <v>72</v>
      </c>
      <c r="J976" t="s">
        <v>17</v>
      </c>
      <c r="K976">
        <v>2</v>
      </c>
      <c r="L976" s="10" t="str">
        <f>TRIM(IF(Table1[[#This Row],[years_of_experience]]="","Unknown",Table1[[#This Row],[years_of_experience]]))</f>
        <v>2</v>
      </c>
      <c r="N976">
        <f>IF(Table1[[#This Row],[hourly_rate (USD)]]="",MEDIAN(Table1[hourly_rate (USD)]),Table1[[#This Row],[hourly_rate (USD)]])</f>
        <v>50</v>
      </c>
      <c r="O976" t="str">
        <f>TRIM(CLEAN(Table1[[#This Row],[Updated hourly_rate (USD)]]))</f>
        <v>50</v>
      </c>
      <c r="P976" t="str">
        <f>SUBSTITUTE(SUBSTITUTE(Table1[[#This Row],[Formatted hourly rate]],"USD ",""),"$","")</f>
        <v>50</v>
      </c>
      <c r="Q976">
        <v>1.8</v>
      </c>
      <c r="R976">
        <f>IF(Table1[[#This Row],[rating]]="",2.6,Table1[[#This Row],[rating]])</f>
        <v>1.8</v>
      </c>
      <c r="S976" t="s">
        <v>159</v>
      </c>
      <c r="T976" t="str">
        <f>TRIM(CLEAN(Table1[[#This Row],[is_active]]))</f>
        <v>no</v>
      </c>
      <c r="U97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76" s="11" t="str">
        <f>TRIM(IF(Table1[[#This Row],[is_active3]]="Unknown","TRUE",Table1[[#This Row],[is_active3]]))</f>
        <v>FALSE</v>
      </c>
      <c r="W976">
        <v>0.61</v>
      </c>
      <c r="X976">
        <f>IF(Table1[[#This Row],[client_satisfaction]]&gt;1,Table1[[#This Row],[client_satisfaction]]/100,Table1[[#This Row],[client_satisfaction]])</f>
        <v>0.61</v>
      </c>
      <c r="Y976">
        <f>IF(Table1[[#This Row],[client_satisfaction2]]=0,0.75,Table1[[#This Row],[client_satisfaction2]])</f>
        <v>0.61</v>
      </c>
    </row>
    <row r="977" spans="1:25" x14ac:dyDescent="0.25">
      <c r="A977" t="s">
        <v>2027</v>
      </c>
      <c r="B977" t="s">
        <v>2028</v>
      </c>
      <c r="C977" t="str">
        <f>PROPER(TRIM(SUBSTITUTE(SUBSTITUTE(SUBSTITUTE(Table1[[#This Row],[name]],"Ms. ",""),"Mr. ",""),"Mrs. ","")))</f>
        <v>Timothy Barton</v>
      </c>
      <c r="D977" t="s">
        <v>27</v>
      </c>
      <c r="E97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77">
        <v>53</v>
      </c>
      <c r="G977" t="str">
        <f>TRIM(IF(Table1[[#This Row],[age]]="","Unknown",Table1[[#This Row],[age]]))</f>
        <v>53</v>
      </c>
      <c r="H977" t="s">
        <v>112</v>
      </c>
      <c r="I977" t="s">
        <v>113</v>
      </c>
      <c r="J977" t="s">
        <v>114</v>
      </c>
      <c r="K977">
        <v>27</v>
      </c>
      <c r="L977" s="10" t="str">
        <f>TRIM(IF(Table1[[#This Row],[years_of_experience]]="","Unknown",Table1[[#This Row],[years_of_experience]]))</f>
        <v>27</v>
      </c>
      <c r="M977">
        <v>100</v>
      </c>
      <c r="N977">
        <f>IF(Table1[[#This Row],[hourly_rate (USD)]]="",MEDIAN(Table1[hourly_rate (USD)]),Table1[[#This Row],[hourly_rate (USD)]])</f>
        <v>100</v>
      </c>
      <c r="O977" t="str">
        <f>TRIM(CLEAN(Table1[[#This Row],[Updated hourly_rate (USD)]]))</f>
        <v>100</v>
      </c>
      <c r="P977" t="str">
        <f>SUBSTITUTE(SUBSTITUTE(Table1[[#This Row],[Formatted hourly rate]],"USD ",""),"$","")</f>
        <v>100</v>
      </c>
      <c r="Q977">
        <v>3.7</v>
      </c>
      <c r="R977">
        <f>IF(Table1[[#This Row],[rating]]="",2.6,Table1[[#This Row],[rating]])</f>
        <v>3.7</v>
      </c>
      <c r="S977" t="s">
        <v>159</v>
      </c>
      <c r="T977" t="str">
        <f>TRIM(CLEAN(Table1[[#This Row],[is_active]]))</f>
        <v>no</v>
      </c>
      <c r="U97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77" s="11" t="str">
        <f>TRIM(IF(Table1[[#This Row],[is_active3]]="Unknown","TRUE",Table1[[#This Row],[is_active3]]))</f>
        <v>FALSE</v>
      </c>
      <c r="W977">
        <v>0.73</v>
      </c>
      <c r="X977">
        <f>IF(Table1[[#This Row],[client_satisfaction]]&gt;1,Table1[[#This Row],[client_satisfaction]]/100,Table1[[#This Row],[client_satisfaction]])</f>
        <v>0.73</v>
      </c>
      <c r="Y977">
        <f>IF(Table1[[#This Row],[client_satisfaction2]]=0,0.75,Table1[[#This Row],[client_satisfaction2]])</f>
        <v>0.73</v>
      </c>
    </row>
    <row r="978" spans="1:25" x14ac:dyDescent="0.25">
      <c r="A978" t="s">
        <v>2029</v>
      </c>
      <c r="B978" t="s">
        <v>2030</v>
      </c>
      <c r="C978" t="str">
        <f>PROPER(TRIM(SUBSTITUTE(SUBSTITUTE(SUBSTITUTE(Table1[[#This Row],[name]],"Ms. ",""),"Mr. ",""),"Mrs. ","")))</f>
        <v>Lisa Hickman</v>
      </c>
      <c r="D978" t="s">
        <v>34</v>
      </c>
      <c r="E97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78">
        <v>38</v>
      </c>
      <c r="G978" t="str">
        <f>TRIM(IF(Table1[[#This Row],[age]]="","Unknown",Table1[[#This Row],[age]]))</f>
        <v>38</v>
      </c>
      <c r="H978" t="s">
        <v>124</v>
      </c>
      <c r="I978" t="s">
        <v>125</v>
      </c>
      <c r="J978" t="s">
        <v>89</v>
      </c>
      <c r="K978">
        <v>7</v>
      </c>
      <c r="L978" s="10" t="str">
        <f>TRIM(IF(Table1[[#This Row],[years_of_experience]]="","Unknown",Table1[[#This Row],[years_of_experience]]))</f>
        <v>7</v>
      </c>
      <c r="M978">
        <v>75</v>
      </c>
      <c r="N978">
        <f>IF(Table1[[#This Row],[hourly_rate (USD)]]="",MEDIAN(Table1[hourly_rate (USD)]),Table1[[#This Row],[hourly_rate (USD)]])</f>
        <v>75</v>
      </c>
      <c r="O978" t="str">
        <f>TRIM(CLEAN(Table1[[#This Row],[Updated hourly_rate (USD)]]))</f>
        <v>75</v>
      </c>
      <c r="P978" t="str">
        <f>SUBSTITUTE(SUBSTITUTE(Table1[[#This Row],[Formatted hourly rate]],"USD ",""),"$","")</f>
        <v>75</v>
      </c>
      <c r="R978">
        <f>IF(Table1[[#This Row],[rating]]="",2.6,Table1[[#This Row],[rating]])</f>
        <v>2.6</v>
      </c>
      <c r="S978">
        <v>0</v>
      </c>
      <c r="T978" t="str">
        <f>TRIM(CLEAN(Table1[[#This Row],[is_active]]))</f>
        <v>0</v>
      </c>
      <c r="U97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78" s="11" t="str">
        <f>TRIM(IF(Table1[[#This Row],[is_active3]]="Unknown","TRUE",Table1[[#This Row],[is_active3]]))</f>
        <v>FALSE</v>
      </c>
      <c r="X978">
        <f>IF(Table1[[#This Row],[client_satisfaction]]&gt;1,Table1[[#This Row],[client_satisfaction]]/100,Table1[[#This Row],[client_satisfaction]])</f>
        <v>0</v>
      </c>
      <c r="Y978">
        <f>IF(Table1[[#This Row],[client_satisfaction2]]=0,0.75,Table1[[#This Row],[client_satisfaction2]])</f>
        <v>0.75</v>
      </c>
    </row>
    <row r="979" spans="1:25" x14ac:dyDescent="0.25">
      <c r="A979" t="s">
        <v>2031</v>
      </c>
      <c r="B979" t="s">
        <v>2032</v>
      </c>
      <c r="C979" t="str">
        <f>PROPER(TRIM(SUBSTITUTE(SUBSTITUTE(SUBSTITUTE(Table1[[#This Row],[name]],"Ms. ",""),"Mr. ",""),"Mrs. ","")))</f>
        <v>Alan Mendoza</v>
      </c>
      <c r="D979" t="s">
        <v>97</v>
      </c>
      <c r="E97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79">
        <v>57</v>
      </c>
      <c r="G979" t="str">
        <f>TRIM(IF(Table1[[#This Row],[age]]="","Unknown",Table1[[#This Row],[age]]))</f>
        <v>57</v>
      </c>
      <c r="H979" t="s">
        <v>67</v>
      </c>
      <c r="I979" t="s">
        <v>22</v>
      </c>
      <c r="J979" t="s">
        <v>78</v>
      </c>
      <c r="K979">
        <v>29</v>
      </c>
      <c r="L979" s="10" t="str">
        <f>TRIM(IF(Table1[[#This Row],[years_of_experience]]="","Unknown",Table1[[#This Row],[years_of_experience]]))</f>
        <v>29</v>
      </c>
      <c r="M979">
        <v>75</v>
      </c>
      <c r="N979">
        <f>IF(Table1[[#This Row],[hourly_rate (USD)]]="",MEDIAN(Table1[hourly_rate (USD)]),Table1[[#This Row],[hourly_rate (USD)]])</f>
        <v>75</v>
      </c>
      <c r="O979" t="str">
        <f>TRIM(CLEAN(Table1[[#This Row],[Updated hourly_rate (USD)]]))</f>
        <v>75</v>
      </c>
      <c r="P979" t="str">
        <f>SUBSTITUTE(SUBSTITUTE(Table1[[#This Row],[Formatted hourly rate]],"USD ",""),"$","")</f>
        <v>75</v>
      </c>
      <c r="Q979">
        <v>4.0999999999999996</v>
      </c>
      <c r="R979">
        <f>IF(Table1[[#This Row],[rating]]="",2.6,Table1[[#This Row],[rating]])</f>
        <v>4.0999999999999996</v>
      </c>
      <c r="S979" t="s">
        <v>31</v>
      </c>
      <c r="T979" t="str">
        <f>TRIM(CLEAN(Table1[[#This Row],[is_active]]))</f>
        <v>N</v>
      </c>
      <c r="U97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79" s="11" t="str">
        <f>TRIM(IF(Table1[[#This Row],[is_active3]]="Unknown","TRUE",Table1[[#This Row],[is_active3]]))</f>
        <v>FALSE</v>
      </c>
      <c r="W979">
        <v>0.9</v>
      </c>
      <c r="X979">
        <f>IF(Table1[[#This Row],[client_satisfaction]]&gt;1,Table1[[#This Row],[client_satisfaction]]/100,Table1[[#This Row],[client_satisfaction]])</f>
        <v>0.9</v>
      </c>
      <c r="Y979">
        <f>IF(Table1[[#This Row],[client_satisfaction2]]=0,0.75,Table1[[#This Row],[client_satisfaction2]])</f>
        <v>0.9</v>
      </c>
    </row>
    <row r="980" spans="1:25" x14ac:dyDescent="0.25">
      <c r="A980" t="s">
        <v>2033</v>
      </c>
      <c r="B980" t="s">
        <v>2034</v>
      </c>
      <c r="C980" t="str">
        <f>PROPER(TRIM(SUBSTITUTE(SUBSTITUTE(SUBSTITUTE(Table1[[#This Row],[name]],"Ms. ",""),"Mr. ",""),"Mrs. ","")))</f>
        <v>Jason Sanders</v>
      </c>
      <c r="D980" t="s">
        <v>61</v>
      </c>
      <c r="E98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80">
        <v>27</v>
      </c>
      <c r="G980" t="str">
        <f>TRIM(IF(Table1[[#This Row],[age]]="","Unknown",Table1[[#This Row],[age]]))</f>
        <v>27</v>
      </c>
      <c r="H980" t="s">
        <v>175</v>
      </c>
      <c r="I980" t="s">
        <v>176</v>
      </c>
      <c r="J980" t="s">
        <v>17</v>
      </c>
      <c r="K980">
        <v>5</v>
      </c>
      <c r="L980" s="10" t="str">
        <f>TRIM(IF(Table1[[#This Row],[years_of_experience]]="","Unknown",Table1[[#This Row],[years_of_experience]]))</f>
        <v>5</v>
      </c>
      <c r="M980" t="s">
        <v>170</v>
      </c>
      <c r="N980" t="str">
        <f>IF(Table1[[#This Row],[hourly_rate (USD)]]="",MEDIAN(Table1[hourly_rate (USD)]),Table1[[#This Row],[hourly_rate (USD)]])</f>
        <v>$75</v>
      </c>
      <c r="O980" t="str">
        <f>TRIM(CLEAN(Table1[[#This Row],[Updated hourly_rate (USD)]]))</f>
        <v>$75</v>
      </c>
      <c r="P980" t="str">
        <f>SUBSTITUTE(SUBSTITUTE(Table1[[#This Row],[Formatted hourly rate]],"USD ",""),"$","")</f>
        <v>75</v>
      </c>
      <c r="Q980">
        <v>1.4</v>
      </c>
      <c r="R980">
        <f>IF(Table1[[#This Row],[rating]]="",2.6,Table1[[#This Row],[rating]])</f>
        <v>1.4</v>
      </c>
      <c r="S980" t="b">
        <v>1</v>
      </c>
      <c r="T980" t="str">
        <f>TRIM(CLEAN(Table1[[#This Row],[is_active]]))</f>
        <v>TRUE</v>
      </c>
      <c r="U980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80" s="11" t="str">
        <f>TRIM(IF(Table1[[#This Row],[is_active3]]="Unknown","TRUE",Table1[[#This Row],[is_active3]]))</f>
        <v>TRUE</v>
      </c>
      <c r="W980">
        <v>0.64</v>
      </c>
      <c r="X980">
        <f>IF(Table1[[#This Row],[client_satisfaction]]&gt;1,Table1[[#This Row],[client_satisfaction]]/100,Table1[[#This Row],[client_satisfaction]])</f>
        <v>0.64</v>
      </c>
      <c r="Y980">
        <f>IF(Table1[[#This Row],[client_satisfaction2]]=0,0.75,Table1[[#This Row],[client_satisfaction2]])</f>
        <v>0.64</v>
      </c>
    </row>
    <row r="981" spans="1:25" x14ac:dyDescent="0.25">
      <c r="A981" t="s">
        <v>2035</v>
      </c>
      <c r="B981" t="s">
        <v>2036</v>
      </c>
      <c r="C981" t="str">
        <f>PROPER(TRIM(SUBSTITUTE(SUBSTITUTE(SUBSTITUTE(Table1[[#This Row],[name]],"Ms. ",""),"Mr. ",""),"Mrs. ","")))</f>
        <v>Charles Dean</v>
      </c>
      <c r="D981" t="s">
        <v>48</v>
      </c>
      <c r="E98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81">
        <v>43</v>
      </c>
      <c r="G981" t="str">
        <f>TRIM(IF(Table1[[#This Row],[age]]="","Unknown",Table1[[#This Row],[age]]))</f>
        <v>43</v>
      </c>
      <c r="H981" t="s">
        <v>71</v>
      </c>
      <c r="I981" t="s">
        <v>72</v>
      </c>
      <c r="J981" t="s">
        <v>35</v>
      </c>
      <c r="K981">
        <v>2</v>
      </c>
      <c r="L981" s="10" t="str">
        <f>TRIM(IF(Table1[[#This Row],[years_of_experience]]="","Unknown",Table1[[#This Row],[years_of_experience]]))</f>
        <v>2</v>
      </c>
      <c r="M981">
        <v>100</v>
      </c>
      <c r="N981">
        <f>IF(Table1[[#This Row],[hourly_rate (USD)]]="",MEDIAN(Table1[hourly_rate (USD)]),Table1[[#This Row],[hourly_rate (USD)]])</f>
        <v>100</v>
      </c>
      <c r="O981" t="str">
        <f>TRIM(CLEAN(Table1[[#This Row],[Updated hourly_rate (USD)]]))</f>
        <v>100</v>
      </c>
      <c r="P981" t="str">
        <f>SUBSTITUTE(SUBSTITUTE(Table1[[#This Row],[Formatted hourly rate]],"USD ",""),"$","")</f>
        <v>100</v>
      </c>
      <c r="Q981">
        <v>1.1000000000000001</v>
      </c>
      <c r="R981">
        <f>IF(Table1[[#This Row],[rating]]="",2.6,Table1[[#This Row],[rating]])</f>
        <v>1.1000000000000001</v>
      </c>
      <c r="S981">
        <v>1</v>
      </c>
      <c r="T981" t="str">
        <f>TRIM(CLEAN(Table1[[#This Row],[is_active]]))</f>
        <v>1</v>
      </c>
      <c r="U98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81" s="11" t="str">
        <f>TRIM(IF(Table1[[#This Row],[is_active3]]="Unknown","TRUE",Table1[[#This Row],[is_active3]]))</f>
        <v>TRUE</v>
      </c>
      <c r="W981">
        <v>0.63</v>
      </c>
      <c r="X981">
        <f>IF(Table1[[#This Row],[client_satisfaction]]&gt;1,Table1[[#This Row],[client_satisfaction]]/100,Table1[[#This Row],[client_satisfaction]])</f>
        <v>0.63</v>
      </c>
      <c r="Y981">
        <f>IF(Table1[[#This Row],[client_satisfaction2]]=0,0.75,Table1[[#This Row],[client_satisfaction2]])</f>
        <v>0.63</v>
      </c>
    </row>
    <row r="982" spans="1:25" x14ac:dyDescent="0.25">
      <c r="A982" t="s">
        <v>2037</v>
      </c>
      <c r="B982" t="s">
        <v>2038</v>
      </c>
      <c r="C982" t="str">
        <f>PROPER(TRIM(SUBSTITUTE(SUBSTITUTE(SUBSTITUTE(Table1[[#This Row],[name]],"Ms. ",""),"Mr. ",""),"Mrs. ","")))</f>
        <v>Blake Newton</v>
      </c>
      <c r="D982" t="s">
        <v>27</v>
      </c>
      <c r="E98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82">
        <v>48</v>
      </c>
      <c r="G982" t="str">
        <f>TRIM(IF(Table1[[#This Row],[age]]="","Unknown",Table1[[#This Row],[age]]))</f>
        <v>48</v>
      </c>
      <c r="H982" t="s">
        <v>128</v>
      </c>
      <c r="I982" t="s">
        <v>22</v>
      </c>
      <c r="J982" t="s">
        <v>51</v>
      </c>
      <c r="K982">
        <v>18</v>
      </c>
      <c r="L982" s="10" t="str">
        <f>TRIM(IF(Table1[[#This Row],[years_of_experience]]="","Unknown",Table1[[#This Row],[years_of_experience]]))</f>
        <v>18</v>
      </c>
      <c r="M982" t="s">
        <v>36</v>
      </c>
      <c r="N982" t="str">
        <f>IF(Table1[[#This Row],[hourly_rate (USD)]]="",MEDIAN(Table1[hourly_rate (USD)]),Table1[[#This Row],[hourly_rate (USD)]])</f>
        <v>$40</v>
      </c>
      <c r="O982" t="str">
        <f>TRIM(CLEAN(Table1[[#This Row],[Updated hourly_rate (USD)]]))</f>
        <v>$40</v>
      </c>
      <c r="P982" t="str">
        <f>SUBSTITUTE(SUBSTITUTE(Table1[[#This Row],[Formatted hourly rate]],"USD ",""),"$","")</f>
        <v>40</v>
      </c>
      <c r="Q982">
        <v>3.9</v>
      </c>
      <c r="R982">
        <f>IF(Table1[[#This Row],[rating]]="",2.6,Table1[[#This Row],[rating]])</f>
        <v>3.9</v>
      </c>
      <c r="T982" t="str">
        <f>TRIM(CLEAN(Table1[[#This Row],[is_active]]))</f>
        <v/>
      </c>
      <c r="U982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82" s="11" t="str">
        <f>TRIM(IF(Table1[[#This Row],[is_active3]]="Unknown","TRUE",Table1[[#This Row],[is_active3]]))</f>
        <v>TRUE</v>
      </c>
      <c r="X982">
        <f>IF(Table1[[#This Row],[client_satisfaction]]&gt;1,Table1[[#This Row],[client_satisfaction]]/100,Table1[[#This Row],[client_satisfaction]])</f>
        <v>0</v>
      </c>
      <c r="Y982">
        <f>IF(Table1[[#This Row],[client_satisfaction2]]=0,0.75,Table1[[#This Row],[client_satisfaction2]])</f>
        <v>0.75</v>
      </c>
    </row>
    <row r="983" spans="1:25" x14ac:dyDescent="0.25">
      <c r="A983" t="s">
        <v>2039</v>
      </c>
      <c r="B983" t="s">
        <v>2040</v>
      </c>
      <c r="C983" t="str">
        <f>PROPER(TRIM(SUBSTITUTE(SUBSTITUTE(SUBSTITUTE(Table1[[#This Row],[name]],"Ms. ",""),"Mr. ",""),"Mrs. ","")))</f>
        <v>David Gonzalez</v>
      </c>
      <c r="D983" t="s">
        <v>92</v>
      </c>
      <c r="E98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83">
        <v>26</v>
      </c>
      <c r="G983" t="str">
        <f>TRIM(IF(Table1[[#This Row],[age]]="","Unknown",Table1[[#This Row],[age]]))</f>
        <v>26</v>
      </c>
      <c r="H983" t="s">
        <v>107</v>
      </c>
      <c r="I983" t="s">
        <v>108</v>
      </c>
      <c r="J983" t="s">
        <v>78</v>
      </c>
      <c r="K983">
        <v>8</v>
      </c>
      <c r="L983" s="10" t="str">
        <f>TRIM(IF(Table1[[#This Row],[years_of_experience]]="","Unknown",Table1[[#This Row],[years_of_experience]]))</f>
        <v>8</v>
      </c>
      <c r="M983">
        <v>20</v>
      </c>
      <c r="N983">
        <f>IF(Table1[[#This Row],[hourly_rate (USD)]]="",MEDIAN(Table1[hourly_rate (USD)]),Table1[[#This Row],[hourly_rate (USD)]])</f>
        <v>20</v>
      </c>
      <c r="O983" t="str">
        <f>TRIM(CLEAN(Table1[[#This Row],[Updated hourly_rate (USD)]]))</f>
        <v>20</v>
      </c>
      <c r="P983" t="str">
        <f>SUBSTITUTE(SUBSTITUTE(Table1[[#This Row],[Formatted hourly rate]],"USD ",""),"$","")</f>
        <v>20</v>
      </c>
      <c r="Q983">
        <v>3.6</v>
      </c>
      <c r="R983">
        <f>IF(Table1[[#This Row],[rating]]="",2.6,Table1[[#This Row],[rating]])</f>
        <v>3.6</v>
      </c>
      <c r="S983">
        <v>0</v>
      </c>
      <c r="T983" t="str">
        <f>TRIM(CLEAN(Table1[[#This Row],[is_active]]))</f>
        <v>0</v>
      </c>
      <c r="U983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83" s="11" t="str">
        <f>TRIM(IF(Table1[[#This Row],[is_active3]]="Unknown","TRUE",Table1[[#This Row],[is_active3]]))</f>
        <v>FALSE</v>
      </c>
      <c r="W983">
        <v>0.67</v>
      </c>
      <c r="X983">
        <f>IF(Table1[[#This Row],[client_satisfaction]]&gt;1,Table1[[#This Row],[client_satisfaction]]/100,Table1[[#This Row],[client_satisfaction]])</f>
        <v>0.67</v>
      </c>
      <c r="Y983">
        <f>IF(Table1[[#This Row],[client_satisfaction2]]=0,0.75,Table1[[#This Row],[client_satisfaction2]])</f>
        <v>0.67</v>
      </c>
    </row>
    <row r="984" spans="1:25" x14ac:dyDescent="0.25">
      <c r="A984" t="s">
        <v>2041</v>
      </c>
      <c r="B984" t="s">
        <v>2042</v>
      </c>
      <c r="C984" t="str">
        <f>PROPER(TRIM(SUBSTITUTE(SUBSTITUTE(SUBSTITUTE(Table1[[#This Row],[name]],"Ms. ",""),"Mr. ",""),"Mrs. ","")))</f>
        <v>Cindy Williams</v>
      </c>
      <c r="D984" t="s">
        <v>77</v>
      </c>
      <c r="E98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G984" t="str">
        <f>TRIM(IF(Table1[[#This Row],[age]]="","Unknown",Table1[[#This Row],[age]]))</f>
        <v>Unknown</v>
      </c>
      <c r="H984" t="s">
        <v>153</v>
      </c>
      <c r="I984" t="s">
        <v>154</v>
      </c>
      <c r="J984" t="s">
        <v>30</v>
      </c>
      <c r="K984">
        <v>0</v>
      </c>
      <c r="L984" s="10" t="str">
        <f>TRIM(IF(Table1[[#This Row],[years_of_experience]]="","Unknown",Table1[[#This Row],[years_of_experience]]))</f>
        <v>0</v>
      </c>
      <c r="M984" t="s">
        <v>36</v>
      </c>
      <c r="N984" t="str">
        <f>IF(Table1[[#This Row],[hourly_rate (USD)]]="",MEDIAN(Table1[hourly_rate (USD)]),Table1[[#This Row],[hourly_rate (USD)]])</f>
        <v>$40</v>
      </c>
      <c r="O984" t="str">
        <f>TRIM(CLEAN(Table1[[#This Row],[Updated hourly_rate (USD)]]))</f>
        <v>$40</v>
      </c>
      <c r="P984" t="str">
        <f>SUBSTITUTE(SUBSTITUTE(Table1[[#This Row],[Formatted hourly rate]],"USD ",""),"$","")</f>
        <v>40</v>
      </c>
      <c r="Q984">
        <v>0</v>
      </c>
      <c r="R984">
        <f>IF(Table1[[#This Row],[rating]]="",2.6,Table1[[#This Row],[rating]])</f>
        <v>0</v>
      </c>
      <c r="S984" t="s">
        <v>159</v>
      </c>
      <c r="T984" t="str">
        <f>TRIM(CLEAN(Table1[[#This Row],[is_active]]))</f>
        <v>no</v>
      </c>
      <c r="U98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84" s="11" t="str">
        <f>TRIM(IF(Table1[[#This Row],[is_active3]]="Unknown","TRUE",Table1[[#This Row],[is_active3]]))</f>
        <v>FALSE</v>
      </c>
      <c r="W984">
        <v>0.97</v>
      </c>
      <c r="X984">
        <f>IF(Table1[[#This Row],[client_satisfaction]]&gt;1,Table1[[#This Row],[client_satisfaction]]/100,Table1[[#This Row],[client_satisfaction]])</f>
        <v>0.97</v>
      </c>
      <c r="Y984">
        <f>IF(Table1[[#This Row],[client_satisfaction2]]=0,0.75,Table1[[#This Row],[client_satisfaction2]])</f>
        <v>0.97</v>
      </c>
    </row>
    <row r="985" spans="1:25" x14ac:dyDescent="0.25">
      <c r="A985" t="s">
        <v>2043</v>
      </c>
      <c r="B985" t="s">
        <v>2044</v>
      </c>
      <c r="C985" t="str">
        <f>PROPER(TRIM(SUBSTITUTE(SUBSTITUTE(SUBSTITUTE(Table1[[#This Row],[name]],"Ms. ",""),"Mr. ",""),"Mrs. ","")))</f>
        <v>Laura Wong Dds</v>
      </c>
      <c r="D985" t="s">
        <v>39</v>
      </c>
      <c r="E98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85">
        <v>50</v>
      </c>
      <c r="G985" t="str">
        <f>TRIM(IF(Table1[[#This Row],[age]]="","Unknown",Table1[[#This Row],[age]]))</f>
        <v>50</v>
      </c>
      <c r="H985" t="s">
        <v>15</v>
      </c>
      <c r="I985" t="s">
        <v>16</v>
      </c>
      <c r="J985" t="s">
        <v>51</v>
      </c>
      <c r="K985">
        <v>16</v>
      </c>
      <c r="L985" s="10" t="str">
        <f>TRIM(IF(Table1[[#This Row],[years_of_experience]]="","Unknown",Table1[[#This Row],[years_of_experience]]))</f>
        <v>16</v>
      </c>
      <c r="M985" t="s">
        <v>170</v>
      </c>
      <c r="N985" t="str">
        <f>IF(Table1[[#This Row],[hourly_rate (USD)]]="",MEDIAN(Table1[hourly_rate (USD)]),Table1[[#This Row],[hourly_rate (USD)]])</f>
        <v>$75</v>
      </c>
      <c r="O985" t="str">
        <f>TRIM(CLEAN(Table1[[#This Row],[Updated hourly_rate (USD)]]))</f>
        <v>$75</v>
      </c>
      <c r="P985" t="str">
        <f>SUBSTITUTE(SUBSTITUTE(Table1[[#This Row],[Formatted hourly rate]],"USD ",""),"$","")</f>
        <v>75</v>
      </c>
      <c r="Q985">
        <v>4.5</v>
      </c>
      <c r="R985">
        <f>IF(Table1[[#This Row],[rating]]="",2.6,Table1[[#This Row],[rating]])</f>
        <v>4.5</v>
      </c>
      <c r="S985">
        <v>0</v>
      </c>
      <c r="T985" t="str">
        <f>TRIM(CLEAN(Table1[[#This Row],[is_active]]))</f>
        <v>0</v>
      </c>
      <c r="U985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85" s="11" t="str">
        <f>TRIM(IF(Table1[[#This Row],[is_active3]]="Unknown","TRUE",Table1[[#This Row],[is_active3]]))</f>
        <v>FALSE</v>
      </c>
      <c r="W985">
        <v>69</v>
      </c>
      <c r="X985">
        <f>IF(Table1[[#This Row],[client_satisfaction]]&gt;1,Table1[[#This Row],[client_satisfaction]]/100,Table1[[#This Row],[client_satisfaction]])</f>
        <v>0.69</v>
      </c>
      <c r="Y985">
        <f>IF(Table1[[#This Row],[client_satisfaction2]]=0,0.75,Table1[[#This Row],[client_satisfaction2]])</f>
        <v>0.69</v>
      </c>
    </row>
    <row r="986" spans="1:25" x14ac:dyDescent="0.25">
      <c r="A986" t="s">
        <v>2045</v>
      </c>
      <c r="B986" t="s">
        <v>2046</v>
      </c>
      <c r="C986" t="str">
        <f>PROPER(TRIM(SUBSTITUTE(SUBSTITUTE(SUBSTITUTE(Table1[[#This Row],[name]],"Ms. ",""),"Mr. ",""),"Mrs. ","")))</f>
        <v>Robert Moran</v>
      </c>
      <c r="D986" t="s">
        <v>48</v>
      </c>
      <c r="E98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86">
        <v>48</v>
      </c>
      <c r="G986" t="str">
        <f>TRIM(IF(Table1[[#This Row],[age]]="","Unknown",Table1[[#This Row],[age]]))</f>
        <v>48</v>
      </c>
      <c r="H986" t="s">
        <v>153</v>
      </c>
      <c r="I986" t="s">
        <v>154</v>
      </c>
      <c r="J986" t="s">
        <v>35</v>
      </c>
      <c r="K986">
        <v>8</v>
      </c>
      <c r="L986" s="10" t="str">
        <f>TRIM(IF(Table1[[#This Row],[years_of_experience]]="","Unknown",Table1[[#This Row],[years_of_experience]]))</f>
        <v>8</v>
      </c>
      <c r="M986">
        <v>50</v>
      </c>
      <c r="N986">
        <f>IF(Table1[[#This Row],[hourly_rate (USD)]]="",MEDIAN(Table1[hourly_rate (USD)]),Table1[[#This Row],[hourly_rate (USD)]])</f>
        <v>50</v>
      </c>
      <c r="O986" t="str">
        <f>TRIM(CLEAN(Table1[[#This Row],[Updated hourly_rate (USD)]]))</f>
        <v>50</v>
      </c>
      <c r="P986" t="str">
        <f>SUBSTITUTE(SUBSTITUTE(Table1[[#This Row],[Formatted hourly rate]],"USD ",""),"$","")</f>
        <v>50</v>
      </c>
      <c r="R986">
        <f>IF(Table1[[#This Row],[rating]]="",2.6,Table1[[#This Row],[rating]])</f>
        <v>2.6</v>
      </c>
      <c r="S986">
        <v>1</v>
      </c>
      <c r="T986" t="str">
        <f>TRIM(CLEAN(Table1[[#This Row],[is_active]]))</f>
        <v>1</v>
      </c>
      <c r="U98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86" s="11" t="str">
        <f>TRIM(IF(Table1[[#This Row],[is_active3]]="Unknown","TRUE",Table1[[#This Row],[is_active3]]))</f>
        <v>TRUE</v>
      </c>
      <c r="W986">
        <v>0.73</v>
      </c>
      <c r="X986">
        <f>IF(Table1[[#This Row],[client_satisfaction]]&gt;1,Table1[[#This Row],[client_satisfaction]]/100,Table1[[#This Row],[client_satisfaction]])</f>
        <v>0.73</v>
      </c>
      <c r="Y986">
        <f>IF(Table1[[#This Row],[client_satisfaction2]]=0,0.75,Table1[[#This Row],[client_satisfaction2]])</f>
        <v>0.73</v>
      </c>
    </row>
    <row r="987" spans="1:25" x14ac:dyDescent="0.25">
      <c r="A987" t="s">
        <v>2047</v>
      </c>
      <c r="B987" t="s">
        <v>2048</v>
      </c>
      <c r="C987" t="str">
        <f>PROPER(TRIM(SUBSTITUTE(SUBSTITUTE(SUBSTITUTE(Table1[[#This Row],[name]],"Ms. ",""),"Mr. ",""),"Mrs. ","")))</f>
        <v>Bradley Wu</v>
      </c>
      <c r="D987" t="s">
        <v>48</v>
      </c>
      <c r="E98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87">
        <v>60</v>
      </c>
      <c r="G987" t="str">
        <f>TRIM(IF(Table1[[#This Row],[age]]="","Unknown",Table1[[#This Row],[age]]))</f>
        <v>60</v>
      </c>
      <c r="H987" t="s">
        <v>190</v>
      </c>
      <c r="I987" t="s">
        <v>72</v>
      </c>
      <c r="J987" t="s">
        <v>17</v>
      </c>
      <c r="K987">
        <v>39</v>
      </c>
      <c r="L987" s="10" t="str">
        <f>TRIM(IF(Table1[[#This Row],[years_of_experience]]="","Unknown",Table1[[#This Row],[years_of_experience]]))</f>
        <v>39</v>
      </c>
      <c r="M987">
        <v>20</v>
      </c>
      <c r="N987">
        <f>IF(Table1[[#This Row],[hourly_rate (USD)]]="",MEDIAN(Table1[hourly_rate (USD)]),Table1[[#This Row],[hourly_rate (USD)]])</f>
        <v>20</v>
      </c>
      <c r="O987" t="str">
        <f>TRIM(CLEAN(Table1[[#This Row],[Updated hourly_rate (USD)]]))</f>
        <v>20</v>
      </c>
      <c r="P987" t="str">
        <f>SUBSTITUTE(SUBSTITUTE(Table1[[#This Row],[Formatted hourly rate]],"USD ",""),"$","")</f>
        <v>20</v>
      </c>
      <c r="Q987">
        <v>1.4</v>
      </c>
      <c r="R987">
        <f>IF(Table1[[#This Row],[rating]]="",2.6,Table1[[#This Row],[rating]])</f>
        <v>1.4</v>
      </c>
      <c r="S987" t="b">
        <v>1</v>
      </c>
      <c r="T987" t="str">
        <f>TRIM(CLEAN(Table1[[#This Row],[is_active]]))</f>
        <v>TRUE</v>
      </c>
      <c r="U987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87" s="11" t="str">
        <f>TRIM(IF(Table1[[#This Row],[is_active3]]="Unknown","TRUE",Table1[[#This Row],[is_active3]]))</f>
        <v>TRUE</v>
      </c>
      <c r="W987">
        <v>0.86</v>
      </c>
      <c r="X987">
        <f>IF(Table1[[#This Row],[client_satisfaction]]&gt;1,Table1[[#This Row],[client_satisfaction]]/100,Table1[[#This Row],[client_satisfaction]])</f>
        <v>0.86</v>
      </c>
      <c r="Y987">
        <f>IF(Table1[[#This Row],[client_satisfaction2]]=0,0.75,Table1[[#This Row],[client_satisfaction2]])</f>
        <v>0.86</v>
      </c>
    </row>
    <row r="988" spans="1:25" x14ac:dyDescent="0.25">
      <c r="A988" t="s">
        <v>2049</v>
      </c>
      <c r="B988" t="s">
        <v>2050</v>
      </c>
      <c r="C988" t="str">
        <f>PROPER(TRIM(SUBSTITUTE(SUBSTITUTE(SUBSTITUTE(Table1[[#This Row],[name]],"Ms. ",""),"Mr. ",""),"Mrs. ","")))</f>
        <v>Daniel Thomas</v>
      </c>
      <c r="D988" t="s">
        <v>97</v>
      </c>
      <c r="E98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88">
        <v>26</v>
      </c>
      <c r="G988" t="str">
        <f>TRIM(IF(Table1[[#This Row],[age]]="","Unknown",Table1[[#This Row],[age]]))</f>
        <v>26</v>
      </c>
      <c r="H988" t="s">
        <v>139</v>
      </c>
      <c r="I988" t="s">
        <v>140</v>
      </c>
      <c r="J988" t="s">
        <v>114</v>
      </c>
      <c r="L988" s="10" t="str">
        <f>TRIM(IF(Table1[[#This Row],[years_of_experience]]="","Unknown",Table1[[#This Row],[years_of_experience]]))</f>
        <v>Unknown</v>
      </c>
      <c r="M988">
        <v>50</v>
      </c>
      <c r="N988">
        <f>IF(Table1[[#This Row],[hourly_rate (USD)]]="",MEDIAN(Table1[hourly_rate (USD)]),Table1[[#This Row],[hourly_rate (USD)]])</f>
        <v>50</v>
      </c>
      <c r="O988" t="str">
        <f>TRIM(CLEAN(Table1[[#This Row],[Updated hourly_rate (USD)]]))</f>
        <v>50</v>
      </c>
      <c r="P988" t="str">
        <f>SUBSTITUTE(SUBSTITUTE(Table1[[#This Row],[Formatted hourly rate]],"USD ",""),"$","")</f>
        <v>50</v>
      </c>
      <c r="Q988">
        <v>0</v>
      </c>
      <c r="R988">
        <f>IF(Table1[[#This Row],[rating]]="",2.6,Table1[[#This Row],[rating]])</f>
        <v>0</v>
      </c>
      <c r="S988" t="s">
        <v>68</v>
      </c>
      <c r="T988" t="str">
        <f>TRIM(CLEAN(Table1[[#This Row],[is_active]]))</f>
        <v>yes</v>
      </c>
      <c r="U98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88" s="11" t="str">
        <f>TRIM(IF(Table1[[#This Row],[is_active3]]="Unknown","TRUE",Table1[[#This Row],[is_active3]]))</f>
        <v>TRUE</v>
      </c>
      <c r="W988">
        <v>81</v>
      </c>
      <c r="X988">
        <f>IF(Table1[[#This Row],[client_satisfaction]]&gt;1,Table1[[#This Row],[client_satisfaction]]/100,Table1[[#This Row],[client_satisfaction]])</f>
        <v>0.81</v>
      </c>
      <c r="Y988">
        <f>IF(Table1[[#This Row],[client_satisfaction2]]=0,0.75,Table1[[#This Row],[client_satisfaction2]])</f>
        <v>0.81</v>
      </c>
    </row>
    <row r="989" spans="1:25" x14ac:dyDescent="0.25">
      <c r="A989" t="s">
        <v>2051</v>
      </c>
      <c r="B989" t="s">
        <v>2052</v>
      </c>
      <c r="C989" t="str">
        <f>PROPER(TRIM(SUBSTITUTE(SUBSTITUTE(SUBSTITUTE(Table1[[#This Row],[name]],"Ms. ",""),"Mr. ",""),"Mrs. ","")))</f>
        <v>Michelle Peterson</v>
      </c>
      <c r="D989" t="s">
        <v>20</v>
      </c>
      <c r="E98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89">
        <v>35</v>
      </c>
      <c r="G989" t="str">
        <f>TRIM(IF(Table1[[#This Row],[age]]="","Unknown",Table1[[#This Row],[age]]))</f>
        <v>35</v>
      </c>
      <c r="H989" t="s">
        <v>112</v>
      </c>
      <c r="I989" t="s">
        <v>113</v>
      </c>
      <c r="J989" t="s">
        <v>30</v>
      </c>
      <c r="K989">
        <v>16</v>
      </c>
      <c r="L989" s="10" t="str">
        <f>TRIM(IF(Table1[[#This Row],[years_of_experience]]="","Unknown",Table1[[#This Row],[years_of_experience]]))</f>
        <v>16</v>
      </c>
      <c r="M989" t="s">
        <v>24</v>
      </c>
      <c r="N989" t="str">
        <f>IF(Table1[[#This Row],[hourly_rate (USD)]]="",MEDIAN(Table1[hourly_rate (USD)]),Table1[[#This Row],[hourly_rate (USD)]])</f>
        <v>USD 100</v>
      </c>
      <c r="O989" t="str">
        <f>TRIM(CLEAN(Table1[[#This Row],[Updated hourly_rate (USD)]]))</f>
        <v>USD 100</v>
      </c>
      <c r="P989" t="str">
        <f>SUBSTITUTE(SUBSTITUTE(Table1[[#This Row],[Formatted hourly rate]],"USD ",""),"$","")</f>
        <v>100</v>
      </c>
      <c r="Q989">
        <v>4.3</v>
      </c>
      <c r="R989">
        <f>IF(Table1[[#This Row],[rating]]="",2.6,Table1[[#This Row],[rating]])</f>
        <v>4.3</v>
      </c>
      <c r="S989">
        <v>1</v>
      </c>
      <c r="T989" t="str">
        <f>TRIM(CLEAN(Table1[[#This Row],[is_active]]))</f>
        <v>1</v>
      </c>
      <c r="U989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89" s="11" t="str">
        <f>TRIM(IF(Table1[[#This Row],[is_active3]]="Unknown","TRUE",Table1[[#This Row],[is_active3]]))</f>
        <v>TRUE</v>
      </c>
      <c r="W989">
        <v>0.74</v>
      </c>
      <c r="X989">
        <f>IF(Table1[[#This Row],[client_satisfaction]]&gt;1,Table1[[#This Row],[client_satisfaction]]/100,Table1[[#This Row],[client_satisfaction]])</f>
        <v>0.74</v>
      </c>
      <c r="Y989">
        <f>IF(Table1[[#This Row],[client_satisfaction2]]=0,0.75,Table1[[#This Row],[client_satisfaction2]])</f>
        <v>0.74</v>
      </c>
    </row>
    <row r="990" spans="1:25" x14ac:dyDescent="0.25">
      <c r="A990" t="s">
        <v>2053</v>
      </c>
      <c r="B990" t="s">
        <v>2054</v>
      </c>
      <c r="C990" t="str">
        <f>PROPER(TRIM(SUBSTITUTE(SUBSTITUTE(SUBSTITUTE(Table1[[#This Row],[name]],"Ms. ",""),"Mr. ",""),"Mrs. ","")))</f>
        <v>Seth Thomas</v>
      </c>
      <c r="D990" t="s">
        <v>97</v>
      </c>
      <c r="E99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90">
        <v>23</v>
      </c>
      <c r="G990" t="str">
        <f>TRIM(IF(Table1[[#This Row],[age]]="","Unknown",Table1[[#This Row],[age]]))</f>
        <v>23</v>
      </c>
      <c r="H990" t="s">
        <v>58</v>
      </c>
      <c r="I990" t="s">
        <v>22</v>
      </c>
      <c r="J990" t="s">
        <v>17</v>
      </c>
      <c r="K990">
        <v>4</v>
      </c>
      <c r="L990" s="10" t="str">
        <f>TRIM(IF(Table1[[#This Row],[years_of_experience]]="","Unknown",Table1[[#This Row],[years_of_experience]]))</f>
        <v>4</v>
      </c>
      <c r="M990" t="s">
        <v>229</v>
      </c>
      <c r="N990" t="str">
        <f>IF(Table1[[#This Row],[hourly_rate (USD)]]="",MEDIAN(Table1[hourly_rate (USD)]),Table1[[#This Row],[hourly_rate (USD)]])</f>
        <v>$100</v>
      </c>
      <c r="O990" t="str">
        <f>TRIM(CLEAN(Table1[[#This Row],[Updated hourly_rate (USD)]]))</f>
        <v>$100</v>
      </c>
      <c r="P990" t="str">
        <f>SUBSTITUTE(SUBSTITUTE(Table1[[#This Row],[Formatted hourly rate]],"USD ",""),"$","")</f>
        <v>100</v>
      </c>
      <c r="Q990">
        <v>2.2000000000000002</v>
      </c>
      <c r="R990">
        <f>IF(Table1[[#This Row],[rating]]="",2.6,Table1[[#This Row],[rating]])</f>
        <v>2.2000000000000002</v>
      </c>
      <c r="S990">
        <v>1</v>
      </c>
      <c r="T990" t="str">
        <f>TRIM(CLEAN(Table1[[#This Row],[is_active]]))</f>
        <v>1</v>
      </c>
      <c r="U99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90" s="11" t="str">
        <f>TRIM(IF(Table1[[#This Row],[is_active3]]="Unknown","TRUE",Table1[[#This Row],[is_active3]]))</f>
        <v>TRUE</v>
      </c>
      <c r="W990">
        <v>64</v>
      </c>
      <c r="X990">
        <f>IF(Table1[[#This Row],[client_satisfaction]]&gt;1,Table1[[#This Row],[client_satisfaction]]/100,Table1[[#This Row],[client_satisfaction]])</f>
        <v>0.64</v>
      </c>
      <c r="Y990">
        <f>IF(Table1[[#This Row],[client_satisfaction2]]=0,0.75,Table1[[#This Row],[client_satisfaction2]])</f>
        <v>0.64</v>
      </c>
    </row>
    <row r="991" spans="1:25" x14ac:dyDescent="0.25">
      <c r="A991" t="s">
        <v>2055</v>
      </c>
      <c r="B991" t="s">
        <v>2056</v>
      </c>
      <c r="C991" t="str">
        <f>PROPER(TRIM(SUBSTITUTE(SUBSTITUTE(SUBSTITUTE(Table1[[#This Row],[name]],"Ms. ",""),"Mr. ",""),"Mrs. ","")))</f>
        <v>Evan Ramos</v>
      </c>
      <c r="D991" t="s">
        <v>97</v>
      </c>
      <c r="E99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91">
        <v>37</v>
      </c>
      <c r="G991" t="str">
        <f>TRIM(IF(Table1[[#This Row],[age]]="","Unknown",Table1[[#This Row],[age]]))</f>
        <v>37</v>
      </c>
      <c r="H991" t="s">
        <v>21</v>
      </c>
      <c r="I991" t="s">
        <v>22</v>
      </c>
      <c r="J991" t="s">
        <v>30</v>
      </c>
      <c r="K991">
        <v>4</v>
      </c>
      <c r="L991" s="10" t="str">
        <f>TRIM(IF(Table1[[#This Row],[years_of_experience]]="","Unknown",Table1[[#This Row],[years_of_experience]]))</f>
        <v>4</v>
      </c>
      <c r="M991">
        <v>75</v>
      </c>
      <c r="N991">
        <f>IF(Table1[[#This Row],[hourly_rate (USD)]]="",MEDIAN(Table1[hourly_rate (USD)]),Table1[[#This Row],[hourly_rate (USD)]])</f>
        <v>75</v>
      </c>
      <c r="O991" t="str">
        <f>TRIM(CLEAN(Table1[[#This Row],[Updated hourly_rate (USD)]]))</f>
        <v>75</v>
      </c>
      <c r="P991" t="str">
        <f>SUBSTITUTE(SUBSTITUTE(Table1[[#This Row],[Formatted hourly rate]],"USD ",""),"$","")</f>
        <v>75</v>
      </c>
      <c r="Q991">
        <v>3.2</v>
      </c>
      <c r="R991">
        <f>IF(Table1[[#This Row],[rating]]="",2.6,Table1[[#This Row],[rating]])</f>
        <v>3.2</v>
      </c>
      <c r="S991" t="b">
        <v>0</v>
      </c>
      <c r="T991" t="str">
        <f>TRIM(CLEAN(Table1[[#This Row],[is_active]]))</f>
        <v>FALSE</v>
      </c>
      <c r="U991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91" s="11" t="str">
        <f>TRIM(IF(Table1[[#This Row],[is_active3]]="Unknown","TRUE",Table1[[#This Row],[is_active3]]))</f>
        <v>TRUE</v>
      </c>
      <c r="W991">
        <v>0.76</v>
      </c>
      <c r="X991">
        <f>IF(Table1[[#This Row],[client_satisfaction]]&gt;1,Table1[[#This Row],[client_satisfaction]]/100,Table1[[#This Row],[client_satisfaction]])</f>
        <v>0.76</v>
      </c>
      <c r="Y991">
        <f>IF(Table1[[#This Row],[client_satisfaction2]]=0,0.75,Table1[[#This Row],[client_satisfaction2]])</f>
        <v>0.76</v>
      </c>
    </row>
    <row r="992" spans="1:25" x14ac:dyDescent="0.25">
      <c r="A992" t="s">
        <v>2057</v>
      </c>
      <c r="B992" t="s">
        <v>2058</v>
      </c>
      <c r="C992" t="str">
        <f>PROPER(TRIM(SUBSTITUTE(SUBSTITUTE(SUBSTITUTE(Table1[[#This Row],[name]],"Ms. ",""),"Mr. ",""),"Mrs. ","")))</f>
        <v>Michelle Solis</v>
      </c>
      <c r="D992" t="s">
        <v>20</v>
      </c>
      <c r="E992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92">
        <v>21</v>
      </c>
      <c r="G992" t="str">
        <f>TRIM(IF(Table1[[#This Row],[age]]="","Unknown",Table1[[#This Row],[age]]))</f>
        <v>21</v>
      </c>
      <c r="H992" t="s">
        <v>71</v>
      </c>
      <c r="I992" t="s">
        <v>72</v>
      </c>
      <c r="J992" t="s">
        <v>44</v>
      </c>
      <c r="K992">
        <v>2</v>
      </c>
      <c r="L992" s="10" t="str">
        <f>TRIM(IF(Table1[[#This Row],[years_of_experience]]="","Unknown",Table1[[#This Row],[years_of_experience]]))</f>
        <v>2</v>
      </c>
      <c r="M992">
        <v>100</v>
      </c>
      <c r="N992">
        <f>IF(Table1[[#This Row],[hourly_rate (USD)]]="",MEDIAN(Table1[hourly_rate (USD)]),Table1[[#This Row],[hourly_rate (USD)]])</f>
        <v>100</v>
      </c>
      <c r="O992" t="str">
        <f>TRIM(CLEAN(Table1[[#This Row],[Updated hourly_rate (USD)]]))</f>
        <v>100</v>
      </c>
      <c r="P992" t="str">
        <f>SUBSTITUTE(SUBSTITUTE(Table1[[#This Row],[Formatted hourly rate]],"USD ",""),"$","")</f>
        <v>100</v>
      </c>
      <c r="Q992">
        <v>3.7</v>
      </c>
      <c r="R992">
        <f>IF(Table1[[#This Row],[rating]]="",2.6,Table1[[#This Row],[rating]])</f>
        <v>3.7</v>
      </c>
      <c r="S992" t="s">
        <v>68</v>
      </c>
      <c r="T992" t="str">
        <f>TRIM(CLEAN(Table1[[#This Row],[is_active]]))</f>
        <v>yes</v>
      </c>
      <c r="U992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92" s="11" t="str">
        <f>TRIM(IF(Table1[[#This Row],[is_active3]]="Unknown","TRUE",Table1[[#This Row],[is_active3]]))</f>
        <v>TRUE</v>
      </c>
      <c r="W992">
        <v>73</v>
      </c>
      <c r="X992">
        <f>IF(Table1[[#This Row],[client_satisfaction]]&gt;1,Table1[[#This Row],[client_satisfaction]]/100,Table1[[#This Row],[client_satisfaction]])</f>
        <v>0.73</v>
      </c>
      <c r="Y992">
        <f>IF(Table1[[#This Row],[client_satisfaction2]]=0,0.75,Table1[[#This Row],[client_satisfaction2]])</f>
        <v>0.73</v>
      </c>
    </row>
    <row r="993" spans="1:25" x14ac:dyDescent="0.25">
      <c r="A993" t="s">
        <v>2059</v>
      </c>
      <c r="B993" t="s">
        <v>2060</v>
      </c>
      <c r="C993" t="str">
        <f>PROPER(TRIM(SUBSTITUTE(SUBSTITUTE(SUBSTITUTE(Table1[[#This Row],[name]],"Ms. ",""),"Mr. ",""),"Mrs. ","")))</f>
        <v>Charlotte Taylor</v>
      </c>
      <c r="D993" t="s">
        <v>20</v>
      </c>
      <c r="E993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93">
        <v>58</v>
      </c>
      <c r="G993" t="str">
        <f>TRIM(IF(Table1[[#This Row],[age]]="","Unknown",Table1[[#This Row],[age]]))</f>
        <v>58</v>
      </c>
      <c r="H993" t="s">
        <v>28</v>
      </c>
      <c r="I993" t="s">
        <v>29</v>
      </c>
      <c r="J993" t="s">
        <v>73</v>
      </c>
      <c r="K993">
        <v>37</v>
      </c>
      <c r="L993" s="10" t="str">
        <f>TRIM(IF(Table1[[#This Row],[years_of_experience]]="","Unknown",Table1[[#This Row],[years_of_experience]]))</f>
        <v>37</v>
      </c>
      <c r="M993" t="s">
        <v>98</v>
      </c>
      <c r="N993" t="str">
        <f>IF(Table1[[#This Row],[hourly_rate (USD)]]="",MEDIAN(Table1[hourly_rate (USD)]),Table1[[#This Row],[hourly_rate (USD)]])</f>
        <v>USD 50</v>
      </c>
      <c r="O993" t="str">
        <f>TRIM(CLEAN(Table1[[#This Row],[Updated hourly_rate (USD)]]))</f>
        <v>USD 50</v>
      </c>
      <c r="P993" t="str">
        <f>SUBSTITUTE(SUBSTITUTE(Table1[[#This Row],[Formatted hourly rate]],"USD ",""),"$","")</f>
        <v>50</v>
      </c>
      <c r="Q993">
        <v>4.9000000000000004</v>
      </c>
      <c r="R993">
        <f>IF(Table1[[#This Row],[rating]]="",2.6,Table1[[#This Row],[rating]])</f>
        <v>4.9000000000000004</v>
      </c>
      <c r="S993" t="b">
        <v>0</v>
      </c>
      <c r="T993" t="str">
        <f>TRIM(CLEAN(Table1[[#This Row],[is_active]]))</f>
        <v>FALSE</v>
      </c>
      <c r="U993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93" s="11" t="str">
        <f>TRIM(IF(Table1[[#This Row],[is_active3]]="Unknown","TRUE",Table1[[#This Row],[is_active3]]))</f>
        <v>TRUE</v>
      </c>
      <c r="W993">
        <v>0.69</v>
      </c>
      <c r="X993">
        <f>IF(Table1[[#This Row],[client_satisfaction]]&gt;1,Table1[[#This Row],[client_satisfaction]]/100,Table1[[#This Row],[client_satisfaction]])</f>
        <v>0.69</v>
      </c>
      <c r="Y993">
        <f>IF(Table1[[#This Row],[client_satisfaction2]]=0,0.75,Table1[[#This Row],[client_satisfaction2]])</f>
        <v>0.69</v>
      </c>
    </row>
    <row r="994" spans="1:25" x14ac:dyDescent="0.25">
      <c r="A994" t="s">
        <v>2061</v>
      </c>
      <c r="B994" t="s">
        <v>2062</v>
      </c>
      <c r="C994" t="str">
        <f>PROPER(TRIM(SUBSTITUTE(SUBSTITUTE(SUBSTITUTE(Table1[[#This Row],[name]],"Ms. ",""),"Mr. ",""),"Mrs. ","")))</f>
        <v>Sandra Preston</v>
      </c>
      <c r="D994" t="s">
        <v>77</v>
      </c>
      <c r="E994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94">
        <v>52</v>
      </c>
      <c r="G994" t="str">
        <f>TRIM(IF(Table1[[#This Row],[age]]="","Unknown",Table1[[#This Row],[age]]))</f>
        <v>52</v>
      </c>
      <c r="H994" t="s">
        <v>49</v>
      </c>
      <c r="I994" t="s">
        <v>50</v>
      </c>
      <c r="J994" t="s">
        <v>23</v>
      </c>
      <c r="K994">
        <v>32</v>
      </c>
      <c r="L994" s="10" t="str">
        <f>TRIM(IF(Table1[[#This Row],[years_of_experience]]="","Unknown",Table1[[#This Row],[years_of_experience]]))</f>
        <v>32</v>
      </c>
      <c r="M994" t="s">
        <v>170</v>
      </c>
      <c r="N994" t="str">
        <f>IF(Table1[[#This Row],[hourly_rate (USD)]]="",MEDIAN(Table1[hourly_rate (USD)]),Table1[[#This Row],[hourly_rate (USD)]])</f>
        <v>$75</v>
      </c>
      <c r="O994" t="str">
        <f>TRIM(CLEAN(Table1[[#This Row],[Updated hourly_rate (USD)]]))</f>
        <v>$75</v>
      </c>
      <c r="P994" t="str">
        <f>SUBSTITUTE(SUBSTITUTE(Table1[[#This Row],[Formatted hourly rate]],"USD ",""),"$","")</f>
        <v>75</v>
      </c>
      <c r="Q994">
        <v>3.2</v>
      </c>
      <c r="R994">
        <f>IF(Table1[[#This Row],[rating]]="",2.6,Table1[[#This Row],[rating]])</f>
        <v>3.2</v>
      </c>
      <c r="S994">
        <v>0</v>
      </c>
      <c r="T994" t="str">
        <f>TRIM(CLEAN(Table1[[#This Row],[is_active]]))</f>
        <v>0</v>
      </c>
      <c r="U994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94" s="11" t="str">
        <f>TRIM(IF(Table1[[#This Row],[is_active3]]="Unknown","TRUE",Table1[[#This Row],[is_active3]]))</f>
        <v>FALSE</v>
      </c>
      <c r="W994">
        <v>0.79</v>
      </c>
      <c r="X994">
        <f>IF(Table1[[#This Row],[client_satisfaction]]&gt;1,Table1[[#This Row],[client_satisfaction]]/100,Table1[[#This Row],[client_satisfaction]])</f>
        <v>0.79</v>
      </c>
      <c r="Y994">
        <f>IF(Table1[[#This Row],[client_satisfaction2]]=0,0.75,Table1[[#This Row],[client_satisfaction2]])</f>
        <v>0.79</v>
      </c>
    </row>
    <row r="995" spans="1:25" x14ac:dyDescent="0.25">
      <c r="A995" t="s">
        <v>2063</v>
      </c>
      <c r="B995" t="s">
        <v>2064</v>
      </c>
      <c r="C995" t="str">
        <f>PROPER(TRIM(SUBSTITUTE(SUBSTITUTE(SUBSTITUTE(Table1[[#This Row],[name]],"Ms. ",""),"Mr. ",""),"Mrs. ","")))</f>
        <v>Jim Weiss</v>
      </c>
      <c r="D995" t="s">
        <v>27</v>
      </c>
      <c r="E995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95">
        <v>46</v>
      </c>
      <c r="G995" t="str">
        <f>TRIM(IF(Table1[[#This Row],[age]]="","Unknown",Table1[[#This Row],[age]]))</f>
        <v>46</v>
      </c>
      <c r="H995" t="s">
        <v>124</v>
      </c>
      <c r="I995" t="s">
        <v>125</v>
      </c>
      <c r="J995" t="s">
        <v>23</v>
      </c>
      <c r="K995">
        <v>8</v>
      </c>
      <c r="L995" s="10" t="str">
        <f>TRIM(IF(Table1[[#This Row],[years_of_experience]]="","Unknown",Table1[[#This Row],[years_of_experience]]))</f>
        <v>8</v>
      </c>
      <c r="M995">
        <v>20</v>
      </c>
      <c r="N995">
        <f>IF(Table1[[#This Row],[hourly_rate (USD)]]="",MEDIAN(Table1[hourly_rate (USD)]),Table1[[#This Row],[hourly_rate (USD)]])</f>
        <v>20</v>
      </c>
      <c r="O995" t="str">
        <f>TRIM(CLEAN(Table1[[#This Row],[Updated hourly_rate (USD)]]))</f>
        <v>20</v>
      </c>
      <c r="P995" t="str">
        <f>SUBSTITUTE(SUBSTITUTE(Table1[[#This Row],[Formatted hourly rate]],"USD ",""),"$","")</f>
        <v>20</v>
      </c>
      <c r="Q995">
        <v>2.2000000000000002</v>
      </c>
      <c r="R995">
        <f>IF(Table1[[#This Row],[rating]]="",2.6,Table1[[#This Row],[rating]])</f>
        <v>2.2000000000000002</v>
      </c>
      <c r="T995" t="str">
        <f>TRIM(CLEAN(Table1[[#This Row],[is_active]]))</f>
        <v/>
      </c>
      <c r="U995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95" s="11" t="str">
        <f>TRIM(IF(Table1[[#This Row],[is_active3]]="Unknown","TRUE",Table1[[#This Row],[is_active3]]))</f>
        <v>TRUE</v>
      </c>
      <c r="W995">
        <v>89</v>
      </c>
      <c r="X995">
        <f>IF(Table1[[#This Row],[client_satisfaction]]&gt;1,Table1[[#This Row],[client_satisfaction]]/100,Table1[[#This Row],[client_satisfaction]])</f>
        <v>0.89</v>
      </c>
      <c r="Y995">
        <f>IF(Table1[[#This Row],[client_satisfaction2]]=0,0.75,Table1[[#This Row],[client_satisfaction2]])</f>
        <v>0.89</v>
      </c>
    </row>
    <row r="996" spans="1:25" x14ac:dyDescent="0.25">
      <c r="A996" t="s">
        <v>2065</v>
      </c>
      <c r="B996" t="s">
        <v>2066</v>
      </c>
      <c r="C996" t="str">
        <f>PROPER(TRIM(SUBSTITUTE(SUBSTITUTE(SUBSTITUTE(Table1[[#This Row],[name]],"Ms. ",""),"Mr. ",""),"Mrs. ","")))</f>
        <v>Jennifer Hinton</v>
      </c>
      <c r="D996" t="s">
        <v>77</v>
      </c>
      <c r="E996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96">
        <v>34</v>
      </c>
      <c r="G996" t="str">
        <f>TRIM(IF(Table1[[#This Row],[age]]="","Unknown",Table1[[#This Row],[age]]))</f>
        <v>34</v>
      </c>
      <c r="H996" t="s">
        <v>153</v>
      </c>
      <c r="I996" t="s">
        <v>154</v>
      </c>
      <c r="J996" t="s">
        <v>89</v>
      </c>
      <c r="K996">
        <v>8</v>
      </c>
      <c r="L996" s="10" t="str">
        <f>TRIM(IF(Table1[[#This Row],[years_of_experience]]="","Unknown",Table1[[#This Row],[years_of_experience]]))</f>
        <v>8</v>
      </c>
      <c r="M996">
        <v>30</v>
      </c>
      <c r="N996">
        <f>IF(Table1[[#This Row],[hourly_rate (USD)]]="",MEDIAN(Table1[hourly_rate (USD)]),Table1[[#This Row],[hourly_rate (USD)]])</f>
        <v>30</v>
      </c>
      <c r="O996" t="str">
        <f>TRIM(CLEAN(Table1[[#This Row],[Updated hourly_rate (USD)]]))</f>
        <v>30</v>
      </c>
      <c r="P996" t="str">
        <f>SUBSTITUTE(SUBSTITUTE(Table1[[#This Row],[Formatted hourly rate]],"USD ",""),"$","")</f>
        <v>30</v>
      </c>
      <c r="Q996">
        <v>3.9</v>
      </c>
      <c r="R996">
        <f>IF(Table1[[#This Row],[rating]]="",2.6,Table1[[#This Row],[rating]])</f>
        <v>3.9</v>
      </c>
      <c r="S996" t="s">
        <v>74</v>
      </c>
      <c r="T996" t="str">
        <f>TRIM(CLEAN(Table1[[#This Row],[is_active]]))</f>
        <v>Y</v>
      </c>
      <c r="U996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996" s="11" t="str">
        <f>TRIM(IF(Table1[[#This Row],[is_active3]]="Unknown","TRUE",Table1[[#This Row],[is_active3]]))</f>
        <v>TRUE</v>
      </c>
      <c r="W996">
        <v>0.95</v>
      </c>
      <c r="X996">
        <f>IF(Table1[[#This Row],[client_satisfaction]]&gt;1,Table1[[#This Row],[client_satisfaction]]/100,Table1[[#This Row],[client_satisfaction]])</f>
        <v>0.95</v>
      </c>
      <c r="Y996">
        <f>IF(Table1[[#This Row],[client_satisfaction2]]=0,0.75,Table1[[#This Row],[client_satisfaction2]])</f>
        <v>0.95</v>
      </c>
    </row>
    <row r="997" spans="1:25" x14ac:dyDescent="0.25">
      <c r="A997" t="s">
        <v>2067</v>
      </c>
      <c r="B997" t="s">
        <v>2068</v>
      </c>
      <c r="C997" t="str">
        <f>PROPER(TRIM(SUBSTITUTE(SUBSTITUTE(SUBSTITUTE(Table1[[#This Row],[name]],"Ms. ",""),"Mr. ",""),"Mrs. ","")))</f>
        <v>Albert Wilcox</v>
      </c>
      <c r="D997" t="s">
        <v>97</v>
      </c>
      <c r="E997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997">
        <v>56</v>
      </c>
      <c r="G997" t="str">
        <f>TRIM(IF(Table1[[#This Row],[age]]="","Unknown",Table1[[#This Row],[age]]))</f>
        <v>56</v>
      </c>
      <c r="H997" t="s">
        <v>62</v>
      </c>
      <c r="I997" t="s">
        <v>63</v>
      </c>
      <c r="J997" t="s">
        <v>89</v>
      </c>
      <c r="K997">
        <v>13</v>
      </c>
      <c r="L997" s="10" t="str">
        <f>TRIM(IF(Table1[[#This Row],[years_of_experience]]="","Unknown",Table1[[#This Row],[years_of_experience]]))</f>
        <v>13</v>
      </c>
      <c r="M997">
        <v>100</v>
      </c>
      <c r="N997">
        <f>IF(Table1[[#This Row],[hourly_rate (USD)]]="",MEDIAN(Table1[hourly_rate (USD)]),Table1[[#This Row],[hourly_rate (USD)]])</f>
        <v>100</v>
      </c>
      <c r="O997" t="str">
        <f>TRIM(CLEAN(Table1[[#This Row],[Updated hourly_rate (USD)]]))</f>
        <v>100</v>
      </c>
      <c r="P997" t="str">
        <f>SUBSTITUTE(SUBSTITUTE(Table1[[#This Row],[Formatted hourly rate]],"USD ",""),"$","")</f>
        <v>100</v>
      </c>
      <c r="Q997">
        <v>0</v>
      </c>
      <c r="R997">
        <f>IF(Table1[[#This Row],[rating]]="",2.6,Table1[[#This Row],[rating]])</f>
        <v>0</v>
      </c>
      <c r="S997" t="s">
        <v>159</v>
      </c>
      <c r="T997" t="str">
        <f>TRIM(CLEAN(Table1[[#This Row],[is_active]]))</f>
        <v>no</v>
      </c>
      <c r="U997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97" s="11" t="str">
        <f>TRIM(IF(Table1[[#This Row],[is_active3]]="Unknown","TRUE",Table1[[#This Row],[is_active3]]))</f>
        <v>FALSE</v>
      </c>
      <c r="W997">
        <v>0.68</v>
      </c>
      <c r="X997">
        <f>IF(Table1[[#This Row],[client_satisfaction]]&gt;1,Table1[[#This Row],[client_satisfaction]]/100,Table1[[#This Row],[client_satisfaction]])</f>
        <v>0.68</v>
      </c>
      <c r="Y997">
        <f>IF(Table1[[#This Row],[client_satisfaction2]]=0,0.75,Table1[[#This Row],[client_satisfaction2]])</f>
        <v>0.68</v>
      </c>
    </row>
    <row r="998" spans="1:25" x14ac:dyDescent="0.25">
      <c r="A998" t="s">
        <v>2069</v>
      </c>
      <c r="B998" t="s">
        <v>2070</v>
      </c>
      <c r="C998" t="str">
        <f>PROPER(TRIM(SUBSTITUTE(SUBSTITUTE(SUBSTITUTE(Table1[[#This Row],[name]],"Ms. ",""),"Mr. ",""),"Mrs. ","")))</f>
        <v>Cheryl Norris</v>
      </c>
      <c r="D998" t="s">
        <v>14</v>
      </c>
      <c r="E998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98">
        <v>26</v>
      </c>
      <c r="G998" t="str">
        <f>TRIM(IF(Table1[[#This Row],[age]]="","Unknown",Table1[[#This Row],[age]]))</f>
        <v>26</v>
      </c>
      <c r="H998" t="s">
        <v>28</v>
      </c>
      <c r="I998" t="s">
        <v>29</v>
      </c>
      <c r="J998" t="s">
        <v>17</v>
      </c>
      <c r="K998">
        <v>6</v>
      </c>
      <c r="L998" s="10" t="str">
        <f>TRIM(IF(Table1[[#This Row],[years_of_experience]]="","Unknown",Table1[[#This Row],[years_of_experience]]))</f>
        <v>6</v>
      </c>
      <c r="M998" t="s">
        <v>55</v>
      </c>
      <c r="N998" t="str">
        <f>IF(Table1[[#This Row],[hourly_rate (USD)]]="",MEDIAN(Table1[hourly_rate (USD)]),Table1[[#This Row],[hourly_rate (USD)]])</f>
        <v>USD 40</v>
      </c>
      <c r="O998" t="str">
        <f>TRIM(CLEAN(Table1[[#This Row],[Updated hourly_rate (USD)]]))</f>
        <v>USD 40</v>
      </c>
      <c r="P998" t="str">
        <f>SUBSTITUTE(SUBSTITUTE(Table1[[#This Row],[Formatted hourly rate]],"USD ",""),"$","")</f>
        <v>40</v>
      </c>
      <c r="Q998">
        <v>2.8</v>
      </c>
      <c r="R998">
        <f>IF(Table1[[#This Row],[rating]]="",2.6,Table1[[#This Row],[rating]])</f>
        <v>2.8</v>
      </c>
      <c r="S998" t="s">
        <v>31</v>
      </c>
      <c r="T998" t="str">
        <f>TRIM(CLEAN(Table1[[#This Row],[is_active]]))</f>
        <v>N</v>
      </c>
      <c r="U998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0</v>
      </c>
      <c r="V998" s="11" t="str">
        <f>TRIM(IF(Table1[[#This Row],[is_active3]]="Unknown","TRUE",Table1[[#This Row],[is_active3]]))</f>
        <v>FALSE</v>
      </c>
      <c r="W998">
        <v>82</v>
      </c>
      <c r="X998">
        <f>IF(Table1[[#This Row],[client_satisfaction]]&gt;1,Table1[[#This Row],[client_satisfaction]]/100,Table1[[#This Row],[client_satisfaction]])</f>
        <v>0.82</v>
      </c>
      <c r="Y998">
        <f>IF(Table1[[#This Row],[client_satisfaction2]]=0,0.75,Table1[[#This Row],[client_satisfaction2]])</f>
        <v>0.82</v>
      </c>
    </row>
    <row r="999" spans="1:25" x14ac:dyDescent="0.25">
      <c r="A999" t="s">
        <v>2071</v>
      </c>
      <c r="B999" t="s">
        <v>2072</v>
      </c>
      <c r="C999" t="str">
        <f>PROPER(TRIM(SUBSTITUTE(SUBSTITUTE(SUBSTITUTE(Table1[[#This Row],[name]],"Ms. ",""),"Mr. ",""),"Mrs. ","")))</f>
        <v>Kathy Watkins</v>
      </c>
      <c r="D999" t="s">
        <v>39</v>
      </c>
      <c r="E999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999">
        <v>37</v>
      </c>
      <c r="G999" t="str">
        <f>TRIM(IF(Table1[[#This Row],[age]]="","Unknown",Table1[[#This Row],[age]]))</f>
        <v>37</v>
      </c>
      <c r="H999" t="s">
        <v>85</v>
      </c>
      <c r="I999" t="s">
        <v>86</v>
      </c>
      <c r="J999" t="s">
        <v>51</v>
      </c>
      <c r="K999">
        <v>15</v>
      </c>
      <c r="L999" s="10" t="str">
        <f>TRIM(IF(Table1[[#This Row],[years_of_experience]]="","Unknown",Table1[[#This Row],[years_of_experience]]))</f>
        <v>15</v>
      </c>
      <c r="M999">
        <v>75</v>
      </c>
      <c r="N999">
        <f>IF(Table1[[#This Row],[hourly_rate (USD)]]="",MEDIAN(Table1[hourly_rate (USD)]),Table1[[#This Row],[hourly_rate (USD)]])</f>
        <v>75</v>
      </c>
      <c r="O999" t="str">
        <f>TRIM(CLEAN(Table1[[#This Row],[Updated hourly_rate (USD)]]))</f>
        <v>75</v>
      </c>
      <c r="P999" t="str">
        <f>SUBSTITUTE(SUBSTITUTE(Table1[[#This Row],[Formatted hourly rate]],"USD ",""),"$","")</f>
        <v>75</v>
      </c>
      <c r="R999">
        <f>IF(Table1[[#This Row],[rating]]="",2.6,Table1[[#This Row],[rating]])</f>
        <v>2.6</v>
      </c>
      <c r="S999" t="b">
        <v>0</v>
      </c>
      <c r="T999" t="str">
        <f>TRIM(CLEAN(Table1[[#This Row],[is_active]]))</f>
        <v>FALSE</v>
      </c>
      <c r="U999" t="str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Unknown</v>
      </c>
      <c r="V999" s="11" t="str">
        <f>TRIM(IF(Table1[[#This Row],[is_active3]]="Unknown","TRUE",Table1[[#This Row],[is_active3]]))</f>
        <v>TRUE</v>
      </c>
      <c r="W999">
        <v>0.94</v>
      </c>
      <c r="X999">
        <f>IF(Table1[[#This Row],[client_satisfaction]]&gt;1,Table1[[#This Row],[client_satisfaction]]/100,Table1[[#This Row],[client_satisfaction]])</f>
        <v>0.94</v>
      </c>
      <c r="Y999">
        <f>IF(Table1[[#This Row],[client_satisfaction2]]=0,0.75,Table1[[#This Row],[client_satisfaction2]])</f>
        <v>0.94</v>
      </c>
    </row>
    <row r="1000" spans="1:25" x14ac:dyDescent="0.25">
      <c r="A1000" t="s">
        <v>2073</v>
      </c>
      <c r="B1000" t="s">
        <v>2074</v>
      </c>
      <c r="C1000" t="str">
        <f>PROPER(TRIM(SUBSTITUTE(SUBSTITUTE(SUBSTITUTE(Table1[[#This Row],[name]],"Ms. ",""),"Mr. ",""),"Mrs. ","")))</f>
        <v>John Obrien</v>
      </c>
      <c r="D1000" t="s">
        <v>48</v>
      </c>
      <c r="E1000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Male</v>
      </c>
      <c r="F1000">
        <v>46</v>
      </c>
      <c r="G1000" t="str">
        <f>TRIM(IF(Table1[[#This Row],[age]]="","Unknown",Table1[[#This Row],[age]]))</f>
        <v>46</v>
      </c>
      <c r="H1000" t="s">
        <v>124</v>
      </c>
      <c r="I1000" t="s">
        <v>125</v>
      </c>
      <c r="J1000" t="s">
        <v>114</v>
      </c>
      <c r="K1000">
        <v>22</v>
      </c>
      <c r="L1000" s="10" t="str">
        <f>TRIM(IF(Table1[[#This Row],[years_of_experience]]="","Unknown",Table1[[#This Row],[years_of_experience]]))</f>
        <v>22</v>
      </c>
      <c r="M1000">
        <v>100</v>
      </c>
      <c r="N1000">
        <f>IF(Table1[[#This Row],[hourly_rate (USD)]]="",MEDIAN(Table1[hourly_rate (USD)]),Table1[[#This Row],[hourly_rate (USD)]])</f>
        <v>100</v>
      </c>
      <c r="O1000" t="str">
        <f>TRIM(CLEAN(Table1[[#This Row],[Updated hourly_rate (USD)]]))</f>
        <v>100</v>
      </c>
      <c r="P1000" t="str">
        <f>SUBSTITUTE(SUBSTITUTE(Table1[[#This Row],[Formatted hourly rate]],"USD ",""),"$","")</f>
        <v>100</v>
      </c>
      <c r="Q1000">
        <v>2.8</v>
      </c>
      <c r="R1000">
        <f>IF(Table1[[#This Row],[rating]]="",2.6,Table1[[#This Row],[rating]])</f>
        <v>2.8</v>
      </c>
      <c r="S1000" t="s">
        <v>68</v>
      </c>
      <c r="T1000" t="str">
        <f>TRIM(CLEAN(Table1[[#This Row],[is_active]]))</f>
        <v>yes</v>
      </c>
      <c r="U1000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000" s="11" t="str">
        <f>TRIM(IF(Table1[[#This Row],[is_active3]]="Unknown","TRUE",Table1[[#This Row],[is_active3]]))</f>
        <v>TRUE</v>
      </c>
      <c r="W1000">
        <v>97</v>
      </c>
      <c r="X1000">
        <f>IF(Table1[[#This Row],[client_satisfaction]]&gt;1,Table1[[#This Row],[client_satisfaction]]/100,Table1[[#This Row],[client_satisfaction]])</f>
        <v>0.97</v>
      </c>
      <c r="Y1000">
        <f>IF(Table1[[#This Row],[client_satisfaction2]]=0,0.75,Table1[[#This Row],[client_satisfaction2]])</f>
        <v>0.97</v>
      </c>
    </row>
    <row r="1001" spans="1:25" x14ac:dyDescent="0.25">
      <c r="A1001" t="s">
        <v>2075</v>
      </c>
      <c r="B1001" t="s">
        <v>2076</v>
      </c>
      <c r="C1001" t="str">
        <f>PROPER(TRIM(SUBSTITUTE(SUBSTITUTE(SUBSTITUTE(Table1[[#This Row],[name]],"Ms. ",""),"Mr. ",""),"Mrs. ","")))</f>
        <v>Dawn Green</v>
      </c>
      <c r="D1001" t="s">
        <v>77</v>
      </c>
      <c r="E1001" t="str">
        <f>IF(OR(Table1[[#This Row],[gender]]="f",Table1[[#This Row],[gender]]="F",Table1[[#This Row],[gender]]="Female",Table1[[#This Row],[gender]]="female",Table1[[#This Row],[gender]]="FEMALE"),"Female",IF(OR(Table1[[#This Row],[gender]]="m",Table1[[#This Row],[gender]]="M",Table1[[#This Row],[gender]]="male",Table1[[#This Row],[gender]]="Male",Table1[[#This Row],[gender]]="MALE"),"Male","Other"))</f>
        <v>Female</v>
      </c>
      <c r="F1001">
        <v>36</v>
      </c>
      <c r="G1001" t="str">
        <f>TRIM(IF(Table1[[#This Row],[age]]="","Unknown",Table1[[#This Row],[age]]))</f>
        <v>36</v>
      </c>
      <c r="H1001" t="s">
        <v>179</v>
      </c>
      <c r="I1001" t="s">
        <v>72</v>
      </c>
      <c r="J1001" t="s">
        <v>73</v>
      </c>
      <c r="K1001">
        <v>18</v>
      </c>
      <c r="L1001" s="10" t="str">
        <f>TRIM(IF(Table1[[#This Row],[years_of_experience]]="","Unknown",Table1[[#This Row],[years_of_experience]]))</f>
        <v>18</v>
      </c>
      <c r="M1001" t="s">
        <v>121</v>
      </c>
      <c r="N1001" t="str">
        <f>IF(Table1[[#This Row],[hourly_rate (USD)]]="",MEDIAN(Table1[hourly_rate (USD)]),Table1[[#This Row],[hourly_rate (USD)]])</f>
        <v>$20</v>
      </c>
      <c r="O1001" t="str">
        <f>TRIM(CLEAN(Table1[[#This Row],[Updated hourly_rate (USD)]]))</f>
        <v>$20</v>
      </c>
      <c r="P1001" t="str">
        <f>SUBSTITUTE(SUBSTITUTE(Table1[[#This Row],[Formatted hourly rate]],"USD ",""),"$","")</f>
        <v>20</v>
      </c>
      <c r="Q1001">
        <v>1.7</v>
      </c>
      <c r="R1001">
        <f>IF(Table1[[#This Row],[rating]]="",2.6,Table1[[#This Row],[rating]])</f>
        <v>1.7</v>
      </c>
      <c r="S1001">
        <v>1</v>
      </c>
      <c r="T1001" t="str">
        <f>TRIM(CLEAN(Table1[[#This Row],[is_active]]))</f>
        <v>1</v>
      </c>
      <c r="U1001" t="b">
        <f>IF(OR(Table1[[#This Row],[is_active2]]="1",Table1[[#This Row],[is_active2]]="Y",Table1[[#This Row],[is_active2]]="yes"),TRUE,IF(OR(Table1[[#This Row],[is_active2]]="0",Table1[[#This Row],[is_active2]]="N",Table1[[#This Row],[is_active2]]="no"),FALSE,"Unknown"))</f>
        <v>1</v>
      </c>
      <c r="V1001" s="11" t="str">
        <f>TRIM(IF(Table1[[#This Row],[is_active3]]="Unknown","TRUE",Table1[[#This Row],[is_active3]]))</f>
        <v>TRUE</v>
      </c>
      <c r="W1001">
        <v>72</v>
      </c>
      <c r="X1001">
        <f>IF(Table1[[#This Row],[client_satisfaction]]&gt;1,Table1[[#This Row],[client_satisfaction]]/100,Table1[[#This Row],[client_satisfaction]])</f>
        <v>0.72</v>
      </c>
      <c r="Y1001">
        <f>IF(Table1[[#This Row],[client_satisfaction2]]=0,0.75,Table1[[#This Row],[client_satisfaction2]])</f>
        <v>0.72</v>
      </c>
    </row>
    <row r="1003" spans="1:25" x14ac:dyDescent="0.25">
      <c r="Q1003">
        <f>MEDIAN(Table1[rating])</f>
        <v>2.6</v>
      </c>
      <c r="V1003">
        <f>COUNTIF(U2:U1001,"TRUE")</f>
        <v>369</v>
      </c>
      <c r="X1003">
        <f>MEDIAN(Table1[client_satisfaction2])</f>
        <v>0.75</v>
      </c>
    </row>
    <row r="1004" spans="1:25" x14ac:dyDescent="0.25">
      <c r="A1004">
        <f>COUNTBLANK(A1:A1001)</f>
        <v>0</v>
      </c>
      <c r="B1004">
        <f t="shared" ref="B1004" si="0">COUNTBLANK(B1:B1001)</f>
        <v>0</v>
      </c>
      <c r="D1004">
        <f>COUNTBLANK(D1:D1001)</f>
        <v>0</v>
      </c>
      <c r="F1004">
        <f>COUNTBLANK(F1:F1001)</f>
        <v>30</v>
      </c>
      <c r="G1004">
        <f>COUNTBLANK(G1:G1001)</f>
        <v>0</v>
      </c>
      <c r="H1004">
        <f>COUNTBLANK(H1:H1001)</f>
        <v>0</v>
      </c>
      <c r="I1004">
        <f>COUNTBLANK(I1:I1001)</f>
        <v>0</v>
      </c>
      <c r="J1004">
        <f>COUNTBLANK(J1:J1001)</f>
        <v>0</v>
      </c>
      <c r="K1004">
        <f t="shared" ref="K1004:M1004" si="1">COUNTBLANK(K1:K1001)</f>
        <v>51</v>
      </c>
      <c r="L1004">
        <f t="shared" si="1"/>
        <v>0</v>
      </c>
      <c r="M1004">
        <f t="shared" si="1"/>
        <v>94</v>
      </c>
      <c r="Q1004">
        <f>COUNTBLANK(Q1:Q1001)</f>
        <v>101</v>
      </c>
      <c r="S1004">
        <f>COUNTBLANK(S1:S1001)</f>
        <v>89</v>
      </c>
      <c r="V1004">
        <f>COUNTIF(U3:U1002,"FALSE")</f>
        <v>367</v>
      </c>
      <c r="W1004">
        <f>COUNTBLANK(W1:W1001)</f>
        <v>176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workbookViewId="0">
      <selection activeCell="G6" sqref="G6"/>
    </sheetView>
  </sheetViews>
  <sheetFormatPr defaultRowHeight="15" x14ac:dyDescent="0.25"/>
  <cols>
    <col min="1" max="1" width="13" customWidth="1"/>
    <col min="2" max="2" width="22.140625" style="18" bestFit="1" customWidth="1"/>
    <col min="3" max="3" width="9.42578125" style="18" customWidth="1"/>
    <col min="4" max="4" width="10.42578125" style="3" customWidth="1"/>
    <col min="5" max="5" width="11.42578125" style="3" customWidth="1"/>
    <col min="6" max="6" width="11.140625" style="3" customWidth="1"/>
    <col min="7" max="7" width="24.28515625" style="3" customWidth="1"/>
    <col min="8" max="8" width="13.42578125" style="13" customWidth="1"/>
    <col min="9" max="9" width="12.85546875" style="14" customWidth="1"/>
    <col min="10" max="10" width="8.28515625" style="15" customWidth="1"/>
    <col min="11" max="11" width="10.85546875" style="12" customWidth="1"/>
    <col min="12" max="12" width="14.28515625" style="13" customWidth="1"/>
    <col min="14" max="14" width="27" bestFit="1" customWidth="1"/>
  </cols>
  <sheetData>
    <row r="1" spans="1:12" s="2" customFormat="1" ht="51" customHeight="1" x14ac:dyDescent="0.25">
      <c r="A1" s="1" t="s">
        <v>2090</v>
      </c>
      <c r="B1" s="5" t="s">
        <v>2091</v>
      </c>
      <c r="C1" s="4" t="s">
        <v>2098</v>
      </c>
      <c r="D1" s="4" t="s">
        <v>2094</v>
      </c>
      <c r="E1" s="4" t="s">
        <v>2092</v>
      </c>
      <c r="F1" s="4" t="s">
        <v>2093</v>
      </c>
      <c r="G1" s="4" t="s">
        <v>2099</v>
      </c>
      <c r="H1" s="6" t="s">
        <v>2100</v>
      </c>
      <c r="I1" s="17" t="s">
        <v>2101</v>
      </c>
      <c r="J1" s="7" t="s">
        <v>2102</v>
      </c>
      <c r="K1" s="4" t="s">
        <v>2103</v>
      </c>
      <c r="L1" s="6" t="s">
        <v>2104</v>
      </c>
    </row>
    <row r="2" spans="1:12" x14ac:dyDescent="0.25">
      <c r="A2" t="s">
        <v>12</v>
      </c>
      <c r="B2" s="18" t="str">
        <f>VLOOKUP($A2,Table1[],3,TRUE)</f>
        <v>Nicole Kidd</v>
      </c>
      <c r="C2" s="18" t="str">
        <f>VLOOKUP($A2,Table1[],5,TRUE)</f>
        <v>Female</v>
      </c>
      <c r="D2" s="3" t="str">
        <f>VLOOKUP($A2,Table1[],7,TRUE)</f>
        <v>52</v>
      </c>
      <c r="E2" s="3" t="str">
        <f>VLOOKUP($A2,Table1[],8,TRUE)</f>
        <v>Italy</v>
      </c>
      <c r="F2" s="3" t="str">
        <f>VLOOKUP($A2,Table1[],9,TRUE)</f>
        <v>Italian</v>
      </c>
      <c r="G2" s="3" t="str">
        <f>VLOOKUP($A2,Table1[],10,TRUE)</f>
        <v>Blockchain Development</v>
      </c>
      <c r="H2" s="13" t="str">
        <f>VLOOKUP($A2,Table1[],12,TRUE)</f>
        <v>11</v>
      </c>
      <c r="I2" s="20">
        <v>100</v>
      </c>
      <c r="J2" s="15">
        <f>VLOOKUP($A2,Table1[],18,TRUE)</f>
        <v>2.6</v>
      </c>
      <c r="K2" s="12" t="str">
        <f>VLOOKUP($A2,Table1[],22,TRUE)</f>
        <v>FALSE</v>
      </c>
      <c r="L2" s="13">
        <f>VLOOKUP($A2,Table1[],25,TRUE)</f>
        <v>0.75</v>
      </c>
    </row>
    <row r="3" spans="1:12" x14ac:dyDescent="0.25">
      <c r="A3" t="s">
        <v>18</v>
      </c>
      <c r="B3" s="18" t="str">
        <f>VLOOKUP(A3,Table1[],3,TRUE)</f>
        <v>Vanessa Garcia</v>
      </c>
      <c r="C3" s="18" t="str">
        <f>VLOOKUP($A3,Table1[],5,TRUE)</f>
        <v>Female</v>
      </c>
      <c r="D3" s="3" t="str">
        <f>VLOOKUP($A3,Table1[],7,TRUE)</f>
        <v>52</v>
      </c>
      <c r="E3" s="3" t="str">
        <f>VLOOKUP($A3,Table1[],8,TRUE)</f>
        <v>Australia</v>
      </c>
      <c r="F3" s="3" t="str">
        <f>VLOOKUP($A3,Table1[],9,TRUE)</f>
        <v>English</v>
      </c>
      <c r="G3" s="3" t="str">
        <f>VLOOKUP($A3,Table1[],10,TRUE)</f>
        <v>Mobile Apps</v>
      </c>
      <c r="H3" s="13" t="str">
        <f>VLOOKUP($A3,Table1[],12,TRUE)</f>
        <v>34</v>
      </c>
      <c r="I3" s="20">
        <v>100</v>
      </c>
      <c r="J3" s="15">
        <f>VLOOKUP($A3,Table1[],18,TRUE)</f>
        <v>3.3</v>
      </c>
      <c r="K3" s="12" t="str">
        <f>VLOOKUP($A3,Table1[],22,TRUE)</f>
        <v>TRUE</v>
      </c>
      <c r="L3" s="13">
        <f>VLOOKUP($A3,Table1[],25,TRUE)</f>
        <v>0.84</v>
      </c>
    </row>
    <row r="4" spans="1:12" x14ac:dyDescent="0.25">
      <c r="A4" t="s">
        <v>25</v>
      </c>
      <c r="B4" s="18" t="str">
        <f>VLOOKUP(A4,Table1[],3,TRUE)</f>
        <v>Juan Nelson</v>
      </c>
      <c r="C4" s="18" t="str">
        <f>VLOOKUP($A4,Table1[],5,TRUE)</f>
        <v>Male</v>
      </c>
      <c r="D4" s="3" t="str">
        <f>VLOOKUP($A4,Table1[],7,TRUE)</f>
        <v>53</v>
      </c>
      <c r="E4" s="3" t="str">
        <f>VLOOKUP($A4,Table1[],8,TRUE)</f>
        <v>Germany</v>
      </c>
      <c r="F4" s="3" t="str">
        <f>VLOOKUP($A4,Table1[],9,TRUE)</f>
        <v>German</v>
      </c>
      <c r="G4" s="3" t="str">
        <f>VLOOKUP($A4,Table1[],10,TRUE)</f>
        <v>Graphic Design</v>
      </c>
      <c r="H4" s="13" t="str">
        <f>VLOOKUP($A4,Table1[],12,TRUE)</f>
        <v>31</v>
      </c>
      <c r="I4" s="20">
        <v>50</v>
      </c>
      <c r="J4" s="15">
        <f>VLOOKUP($A4,Table1[],18,TRUE)</f>
        <v>0</v>
      </c>
      <c r="K4" s="12" t="str">
        <f>VLOOKUP($A4,Table1[],22,TRUE)</f>
        <v>FALSE</v>
      </c>
      <c r="L4" s="13">
        <f>VLOOKUP($A4,Table1[],25,TRUE)</f>
        <v>0.71</v>
      </c>
    </row>
    <row r="5" spans="1:12" x14ac:dyDescent="0.25">
      <c r="A5" t="s">
        <v>32</v>
      </c>
      <c r="B5" s="18" t="str">
        <f>VLOOKUP(A5,Table1[],3,TRUE)</f>
        <v>Amanda Spencer</v>
      </c>
      <c r="C5" s="18" t="str">
        <f>VLOOKUP($A5,Table1[],5,TRUE)</f>
        <v>Female</v>
      </c>
      <c r="D5" s="3" t="str">
        <f>VLOOKUP($A5,Table1[],7,TRUE)</f>
        <v>38</v>
      </c>
      <c r="E5" s="3" t="str">
        <f>VLOOKUP($A5,Table1[],8,TRUE)</f>
        <v>Australia</v>
      </c>
      <c r="F5" s="3" t="str">
        <f>VLOOKUP($A5,Table1[],9,TRUE)</f>
        <v>English</v>
      </c>
      <c r="G5" s="3" t="str">
        <f>VLOOKUP($A5,Table1[],10,TRUE)</f>
        <v>Web Development</v>
      </c>
      <c r="H5" s="13" t="str">
        <f>VLOOKUP($A5,Table1[],12,TRUE)</f>
        <v>4</v>
      </c>
      <c r="I5" s="20">
        <v>40</v>
      </c>
      <c r="J5" s="15">
        <f>VLOOKUP($A5,Table1[],18,TRUE)</f>
        <v>1.5</v>
      </c>
      <c r="K5" s="12" t="str">
        <f>VLOOKUP($A5,Table1[],22,TRUE)</f>
        <v>FALSE</v>
      </c>
      <c r="L5" s="13">
        <f>VLOOKUP($A5,Table1[],25,TRUE)</f>
        <v>0.9</v>
      </c>
    </row>
    <row r="6" spans="1:12" x14ac:dyDescent="0.25">
      <c r="A6" t="s">
        <v>37</v>
      </c>
      <c r="B6" s="18" t="str">
        <f>VLOOKUP(A6,Table1[],3,TRUE)</f>
        <v>Lynn Curtis Dds</v>
      </c>
      <c r="C6" s="18" t="str">
        <f>VLOOKUP($A6,Table1[],5,TRUE)</f>
        <v>Female</v>
      </c>
      <c r="D6" s="3" t="str">
        <f>VLOOKUP($A6,Table1[],7,TRUE)</f>
        <v>53</v>
      </c>
      <c r="E6" s="3" t="str">
        <f>VLOOKUP($A6,Table1[],8,TRUE)</f>
        <v>Germany</v>
      </c>
      <c r="F6" s="3" t="str">
        <f>VLOOKUP($A6,Table1[],9,TRUE)</f>
        <v>German</v>
      </c>
      <c r="G6" s="3" t="str">
        <f>VLOOKUP($A6,Table1[],10,TRUE)</f>
        <v>Web Development</v>
      </c>
      <c r="H6" s="13" t="str">
        <f>VLOOKUP($A6,Table1[],12,TRUE)</f>
        <v>27</v>
      </c>
      <c r="I6" s="20">
        <v>30</v>
      </c>
      <c r="J6" s="15">
        <f>VLOOKUP($A6,Table1[],18,TRUE)</f>
        <v>4.8</v>
      </c>
      <c r="K6" s="12" t="str">
        <f>VLOOKUP($A6,Table1[],22,TRUE)</f>
        <v>FALSE</v>
      </c>
      <c r="L6" s="13">
        <f>VLOOKUP($A6,Table1[],25,TRUE)</f>
        <v>0.83</v>
      </c>
    </row>
    <row r="7" spans="1:12" x14ac:dyDescent="0.25">
      <c r="A7" t="s">
        <v>40</v>
      </c>
      <c r="B7" s="18" t="str">
        <f>VLOOKUP(A7,Table1[],3,TRUE)</f>
        <v>Lisa Johnson</v>
      </c>
      <c r="C7" s="18" t="str">
        <f>VLOOKUP($A7,Table1[],5,TRUE)</f>
        <v>Female</v>
      </c>
      <c r="D7" s="3" t="str">
        <f>VLOOKUP($A7,Table1[],7,TRUE)</f>
        <v>59</v>
      </c>
      <c r="E7" s="3" t="str">
        <f>VLOOKUP($A7,Table1[],8,TRUE)</f>
        <v>Netherlands</v>
      </c>
      <c r="F7" s="3" t="str">
        <f>VLOOKUP($A7,Table1[],9,TRUE)</f>
        <v>Dutch</v>
      </c>
      <c r="G7" s="3" t="str">
        <f>VLOOKUP($A7,Table1[],10,TRUE)</f>
        <v>AI</v>
      </c>
      <c r="H7" s="13" t="str">
        <f>VLOOKUP($A7,Table1[],12,TRUE)</f>
        <v>14</v>
      </c>
      <c r="I7" s="20">
        <v>30</v>
      </c>
      <c r="J7" s="15">
        <f>VLOOKUP($A7,Table1[],18,TRUE)</f>
        <v>2.4</v>
      </c>
      <c r="K7" s="12" t="str">
        <f>VLOOKUP($A7,Table1[],22,TRUE)</f>
        <v>TRUE</v>
      </c>
      <c r="L7" s="13">
        <f>VLOOKUP($A7,Table1[],25,TRUE)</f>
        <v>0.75</v>
      </c>
    </row>
    <row r="8" spans="1:12" x14ac:dyDescent="0.25">
      <c r="A8" t="s">
        <v>46</v>
      </c>
      <c r="B8" s="18" t="str">
        <f>VLOOKUP(A8,Table1[],3,TRUE)</f>
        <v>Eric Myers</v>
      </c>
      <c r="C8" s="18" t="str">
        <f>VLOOKUP($A8,Table1[],5,TRUE)</f>
        <v>Male</v>
      </c>
      <c r="D8" s="3" t="str">
        <f>VLOOKUP($A8,Table1[],7,TRUE)</f>
        <v>52</v>
      </c>
      <c r="E8" s="3" t="str">
        <f>VLOOKUP($A8,Table1[],8,TRUE)</f>
        <v>Indonesia</v>
      </c>
      <c r="F8" s="3" t="str">
        <f>VLOOKUP($A8,Table1[],9,TRUE)</f>
        <v>Indonesian</v>
      </c>
      <c r="G8" s="3" t="str">
        <f>VLOOKUP($A8,Table1[],10,TRUE)</f>
        <v>Data Analysis</v>
      </c>
      <c r="H8" s="13" t="str">
        <f>VLOOKUP($A8,Table1[],12,TRUE)</f>
        <v>10</v>
      </c>
      <c r="I8" s="20">
        <v>75</v>
      </c>
      <c r="J8" s="15">
        <f>VLOOKUP($A8,Table1[],18,TRUE)</f>
        <v>3.1</v>
      </c>
      <c r="K8" s="12" t="str">
        <f>VLOOKUP($A8,Table1[],22,TRUE)</f>
        <v>FALSE</v>
      </c>
      <c r="L8" s="13">
        <f>VLOOKUP($A8,Table1[],25,TRUE)</f>
        <v>0.94</v>
      </c>
    </row>
    <row r="9" spans="1:12" x14ac:dyDescent="0.25">
      <c r="A9" t="s">
        <v>53</v>
      </c>
      <c r="B9" s="18" t="str">
        <f>VLOOKUP(A9,Table1[],3,TRUE)</f>
        <v>Ricky Graham</v>
      </c>
      <c r="C9" s="18" t="str">
        <f>VLOOKUP($A9,Table1[],5,TRUE)</f>
        <v>Male</v>
      </c>
      <c r="D9" s="3" t="str">
        <f>VLOOKUP($A9,Table1[],7,TRUE)</f>
        <v>43</v>
      </c>
      <c r="E9" s="3" t="str">
        <f>VLOOKUP($A9,Table1[],8,TRUE)</f>
        <v>Italy</v>
      </c>
      <c r="F9" s="3" t="str">
        <f>VLOOKUP($A9,Table1[],9,TRUE)</f>
        <v>Italian</v>
      </c>
      <c r="G9" s="3" t="str">
        <f>VLOOKUP($A9,Table1[],10,TRUE)</f>
        <v>Blockchain Development</v>
      </c>
      <c r="H9" s="13" t="str">
        <f>VLOOKUP($A9,Table1[],12,TRUE)</f>
        <v>14</v>
      </c>
      <c r="I9" s="20">
        <v>40</v>
      </c>
      <c r="J9" s="15">
        <f>VLOOKUP($A9,Table1[],18,TRUE)</f>
        <v>4.5999999999999996</v>
      </c>
      <c r="K9" s="12" t="str">
        <f>VLOOKUP($A9,Table1[],22,TRUE)</f>
        <v>TRUE</v>
      </c>
      <c r="L9" s="13">
        <f>VLOOKUP($A9,Table1[],25,TRUE)</f>
        <v>0.94</v>
      </c>
    </row>
    <row r="10" spans="1:12" x14ac:dyDescent="0.25">
      <c r="A10" t="s">
        <v>56</v>
      </c>
      <c r="B10" s="18" t="str">
        <f>VLOOKUP(A10,Table1[],3,TRUE)</f>
        <v>Sean Martin</v>
      </c>
      <c r="C10" s="18" t="str">
        <f>VLOOKUP($A10,Table1[],5,TRUE)</f>
        <v>Male</v>
      </c>
      <c r="D10" s="3" t="str">
        <f>VLOOKUP($A10,Table1[],7,TRUE)</f>
        <v>26</v>
      </c>
      <c r="E10" s="3" t="str">
        <f>VLOOKUP($A10,Table1[],8,TRUE)</f>
        <v>United States</v>
      </c>
      <c r="F10" s="3" t="str">
        <f>VLOOKUP($A10,Table1[],9,TRUE)</f>
        <v>English</v>
      </c>
      <c r="G10" s="3" t="str">
        <f>VLOOKUP($A10,Table1[],10,TRUE)</f>
        <v>Blockchain Development</v>
      </c>
      <c r="H10" s="13" t="str">
        <f>VLOOKUP($A10,Table1[],12,TRUE)</f>
        <v>4</v>
      </c>
      <c r="I10" s="20">
        <v>50</v>
      </c>
      <c r="J10" s="15">
        <f>VLOOKUP($A10,Table1[],18,TRUE)</f>
        <v>4</v>
      </c>
      <c r="K10" s="12" t="str">
        <f>VLOOKUP($A10,Table1[],22,TRUE)</f>
        <v>TRUE</v>
      </c>
      <c r="L10" s="13">
        <f>VLOOKUP($A10,Table1[],25,TRUE)</f>
        <v>0.76</v>
      </c>
    </row>
    <row r="11" spans="1:12" x14ac:dyDescent="0.25">
      <c r="A11" t="s">
        <v>59</v>
      </c>
      <c r="B11" s="18" t="str">
        <f>VLOOKUP(A11,Table1[],3,TRUE)</f>
        <v>Matthew Lloyd</v>
      </c>
      <c r="C11" s="18" t="str">
        <f>VLOOKUP($A11,Table1[],5,TRUE)</f>
        <v>Male</v>
      </c>
      <c r="D11" s="3" t="str">
        <f>VLOOKUP($A11,Table1[],7,TRUE)</f>
        <v>52</v>
      </c>
      <c r="E11" s="3" t="str">
        <f>VLOOKUP($A11,Table1[],8,TRUE)</f>
        <v>Turkey</v>
      </c>
      <c r="F11" s="3" t="str">
        <f>VLOOKUP($A11,Table1[],9,TRUE)</f>
        <v>Turkish</v>
      </c>
      <c r="G11" s="3" t="str">
        <f>VLOOKUP($A11,Table1[],10,TRUE)</f>
        <v>AI</v>
      </c>
      <c r="H11" s="13" t="str">
        <f>VLOOKUP($A11,Table1[],12,TRUE)</f>
        <v>22</v>
      </c>
      <c r="I11" s="20">
        <v>50</v>
      </c>
      <c r="J11" s="15">
        <f>VLOOKUP($A11,Table1[],18,TRUE)</f>
        <v>2.6</v>
      </c>
      <c r="K11" s="12" t="str">
        <f>VLOOKUP($A11,Table1[],22,TRUE)</f>
        <v>TRUE</v>
      </c>
      <c r="L11" s="13">
        <f>VLOOKUP($A11,Table1[],25,TRUE)</f>
        <v>0.75</v>
      </c>
    </row>
    <row r="12" spans="1:12" x14ac:dyDescent="0.25">
      <c r="A12" t="s">
        <v>65</v>
      </c>
      <c r="B12" s="18" t="str">
        <f>VLOOKUP(A12,Table1[],3,TRUE)</f>
        <v>Gavin Randall</v>
      </c>
      <c r="C12" s="18" t="str">
        <f>VLOOKUP($A12,Table1[],5,TRUE)</f>
        <v>Male</v>
      </c>
      <c r="D12" s="3" t="str">
        <f>VLOOKUP($A12,Table1[],7,TRUE)</f>
        <v>40</v>
      </c>
      <c r="E12" s="3" t="str">
        <f>VLOOKUP($A12,Table1[],8,TRUE)</f>
        <v>United Kingdom</v>
      </c>
      <c r="F12" s="3" t="str">
        <f>VLOOKUP($A12,Table1[],9,TRUE)</f>
        <v>English</v>
      </c>
      <c r="G12" s="3" t="str">
        <f>VLOOKUP($A12,Table1[],10,TRUE)</f>
        <v>Data Analysis</v>
      </c>
      <c r="H12" s="13" t="str">
        <f>VLOOKUP($A12,Table1[],12,TRUE)</f>
        <v>17</v>
      </c>
      <c r="I12" s="20">
        <v>40</v>
      </c>
      <c r="J12" s="15">
        <f>VLOOKUP($A12,Table1[],18,TRUE)</f>
        <v>3.6</v>
      </c>
      <c r="K12" s="12" t="str">
        <f>VLOOKUP($A12,Table1[],22,TRUE)</f>
        <v>TRUE</v>
      </c>
      <c r="L12" s="13">
        <f>VLOOKUP($A12,Table1[],25,TRUE)</f>
        <v>0.77</v>
      </c>
    </row>
    <row r="13" spans="1:12" x14ac:dyDescent="0.25">
      <c r="A13" t="s">
        <v>69</v>
      </c>
      <c r="B13" s="18" t="str">
        <f>VLOOKUP(A13,Table1[],3,TRUE)</f>
        <v>Michelle Curtis</v>
      </c>
      <c r="C13" s="18" t="str">
        <f>VLOOKUP($A13,Table1[],5,TRUE)</f>
        <v>Female</v>
      </c>
      <c r="D13" s="3" t="str">
        <f>VLOOKUP($A13,Table1[],7,TRUE)</f>
        <v>55</v>
      </c>
      <c r="E13" s="3" t="str">
        <f>VLOOKUP($A13,Table1[],8,TRUE)</f>
        <v>Argentina</v>
      </c>
      <c r="F13" s="3" t="str">
        <f>VLOOKUP($A13,Table1[],9,TRUE)</f>
        <v>Spanish</v>
      </c>
      <c r="G13" s="3" t="str">
        <f>VLOOKUP($A13,Table1[],10,TRUE)</f>
        <v>UI/UX Design</v>
      </c>
      <c r="H13" s="13" t="str">
        <f>VLOOKUP($A13,Table1[],12,TRUE)</f>
        <v>15</v>
      </c>
      <c r="I13" s="20">
        <v>50</v>
      </c>
      <c r="J13" s="15">
        <f>VLOOKUP($A13,Table1[],18,TRUE)</f>
        <v>2.6</v>
      </c>
      <c r="K13" s="12" t="str">
        <f>VLOOKUP($A13,Table1[],22,TRUE)</f>
        <v>TRUE</v>
      </c>
      <c r="L13" s="13">
        <f>VLOOKUP($A13,Table1[],25,TRUE)</f>
        <v>0.86</v>
      </c>
    </row>
    <row r="14" spans="1:12" x14ac:dyDescent="0.25">
      <c r="A14" t="s">
        <v>75</v>
      </c>
      <c r="B14" s="18" t="str">
        <f>VLOOKUP(A14,Table1[],3,TRUE)</f>
        <v>Alice Schneider</v>
      </c>
      <c r="C14" s="18" t="str">
        <f>VLOOKUP($A14,Table1[],5,TRUE)</f>
        <v>Female</v>
      </c>
      <c r="D14" s="3" t="str">
        <f>VLOOKUP($A14,Table1[],7,TRUE)</f>
        <v>57</v>
      </c>
      <c r="E14" s="3" t="str">
        <f>VLOOKUP($A14,Table1[],8,TRUE)</f>
        <v>United Kingdom</v>
      </c>
      <c r="F14" s="3" t="str">
        <f>VLOOKUP($A14,Table1[],9,TRUE)</f>
        <v>English</v>
      </c>
      <c r="G14" s="3" t="str">
        <f>VLOOKUP($A14,Table1[],10,TRUE)</f>
        <v>Cybersecurity</v>
      </c>
      <c r="H14" s="13" t="str">
        <f>VLOOKUP($A14,Table1[],12,TRUE)</f>
        <v>18</v>
      </c>
      <c r="I14" s="20">
        <v>50</v>
      </c>
      <c r="J14" s="15">
        <f>VLOOKUP($A14,Table1[],18,TRUE)</f>
        <v>2</v>
      </c>
      <c r="K14" s="12" t="str">
        <f>VLOOKUP($A14,Table1[],22,TRUE)</f>
        <v>FALSE</v>
      </c>
      <c r="L14" s="13">
        <f>VLOOKUP($A14,Table1[],25,TRUE)</f>
        <v>0.86</v>
      </c>
    </row>
    <row r="15" spans="1:12" x14ac:dyDescent="0.25">
      <c r="A15" t="s">
        <v>79</v>
      </c>
      <c r="B15" s="18" t="str">
        <f>VLOOKUP(A15,Table1[],3,TRUE)</f>
        <v>Phillip Shelton</v>
      </c>
      <c r="C15" s="18" t="str">
        <f>VLOOKUP($A15,Table1[],5,TRUE)</f>
        <v>Male</v>
      </c>
      <c r="D15" s="3" t="str">
        <f>VLOOKUP($A15,Table1[],7,TRUE)</f>
        <v>38</v>
      </c>
      <c r="E15" s="3" t="str">
        <f>VLOOKUP($A15,Table1[],8,TRUE)</f>
        <v>Argentina</v>
      </c>
      <c r="F15" s="3" t="str">
        <f>VLOOKUP($A15,Table1[],9,TRUE)</f>
        <v>Spanish</v>
      </c>
      <c r="G15" s="3" t="str">
        <f>VLOOKUP($A15,Table1[],10,TRUE)</f>
        <v>Graphic Design</v>
      </c>
      <c r="H15" s="13" t="str">
        <f>VLOOKUP($A15,Table1[],12,TRUE)</f>
        <v>20</v>
      </c>
      <c r="I15" s="20">
        <v>75</v>
      </c>
      <c r="J15" s="15">
        <f>VLOOKUP($A15,Table1[],18,TRUE)</f>
        <v>2.9</v>
      </c>
      <c r="K15" s="12" t="str">
        <f>VLOOKUP($A15,Table1[],22,TRUE)</f>
        <v>TRUE</v>
      </c>
      <c r="L15" s="13">
        <f>VLOOKUP($A15,Table1[],25,TRUE)</f>
        <v>0.93</v>
      </c>
    </row>
    <row r="16" spans="1:12" x14ac:dyDescent="0.25">
      <c r="A16" t="s">
        <v>81</v>
      </c>
      <c r="B16" s="18" t="str">
        <f>VLOOKUP(A16,Table1[],3,TRUE)</f>
        <v>Edward Ferguson</v>
      </c>
      <c r="C16" s="18" t="str">
        <f>VLOOKUP($A16,Table1[],5,TRUE)</f>
        <v>Male</v>
      </c>
      <c r="D16" s="3" t="str">
        <f>VLOOKUP($A16,Table1[],7,TRUE)</f>
        <v>50</v>
      </c>
      <c r="E16" s="3" t="str">
        <f>VLOOKUP($A16,Table1[],8,TRUE)</f>
        <v>Germany</v>
      </c>
      <c r="F16" s="3" t="str">
        <f>VLOOKUP($A16,Table1[],9,TRUE)</f>
        <v>German</v>
      </c>
      <c r="G16" s="3" t="str">
        <f>VLOOKUP($A16,Table1[],10,TRUE)</f>
        <v>Data Analysis</v>
      </c>
      <c r="H16" s="13" t="str">
        <f>VLOOKUP($A16,Table1[],12,TRUE)</f>
        <v>22</v>
      </c>
      <c r="I16" s="20">
        <v>75</v>
      </c>
      <c r="J16" s="15">
        <f>VLOOKUP($A16,Table1[],18,TRUE)</f>
        <v>3.7</v>
      </c>
      <c r="K16" s="12" t="str">
        <f>VLOOKUP($A16,Table1[],22,TRUE)</f>
        <v>TRUE</v>
      </c>
      <c r="L16" s="13">
        <f>VLOOKUP($A16,Table1[],25,TRUE)</f>
        <v>0.7</v>
      </c>
    </row>
    <row r="17" spans="1:12" x14ac:dyDescent="0.25">
      <c r="A17" t="s">
        <v>83</v>
      </c>
      <c r="B17" s="18" t="str">
        <f>VLOOKUP(A17,Table1[],3,TRUE)</f>
        <v>Wyatt Stout</v>
      </c>
      <c r="C17" s="18" t="str">
        <f>VLOOKUP($A17,Table1[],5,TRUE)</f>
        <v>Male</v>
      </c>
      <c r="D17" s="3" t="str">
        <f>VLOOKUP($A17,Table1[],7,TRUE)</f>
        <v>42</v>
      </c>
      <c r="E17" s="3" t="str">
        <f>VLOOKUP($A17,Table1[],8,TRUE)</f>
        <v>Japan</v>
      </c>
      <c r="F17" s="3" t="str">
        <f>VLOOKUP($A17,Table1[],9,TRUE)</f>
        <v>Japanese</v>
      </c>
      <c r="G17" s="3" t="str">
        <f>VLOOKUP($A17,Table1[],10,TRUE)</f>
        <v>Data Analysis</v>
      </c>
      <c r="H17" s="13" t="str">
        <f>VLOOKUP($A17,Table1[],12,TRUE)</f>
        <v>0</v>
      </c>
      <c r="I17" s="20">
        <v>30</v>
      </c>
      <c r="J17" s="15">
        <f>VLOOKUP($A17,Table1[],18,TRUE)</f>
        <v>1.2</v>
      </c>
      <c r="K17" s="12" t="str">
        <f>VLOOKUP($A17,Table1[],22,TRUE)</f>
        <v>FALSE</v>
      </c>
      <c r="L17" s="13">
        <f>VLOOKUP($A17,Table1[],25,TRUE)</f>
        <v>0.69</v>
      </c>
    </row>
    <row r="18" spans="1:12" x14ac:dyDescent="0.25">
      <c r="A18" t="s">
        <v>87</v>
      </c>
      <c r="B18" s="18" t="str">
        <f>VLOOKUP(A18,Table1[],3,TRUE)</f>
        <v>Laura Johnson</v>
      </c>
      <c r="C18" s="18" t="str">
        <f>VLOOKUP($A18,Table1[],5,TRUE)</f>
        <v>Female</v>
      </c>
      <c r="D18" s="3" t="str">
        <f>VLOOKUP($A18,Table1[],7,TRUE)</f>
        <v>39</v>
      </c>
      <c r="E18" s="3" t="str">
        <f>VLOOKUP($A18,Table1[],8,TRUE)</f>
        <v>Australia</v>
      </c>
      <c r="F18" s="3" t="str">
        <f>VLOOKUP($A18,Table1[],9,TRUE)</f>
        <v>English</v>
      </c>
      <c r="G18" s="3" t="str">
        <f>VLOOKUP($A18,Table1[],10,TRUE)</f>
        <v>DevOps</v>
      </c>
      <c r="H18" s="13" t="str">
        <f>VLOOKUP($A18,Table1[],12,TRUE)</f>
        <v>13</v>
      </c>
      <c r="I18" s="20">
        <v>30</v>
      </c>
      <c r="J18" s="15">
        <f>VLOOKUP($A18,Table1[],18,TRUE)</f>
        <v>2.5</v>
      </c>
      <c r="K18" s="12" t="str">
        <f>VLOOKUP($A18,Table1[],22,TRUE)</f>
        <v>TRUE</v>
      </c>
      <c r="L18" s="13">
        <f>VLOOKUP($A18,Table1[],25,TRUE)</f>
        <v>0.6</v>
      </c>
    </row>
    <row r="19" spans="1:12" x14ac:dyDescent="0.25">
      <c r="A19" t="s">
        <v>90</v>
      </c>
      <c r="B19" s="18" t="str">
        <f>VLOOKUP(A19,Table1[],3,TRUE)</f>
        <v>Scott Burns</v>
      </c>
      <c r="C19" s="18" t="str">
        <f>VLOOKUP($A19,Table1[],5,TRUE)</f>
        <v>Male</v>
      </c>
      <c r="D19" s="3" t="str">
        <f>VLOOKUP($A19,Table1[],7,TRUE)</f>
        <v>56</v>
      </c>
      <c r="E19" s="3" t="str">
        <f>VLOOKUP($A19,Table1[],8,TRUE)</f>
        <v>India</v>
      </c>
      <c r="F19" s="3" t="str">
        <f>VLOOKUP($A19,Table1[],9,TRUE)</f>
        <v>Hindi</v>
      </c>
      <c r="G19" s="3" t="str">
        <f>VLOOKUP($A19,Table1[],10,TRUE)</f>
        <v>Blockchain Development</v>
      </c>
      <c r="H19" s="13" t="str">
        <f>VLOOKUP($A19,Table1[],12,TRUE)</f>
        <v>Unknown</v>
      </c>
      <c r="I19" s="20">
        <v>50</v>
      </c>
      <c r="J19" s="15">
        <f>VLOOKUP($A19,Table1[],18,TRUE)</f>
        <v>2.6</v>
      </c>
      <c r="K19" s="12" t="str">
        <f>VLOOKUP($A19,Table1[],22,TRUE)</f>
        <v>TRUE</v>
      </c>
      <c r="L19" s="13">
        <f>VLOOKUP($A19,Table1[],25,TRUE)</f>
        <v>0.87</v>
      </c>
    </row>
    <row r="20" spans="1:12" x14ac:dyDescent="0.25">
      <c r="A20" t="s">
        <v>95</v>
      </c>
      <c r="B20" s="18" t="str">
        <f>VLOOKUP(A20,Table1[],3,TRUE)</f>
        <v>Tyler Aguirre</v>
      </c>
      <c r="C20" s="18" t="str">
        <f>VLOOKUP($A20,Table1[],5,TRUE)</f>
        <v>Male</v>
      </c>
      <c r="D20" s="3" t="str">
        <f>VLOOKUP($A20,Table1[],7,TRUE)</f>
        <v>56</v>
      </c>
      <c r="E20" s="3" t="str">
        <f>VLOOKUP($A20,Table1[],8,TRUE)</f>
        <v>United States</v>
      </c>
      <c r="F20" s="3" t="str">
        <f>VLOOKUP($A20,Table1[],9,TRUE)</f>
        <v>English</v>
      </c>
      <c r="G20" s="3" t="str">
        <f>VLOOKUP($A20,Table1[],10,TRUE)</f>
        <v>UI/UX Design</v>
      </c>
      <c r="H20" s="13" t="str">
        <f>VLOOKUP($A20,Table1[],12,TRUE)</f>
        <v>31</v>
      </c>
      <c r="I20" s="20">
        <v>50</v>
      </c>
      <c r="J20" s="15">
        <f>VLOOKUP($A20,Table1[],18,TRUE)</f>
        <v>1.1000000000000001</v>
      </c>
      <c r="K20" s="12" t="str">
        <f>VLOOKUP($A20,Table1[],22,TRUE)</f>
        <v>FALSE</v>
      </c>
      <c r="L20" s="13">
        <f>VLOOKUP($A20,Table1[],25,TRUE)</f>
        <v>0.75</v>
      </c>
    </row>
    <row r="21" spans="1:12" x14ac:dyDescent="0.25">
      <c r="A21" t="s">
        <v>99</v>
      </c>
      <c r="B21" s="18" t="str">
        <f>VLOOKUP(A21,Table1[],3,TRUE)</f>
        <v>Matthew Lawson</v>
      </c>
      <c r="C21" s="18" t="str">
        <f>VLOOKUP($A21,Table1[],5,TRUE)</f>
        <v>Male</v>
      </c>
      <c r="D21" s="3" t="str">
        <f>VLOOKUP($A21,Table1[],7,TRUE)</f>
        <v>57</v>
      </c>
      <c r="E21" s="3" t="str">
        <f>VLOOKUP($A21,Table1[],8,TRUE)</f>
        <v>Italy</v>
      </c>
      <c r="F21" s="3" t="str">
        <f>VLOOKUP($A21,Table1[],9,TRUE)</f>
        <v>Italian</v>
      </c>
      <c r="G21" s="3" t="str">
        <f>VLOOKUP($A21,Table1[],10,TRUE)</f>
        <v>Web Development</v>
      </c>
      <c r="H21" s="13" t="str">
        <f>VLOOKUP($A21,Table1[],12,TRUE)</f>
        <v>3</v>
      </c>
      <c r="I21" s="20">
        <v>100</v>
      </c>
      <c r="J21" s="15">
        <f>VLOOKUP($A21,Table1[],18,TRUE)</f>
        <v>1.8</v>
      </c>
      <c r="K21" s="12" t="str">
        <f>VLOOKUP($A21,Table1[],22,TRUE)</f>
        <v>TRUE</v>
      </c>
      <c r="L21" s="13">
        <f>VLOOKUP($A21,Table1[],25,TRUE)</f>
        <v>0.68</v>
      </c>
    </row>
    <row r="22" spans="1:12" x14ac:dyDescent="0.25">
      <c r="A22" t="s">
        <v>101</v>
      </c>
      <c r="B22" s="18" t="str">
        <f>VLOOKUP(A22,Table1[],3,TRUE)</f>
        <v>James Cherry</v>
      </c>
      <c r="C22" s="18" t="str">
        <f>VLOOKUP($A22,Table1[],5,TRUE)</f>
        <v>Male</v>
      </c>
      <c r="D22" s="3" t="str">
        <f>VLOOKUP($A22,Table1[],7,TRUE)</f>
        <v>Unknown</v>
      </c>
      <c r="E22" s="3" t="str">
        <f>VLOOKUP($A22,Table1[],8,TRUE)</f>
        <v>Indonesia</v>
      </c>
      <c r="F22" s="3" t="str">
        <f>VLOOKUP($A22,Table1[],9,TRUE)</f>
        <v>Indonesian</v>
      </c>
      <c r="G22" s="3" t="str">
        <f>VLOOKUP($A22,Table1[],10,TRUE)</f>
        <v>AI</v>
      </c>
      <c r="H22" s="13" t="str">
        <f>VLOOKUP($A22,Table1[],12,TRUE)</f>
        <v>9</v>
      </c>
      <c r="I22" s="20">
        <v>50</v>
      </c>
      <c r="J22" s="15">
        <f>VLOOKUP($A22,Table1[],18,TRUE)</f>
        <v>1.8</v>
      </c>
      <c r="K22" s="12" t="str">
        <f>VLOOKUP($A22,Table1[],22,TRUE)</f>
        <v>TRUE</v>
      </c>
      <c r="L22" s="13">
        <f>VLOOKUP($A22,Table1[],25,TRUE)</f>
        <v>0.65</v>
      </c>
    </row>
    <row r="23" spans="1:12" x14ac:dyDescent="0.25">
      <c r="A23" t="s">
        <v>103</v>
      </c>
      <c r="B23" s="18" t="str">
        <f>VLOOKUP(A23,Table1[],3,TRUE)</f>
        <v>Samuel Sanford</v>
      </c>
      <c r="C23" s="18" t="str">
        <f>VLOOKUP($A23,Table1[],5,TRUE)</f>
        <v>Male</v>
      </c>
      <c r="D23" s="3" t="str">
        <f>VLOOKUP($A23,Table1[],7,TRUE)</f>
        <v>51</v>
      </c>
      <c r="E23" s="3" t="str">
        <f>VLOOKUP($A23,Table1[],8,TRUE)</f>
        <v>Japan</v>
      </c>
      <c r="F23" s="3" t="str">
        <f>VLOOKUP($A23,Table1[],9,TRUE)</f>
        <v>Japanese</v>
      </c>
      <c r="G23" s="3" t="str">
        <f>VLOOKUP($A23,Table1[],10,TRUE)</f>
        <v>DevOps</v>
      </c>
      <c r="H23" s="13" t="str">
        <f>VLOOKUP($A23,Table1[],12,TRUE)</f>
        <v>Unknown</v>
      </c>
      <c r="I23" s="20">
        <v>50</v>
      </c>
      <c r="J23" s="15">
        <f>VLOOKUP($A23,Table1[],18,TRUE)</f>
        <v>2.4</v>
      </c>
      <c r="K23" s="12" t="str">
        <f>VLOOKUP($A23,Table1[],22,TRUE)</f>
        <v>FALSE</v>
      </c>
      <c r="L23" s="13">
        <f>VLOOKUP($A23,Table1[],25,TRUE)</f>
        <v>0.69</v>
      </c>
    </row>
    <row r="24" spans="1:12" x14ac:dyDescent="0.25">
      <c r="A24" t="s">
        <v>105</v>
      </c>
      <c r="B24" s="18" t="str">
        <f>VLOOKUP(A24,Table1[],3,TRUE)</f>
        <v>Cesar Greene</v>
      </c>
      <c r="C24" s="18" t="str">
        <f>VLOOKUP($A24,Table1[],5,TRUE)</f>
        <v>Male</v>
      </c>
      <c r="D24" s="3" t="str">
        <f>VLOOKUP($A24,Table1[],7,TRUE)</f>
        <v>51</v>
      </c>
      <c r="E24" s="3" t="str">
        <f>VLOOKUP($A24,Table1[],8,TRUE)</f>
        <v>Brazil</v>
      </c>
      <c r="F24" s="3" t="str">
        <f>VLOOKUP($A24,Table1[],9,TRUE)</f>
        <v>Portuguese</v>
      </c>
      <c r="G24" s="3" t="str">
        <f>VLOOKUP($A24,Table1[],10,TRUE)</f>
        <v>Cybersecurity</v>
      </c>
      <c r="H24" s="13" t="str">
        <f>VLOOKUP($A24,Table1[],12,TRUE)</f>
        <v>21</v>
      </c>
      <c r="I24" s="20">
        <v>30</v>
      </c>
      <c r="J24" s="15">
        <f>VLOOKUP($A24,Table1[],18,TRUE)</f>
        <v>4.7</v>
      </c>
      <c r="K24" s="12" t="str">
        <f>VLOOKUP($A24,Table1[],22,TRUE)</f>
        <v>FALSE</v>
      </c>
      <c r="L24" s="13">
        <f>VLOOKUP($A24,Table1[],25,TRUE)</f>
        <v>0.75</v>
      </c>
    </row>
    <row r="25" spans="1:12" x14ac:dyDescent="0.25">
      <c r="A25" t="s">
        <v>110</v>
      </c>
      <c r="B25" s="18" t="str">
        <f>VLOOKUP(A25,Table1[],3,TRUE)</f>
        <v>Melanie Carter</v>
      </c>
      <c r="C25" s="18" t="str">
        <f>VLOOKUP($A25,Table1[],5,TRUE)</f>
        <v>Female</v>
      </c>
      <c r="D25" s="3" t="str">
        <f>VLOOKUP($A25,Table1[],7,TRUE)</f>
        <v>51</v>
      </c>
      <c r="E25" s="3" t="str">
        <f>VLOOKUP($A25,Table1[],8,TRUE)</f>
        <v>South Korea</v>
      </c>
      <c r="F25" s="3" t="str">
        <f>VLOOKUP($A25,Table1[],9,TRUE)</f>
        <v>Korean</v>
      </c>
      <c r="G25" s="3" t="str">
        <f>VLOOKUP($A25,Table1[],10,TRUE)</f>
        <v>Machine Learning</v>
      </c>
      <c r="H25" s="13" t="str">
        <f>VLOOKUP($A25,Table1[],12,TRUE)</f>
        <v>15</v>
      </c>
      <c r="I25" s="20">
        <v>50</v>
      </c>
      <c r="J25" s="15">
        <f>VLOOKUP($A25,Table1[],18,TRUE)</f>
        <v>1.3</v>
      </c>
      <c r="K25" s="12" t="str">
        <f>VLOOKUP($A25,Table1[],22,TRUE)</f>
        <v>TRUE</v>
      </c>
      <c r="L25" s="13">
        <f>VLOOKUP($A25,Table1[],25,TRUE)</f>
        <v>1</v>
      </c>
    </row>
    <row r="26" spans="1:12" x14ac:dyDescent="0.25">
      <c r="A26" t="s">
        <v>115</v>
      </c>
      <c r="B26" s="18" t="str">
        <f>VLOOKUP(A26,Table1[],3,TRUE)</f>
        <v>Jennifer Martin</v>
      </c>
      <c r="C26" s="18" t="str">
        <f>VLOOKUP($A26,Table1[],5,TRUE)</f>
        <v>Female</v>
      </c>
      <c r="D26" s="3" t="str">
        <f>VLOOKUP($A26,Table1[],7,TRUE)</f>
        <v>54</v>
      </c>
      <c r="E26" s="3" t="str">
        <f>VLOOKUP($A26,Table1[],8,TRUE)</f>
        <v>Indonesia</v>
      </c>
      <c r="F26" s="3" t="str">
        <f>VLOOKUP($A26,Table1[],9,TRUE)</f>
        <v>Indonesian</v>
      </c>
      <c r="G26" s="3" t="str">
        <f>VLOOKUP($A26,Table1[],10,TRUE)</f>
        <v>Machine Learning</v>
      </c>
      <c r="H26" s="13" t="str">
        <f>VLOOKUP($A26,Table1[],12,TRUE)</f>
        <v>13</v>
      </c>
      <c r="I26" s="20">
        <v>75</v>
      </c>
      <c r="J26" s="15">
        <f>VLOOKUP($A26,Table1[],18,TRUE)</f>
        <v>2.9</v>
      </c>
      <c r="K26" s="12" t="str">
        <f>VLOOKUP($A26,Table1[],22,TRUE)</f>
        <v>TRUE</v>
      </c>
      <c r="L26" s="13">
        <f>VLOOKUP($A26,Table1[],25,TRUE)</f>
        <v>0.92</v>
      </c>
    </row>
    <row r="27" spans="1:12" x14ac:dyDescent="0.25">
      <c r="A27" t="s">
        <v>117</v>
      </c>
      <c r="B27" s="18" t="str">
        <f>VLOOKUP(A27,Table1[],3,TRUE)</f>
        <v>Anna Mccann</v>
      </c>
      <c r="C27" s="18" t="str">
        <f>VLOOKUP($A27,Table1[],5,TRUE)</f>
        <v>Female</v>
      </c>
      <c r="D27" s="3" t="str">
        <f>VLOOKUP($A27,Table1[],7,TRUE)</f>
        <v>22</v>
      </c>
      <c r="E27" s="3" t="str">
        <f>VLOOKUP($A27,Table1[],8,TRUE)</f>
        <v>South Korea</v>
      </c>
      <c r="F27" s="3" t="str">
        <f>VLOOKUP($A27,Table1[],9,TRUE)</f>
        <v>Korean</v>
      </c>
      <c r="G27" s="3" t="str">
        <f>VLOOKUP($A27,Table1[],10,TRUE)</f>
        <v>DevOps</v>
      </c>
      <c r="H27" s="13" t="str">
        <f>VLOOKUP($A27,Table1[],12,TRUE)</f>
        <v>0</v>
      </c>
      <c r="I27" s="20">
        <v>30</v>
      </c>
      <c r="J27" s="15">
        <f>VLOOKUP($A27,Table1[],18,TRUE)</f>
        <v>1.2</v>
      </c>
      <c r="K27" s="12" t="str">
        <f>VLOOKUP($A27,Table1[],22,TRUE)</f>
        <v>TRUE</v>
      </c>
      <c r="L27" s="13">
        <f>VLOOKUP($A27,Table1[],25,TRUE)</f>
        <v>0.7</v>
      </c>
    </row>
    <row r="28" spans="1:12" x14ac:dyDescent="0.25">
      <c r="A28" t="s">
        <v>119</v>
      </c>
      <c r="B28" s="18" t="str">
        <f>VLOOKUP(A28,Table1[],3,TRUE)</f>
        <v>Marissa Bass</v>
      </c>
      <c r="C28" s="18" t="str">
        <f>VLOOKUP($A28,Table1[],5,TRUE)</f>
        <v>Female</v>
      </c>
      <c r="D28" s="3" t="str">
        <f>VLOOKUP($A28,Table1[],7,TRUE)</f>
        <v>34</v>
      </c>
      <c r="E28" s="3" t="str">
        <f>VLOOKUP($A28,Table1[],8,TRUE)</f>
        <v>Japan</v>
      </c>
      <c r="F28" s="3" t="str">
        <f>VLOOKUP($A28,Table1[],9,TRUE)</f>
        <v>Japanese</v>
      </c>
      <c r="G28" s="3" t="str">
        <f>VLOOKUP($A28,Table1[],10,TRUE)</f>
        <v>Blockchain Development</v>
      </c>
      <c r="H28" s="13" t="str">
        <f>VLOOKUP($A28,Table1[],12,TRUE)</f>
        <v>8</v>
      </c>
      <c r="I28" s="20">
        <v>20</v>
      </c>
      <c r="J28" s="15">
        <f>VLOOKUP($A28,Table1[],18,TRUE)</f>
        <v>0</v>
      </c>
      <c r="K28" s="12" t="str">
        <f>VLOOKUP($A28,Table1[],22,TRUE)</f>
        <v>TRUE</v>
      </c>
      <c r="L28" s="13">
        <f>VLOOKUP($A28,Table1[],25,TRUE)</f>
        <v>0.89</v>
      </c>
    </row>
    <row r="29" spans="1:12" x14ac:dyDescent="0.25">
      <c r="A29" t="s">
        <v>122</v>
      </c>
      <c r="B29" s="18" t="str">
        <f>VLOOKUP(A29,Table1[],3,TRUE)</f>
        <v>Alexis Day</v>
      </c>
      <c r="C29" s="18" t="str">
        <f>VLOOKUP($A29,Table1[],5,TRUE)</f>
        <v>Female</v>
      </c>
      <c r="D29" s="3" t="str">
        <f>VLOOKUP($A29,Table1[],7,TRUE)</f>
        <v>36</v>
      </c>
      <c r="E29" s="3" t="str">
        <f>VLOOKUP($A29,Table1[],8,TRUE)</f>
        <v>Russia</v>
      </c>
      <c r="F29" s="3" t="str">
        <f>VLOOKUP($A29,Table1[],9,TRUE)</f>
        <v>Russian</v>
      </c>
      <c r="G29" s="3" t="str">
        <f>VLOOKUP($A29,Table1[],10,TRUE)</f>
        <v>Graphic Design</v>
      </c>
      <c r="H29" s="13" t="str">
        <f>VLOOKUP($A29,Table1[],12,TRUE)</f>
        <v>11</v>
      </c>
      <c r="I29" s="20">
        <v>50</v>
      </c>
      <c r="J29" s="15">
        <f>VLOOKUP($A29,Table1[],18,TRUE)</f>
        <v>1.8</v>
      </c>
      <c r="K29" s="12" t="str">
        <f>VLOOKUP($A29,Table1[],22,TRUE)</f>
        <v>TRUE</v>
      </c>
      <c r="L29" s="13">
        <f>VLOOKUP($A29,Table1[],25,TRUE)</f>
        <v>0.86</v>
      </c>
    </row>
    <row r="30" spans="1:12" x14ac:dyDescent="0.25">
      <c r="A30" t="s">
        <v>126</v>
      </c>
      <c r="B30" s="18" t="str">
        <f>VLOOKUP(A30,Table1[],3,TRUE)</f>
        <v>Megan Jones</v>
      </c>
      <c r="C30" s="18" t="str">
        <f>VLOOKUP($A30,Table1[],5,TRUE)</f>
        <v>Female</v>
      </c>
      <c r="D30" s="3" t="str">
        <f>VLOOKUP($A30,Table1[],7,TRUE)</f>
        <v>47</v>
      </c>
      <c r="E30" s="3" t="str">
        <f>VLOOKUP($A30,Table1[],8,TRUE)</f>
        <v>Canada</v>
      </c>
      <c r="F30" s="3" t="str">
        <f>VLOOKUP($A30,Table1[],9,TRUE)</f>
        <v>English</v>
      </c>
      <c r="G30" s="3" t="str">
        <f>VLOOKUP($A30,Table1[],10,TRUE)</f>
        <v>AI</v>
      </c>
      <c r="H30" s="13" t="str">
        <f>VLOOKUP($A30,Table1[],12,TRUE)</f>
        <v>22</v>
      </c>
      <c r="I30" s="20">
        <v>30</v>
      </c>
      <c r="J30" s="15">
        <f>VLOOKUP($A30,Table1[],18,TRUE)</f>
        <v>1.3</v>
      </c>
      <c r="K30" s="12" t="str">
        <f>VLOOKUP($A30,Table1[],22,TRUE)</f>
        <v>FALSE</v>
      </c>
      <c r="L30" s="13">
        <f>VLOOKUP($A30,Table1[],25,TRUE)</f>
        <v>0.62</v>
      </c>
    </row>
    <row r="31" spans="1:12" x14ac:dyDescent="0.25">
      <c r="A31" t="s">
        <v>129</v>
      </c>
      <c r="B31" s="18" t="str">
        <f>VLOOKUP(A31,Table1[],3,TRUE)</f>
        <v>Lori Smith</v>
      </c>
      <c r="C31" s="18" t="str">
        <f>VLOOKUP($A31,Table1[],5,TRUE)</f>
        <v>Female</v>
      </c>
      <c r="D31" s="3" t="str">
        <f>VLOOKUP($A31,Table1[],7,TRUE)</f>
        <v>41</v>
      </c>
      <c r="E31" s="3" t="str">
        <f>VLOOKUP($A31,Table1[],8,TRUE)</f>
        <v>Netherlands</v>
      </c>
      <c r="F31" s="3" t="str">
        <f>VLOOKUP($A31,Table1[],9,TRUE)</f>
        <v>Dutch</v>
      </c>
      <c r="G31" s="3" t="str">
        <f>VLOOKUP($A31,Table1[],10,TRUE)</f>
        <v>Data Analysis</v>
      </c>
      <c r="H31" s="13" t="str">
        <f>VLOOKUP($A31,Table1[],12,TRUE)</f>
        <v>14</v>
      </c>
      <c r="I31" s="20">
        <v>75</v>
      </c>
      <c r="J31" s="15">
        <f>VLOOKUP($A31,Table1[],18,TRUE)</f>
        <v>1.2</v>
      </c>
      <c r="K31" s="12" t="str">
        <f>VLOOKUP($A31,Table1[],22,TRUE)</f>
        <v>FALSE</v>
      </c>
      <c r="L31" s="13">
        <f>VLOOKUP($A31,Table1[],25,TRUE)</f>
        <v>0.75</v>
      </c>
    </row>
    <row r="32" spans="1:12" x14ac:dyDescent="0.25">
      <c r="A32" t="s">
        <v>131</v>
      </c>
      <c r="B32" s="18" t="str">
        <f>VLOOKUP(A32,Table1[],3,TRUE)</f>
        <v>Eric Carpenter</v>
      </c>
      <c r="C32" s="18" t="str">
        <f>VLOOKUP($A32,Table1[],5,TRUE)</f>
        <v>Male</v>
      </c>
      <c r="D32" s="3" t="str">
        <f>VLOOKUP($A32,Table1[],7,TRUE)</f>
        <v>22</v>
      </c>
      <c r="E32" s="3" t="str">
        <f>VLOOKUP($A32,Table1[],8,TRUE)</f>
        <v>Netherlands</v>
      </c>
      <c r="F32" s="3" t="str">
        <f>VLOOKUP($A32,Table1[],9,TRUE)</f>
        <v>Dutch</v>
      </c>
      <c r="G32" s="3" t="str">
        <f>VLOOKUP($A32,Table1[],10,TRUE)</f>
        <v>DevOps</v>
      </c>
      <c r="H32" s="13" t="str">
        <f>VLOOKUP($A32,Table1[],12,TRUE)</f>
        <v>4</v>
      </c>
      <c r="I32" s="20">
        <v>50</v>
      </c>
      <c r="J32" s="15">
        <f>VLOOKUP($A32,Table1[],18,TRUE)</f>
        <v>1</v>
      </c>
      <c r="K32" s="12" t="str">
        <f>VLOOKUP($A32,Table1[],22,TRUE)</f>
        <v>TRUE</v>
      </c>
      <c r="L32" s="13">
        <f>VLOOKUP($A32,Table1[],25,TRUE)</f>
        <v>0.75</v>
      </c>
    </row>
    <row r="33" spans="1:12" x14ac:dyDescent="0.25">
      <c r="A33" t="s">
        <v>133</v>
      </c>
      <c r="B33" s="18" t="str">
        <f>VLOOKUP(A33,Table1[],3,TRUE)</f>
        <v>Timothy Daniels</v>
      </c>
      <c r="C33" s="18" t="str">
        <f>VLOOKUP($A33,Table1[],5,TRUE)</f>
        <v>Male</v>
      </c>
      <c r="D33" s="3" t="str">
        <f>VLOOKUP($A33,Table1[],7,TRUE)</f>
        <v>38</v>
      </c>
      <c r="E33" s="3" t="str">
        <f>VLOOKUP($A33,Table1[],8,TRUE)</f>
        <v>France</v>
      </c>
      <c r="F33" s="3" t="str">
        <f>VLOOKUP($A33,Table1[],9,TRUE)</f>
        <v>French</v>
      </c>
      <c r="G33" s="3" t="str">
        <f>VLOOKUP($A33,Table1[],10,TRUE)</f>
        <v>Machine Learning</v>
      </c>
      <c r="H33" s="13" t="str">
        <f>VLOOKUP($A33,Table1[],12,TRUE)</f>
        <v>19</v>
      </c>
      <c r="I33" s="20">
        <v>100</v>
      </c>
      <c r="J33" s="15">
        <f>VLOOKUP($A33,Table1[],18,TRUE)</f>
        <v>4.2</v>
      </c>
      <c r="K33" s="12" t="str">
        <f>VLOOKUP($A33,Table1[],22,TRUE)</f>
        <v>FALSE</v>
      </c>
      <c r="L33" s="13">
        <f>VLOOKUP($A33,Table1[],25,TRUE)</f>
        <v>0.68</v>
      </c>
    </row>
    <row r="34" spans="1:12" x14ac:dyDescent="0.25">
      <c r="A34" t="s">
        <v>137</v>
      </c>
      <c r="B34" s="18" t="str">
        <f>VLOOKUP(A34,Table1[],3,TRUE)</f>
        <v>Robert Nelson</v>
      </c>
      <c r="C34" s="18" t="str">
        <f>VLOOKUP($A34,Table1[],5,TRUE)</f>
        <v>Male</v>
      </c>
      <c r="D34" s="3" t="str">
        <f>VLOOKUP($A34,Table1[],7,TRUE)</f>
        <v>46</v>
      </c>
      <c r="E34" s="3" t="str">
        <f>VLOOKUP($A34,Table1[],8,TRUE)</f>
        <v>Egypt</v>
      </c>
      <c r="F34" s="3" t="str">
        <f>VLOOKUP($A34,Table1[],9,TRUE)</f>
        <v>Arabic</v>
      </c>
      <c r="G34" s="3" t="str">
        <f>VLOOKUP($A34,Table1[],10,TRUE)</f>
        <v>AI</v>
      </c>
      <c r="H34" s="13" t="str">
        <f>VLOOKUP($A34,Table1[],12,TRUE)</f>
        <v>9</v>
      </c>
      <c r="I34" s="20">
        <v>20</v>
      </c>
      <c r="J34" s="15">
        <f>VLOOKUP($A34,Table1[],18,TRUE)</f>
        <v>1.4</v>
      </c>
      <c r="K34" s="12" t="str">
        <f>VLOOKUP($A34,Table1[],22,TRUE)</f>
        <v>TRUE</v>
      </c>
      <c r="L34" s="13">
        <f>VLOOKUP($A34,Table1[],25,TRUE)</f>
        <v>0.76</v>
      </c>
    </row>
    <row r="35" spans="1:12" x14ac:dyDescent="0.25">
      <c r="A35" t="s">
        <v>141</v>
      </c>
      <c r="B35" s="18" t="str">
        <f>VLOOKUP(A35,Table1[],3,TRUE)</f>
        <v>Michael Anderson</v>
      </c>
      <c r="C35" s="18" t="str">
        <f>VLOOKUP($A35,Table1[],5,TRUE)</f>
        <v>Male</v>
      </c>
      <c r="D35" s="3" t="str">
        <f>VLOOKUP($A35,Table1[],7,TRUE)</f>
        <v>Unknown</v>
      </c>
      <c r="E35" s="3" t="str">
        <f>VLOOKUP($A35,Table1[],8,TRUE)</f>
        <v>South Korea</v>
      </c>
      <c r="F35" s="3" t="str">
        <f>VLOOKUP($A35,Table1[],9,TRUE)</f>
        <v>Korean</v>
      </c>
      <c r="G35" s="3" t="str">
        <f>VLOOKUP($A35,Table1[],10,TRUE)</f>
        <v>AI</v>
      </c>
      <c r="H35" s="13" t="str">
        <f>VLOOKUP($A35,Table1[],12,TRUE)</f>
        <v>9</v>
      </c>
      <c r="I35" s="20">
        <v>40</v>
      </c>
      <c r="J35" s="15">
        <f>VLOOKUP($A35,Table1[],18,TRUE)</f>
        <v>2.4</v>
      </c>
      <c r="K35" s="12" t="str">
        <f>VLOOKUP($A35,Table1[],22,TRUE)</f>
        <v>TRUE</v>
      </c>
      <c r="L35" s="13">
        <f>VLOOKUP($A35,Table1[],25,TRUE)</f>
        <v>0.82</v>
      </c>
    </row>
    <row r="36" spans="1:12" x14ac:dyDescent="0.25">
      <c r="A36" t="s">
        <v>143</v>
      </c>
      <c r="B36" s="18" t="str">
        <f>VLOOKUP(A36,Table1[],3,TRUE)</f>
        <v>Jessica Snyder</v>
      </c>
      <c r="C36" s="18" t="str">
        <f>VLOOKUP($A36,Table1[],5,TRUE)</f>
        <v>Female</v>
      </c>
      <c r="D36" s="3" t="str">
        <f>VLOOKUP($A36,Table1[],7,TRUE)</f>
        <v>54</v>
      </c>
      <c r="E36" s="3" t="str">
        <f>VLOOKUP($A36,Table1[],8,TRUE)</f>
        <v>United States</v>
      </c>
      <c r="F36" s="3" t="str">
        <f>VLOOKUP($A36,Table1[],9,TRUE)</f>
        <v>English</v>
      </c>
      <c r="G36" s="3" t="str">
        <f>VLOOKUP($A36,Table1[],10,TRUE)</f>
        <v>Web Development</v>
      </c>
      <c r="H36" s="13" t="str">
        <f>VLOOKUP($A36,Table1[],12,TRUE)</f>
        <v>32</v>
      </c>
      <c r="I36" s="20">
        <v>75</v>
      </c>
      <c r="J36" s="15">
        <f>VLOOKUP($A36,Table1[],18,TRUE)</f>
        <v>1</v>
      </c>
      <c r="K36" s="12" t="str">
        <f>VLOOKUP($A36,Table1[],22,TRUE)</f>
        <v>TRUE</v>
      </c>
      <c r="L36" s="13">
        <f>VLOOKUP($A36,Table1[],25,TRUE)</f>
        <v>0.81</v>
      </c>
    </row>
    <row r="37" spans="1:12" x14ac:dyDescent="0.25">
      <c r="A37" t="s">
        <v>145</v>
      </c>
      <c r="B37" s="18" t="str">
        <f>VLOOKUP(A37,Table1[],3,TRUE)</f>
        <v>Emily Daniels</v>
      </c>
      <c r="C37" s="18" t="str">
        <f>VLOOKUP($A37,Table1[],5,TRUE)</f>
        <v>Female</v>
      </c>
      <c r="D37" s="3" t="str">
        <f>VLOOKUP($A37,Table1[],7,TRUE)</f>
        <v>52</v>
      </c>
      <c r="E37" s="3" t="str">
        <f>VLOOKUP($A37,Table1[],8,TRUE)</f>
        <v>South Korea</v>
      </c>
      <c r="F37" s="3" t="str">
        <f>VLOOKUP($A37,Table1[],9,TRUE)</f>
        <v>Korean</v>
      </c>
      <c r="G37" s="3" t="str">
        <f>VLOOKUP($A37,Table1[],10,TRUE)</f>
        <v>Web Development</v>
      </c>
      <c r="H37" s="13" t="str">
        <f>VLOOKUP($A37,Table1[],12,TRUE)</f>
        <v>28</v>
      </c>
      <c r="I37" s="20">
        <v>20</v>
      </c>
      <c r="J37" s="15">
        <f>VLOOKUP($A37,Table1[],18,TRUE)</f>
        <v>2.6</v>
      </c>
      <c r="K37" s="12" t="str">
        <f>VLOOKUP($A37,Table1[],22,TRUE)</f>
        <v>FALSE</v>
      </c>
      <c r="L37" s="13">
        <f>VLOOKUP($A37,Table1[],25,TRUE)</f>
        <v>0.75</v>
      </c>
    </row>
    <row r="38" spans="1:12" x14ac:dyDescent="0.25">
      <c r="A38" t="s">
        <v>147</v>
      </c>
      <c r="B38" s="18" t="str">
        <f>VLOOKUP(A38,Table1[],3,TRUE)</f>
        <v>Jamie Ramirez</v>
      </c>
      <c r="C38" s="18" t="str">
        <f>VLOOKUP($A38,Table1[],5,TRUE)</f>
        <v>Female</v>
      </c>
      <c r="D38" s="3" t="str">
        <f>VLOOKUP($A38,Table1[],7,TRUE)</f>
        <v>42</v>
      </c>
      <c r="E38" s="3" t="str">
        <f>VLOOKUP($A38,Table1[],8,TRUE)</f>
        <v>Japan</v>
      </c>
      <c r="F38" s="3" t="str">
        <f>VLOOKUP($A38,Table1[],9,TRUE)</f>
        <v>Japanese</v>
      </c>
      <c r="G38" s="3" t="str">
        <f>VLOOKUP($A38,Table1[],10,TRUE)</f>
        <v>Mobile Apps</v>
      </c>
      <c r="H38" s="13" t="str">
        <f>VLOOKUP($A38,Table1[],12,TRUE)</f>
        <v>6</v>
      </c>
      <c r="I38" s="20">
        <v>40</v>
      </c>
      <c r="J38" s="15">
        <f>VLOOKUP($A38,Table1[],18,TRUE)</f>
        <v>2.6</v>
      </c>
      <c r="K38" s="12" t="str">
        <f>VLOOKUP($A38,Table1[],22,TRUE)</f>
        <v>FALSE</v>
      </c>
      <c r="L38" s="13">
        <f>VLOOKUP($A38,Table1[],25,TRUE)</f>
        <v>0.63</v>
      </c>
    </row>
    <row r="39" spans="1:12" x14ac:dyDescent="0.25">
      <c r="A39" t="s">
        <v>149</v>
      </c>
      <c r="B39" s="18" t="str">
        <f>VLOOKUP(A39,Table1[],3,TRUE)</f>
        <v>Amy Harrison</v>
      </c>
      <c r="C39" s="18" t="str">
        <f>VLOOKUP($A39,Table1[],5,TRUE)</f>
        <v>Female</v>
      </c>
      <c r="D39" s="3" t="str">
        <f>VLOOKUP($A39,Table1[],7,TRUE)</f>
        <v>29</v>
      </c>
      <c r="E39" s="3" t="str">
        <f>VLOOKUP($A39,Table1[],8,TRUE)</f>
        <v>Netherlands</v>
      </c>
      <c r="F39" s="3" t="str">
        <f>VLOOKUP($A39,Table1[],9,TRUE)</f>
        <v>Dutch</v>
      </c>
      <c r="G39" s="3" t="str">
        <f>VLOOKUP($A39,Table1[],10,TRUE)</f>
        <v>Graphic Design</v>
      </c>
      <c r="H39" s="13" t="str">
        <f>VLOOKUP($A39,Table1[],12,TRUE)</f>
        <v>10</v>
      </c>
      <c r="I39" s="20">
        <v>40</v>
      </c>
      <c r="J39" s="15">
        <f>VLOOKUP($A39,Table1[],18,TRUE)</f>
        <v>2.2000000000000002</v>
      </c>
      <c r="K39" s="12" t="str">
        <f>VLOOKUP($A39,Table1[],22,TRUE)</f>
        <v>FALSE</v>
      </c>
      <c r="L39" s="13">
        <f>VLOOKUP($A39,Table1[],25,TRUE)</f>
        <v>0.67</v>
      </c>
    </row>
    <row r="40" spans="1:12" x14ac:dyDescent="0.25">
      <c r="A40" t="s">
        <v>151</v>
      </c>
      <c r="B40" s="18" t="str">
        <f>VLOOKUP(A40,Table1[],3,TRUE)</f>
        <v>Melinda White</v>
      </c>
      <c r="C40" s="18" t="str">
        <f>VLOOKUP($A40,Table1[],5,TRUE)</f>
        <v>Female</v>
      </c>
      <c r="D40" s="3" t="str">
        <f>VLOOKUP($A40,Table1[],7,TRUE)</f>
        <v>42</v>
      </c>
      <c r="E40" s="3" t="str">
        <f>VLOOKUP($A40,Table1[],8,TRUE)</f>
        <v>South Africa</v>
      </c>
      <c r="F40" s="3" t="str">
        <f>VLOOKUP($A40,Table1[],9,TRUE)</f>
        <v>Afrikaans</v>
      </c>
      <c r="G40" s="3" t="str">
        <f>VLOOKUP($A40,Table1[],10,TRUE)</f>
        <v>Mobile Apps</v>
      </c>
      <c r="H40" s="13" t="str">
        <f>VLOOKUP($A40,Table1[],12,TRUE)</f>
        <v>23</v>
      </c>
      <c r="I40" s="20">
        <v>50</v>
      </c>
      <c r="J40" s="15">
        <f>VLOOKUP($A40,Table1[],18,TRUE)</f>
        <v>3.2</v>
      </c>
      <c r="K40" s="12" t="str">
        <f>VLOOKUP($A40,Table1[],22,TRUE)</f>
        <v>TRUE</v>
      </c>
      <c r="L40" s="13">
        <f>VLOOKUP($A40,Table1[],25,TRUE)</f>
        <v>0.75</v>
      </c>
    </row>
    <row r="41" spans="1:12" x14ac:dyDescent="0.25">
      <c r="A41" t="s">
        <v>155</v>
      </c>
      <c r="B41" s="18" t="str">
        <f>VLOOKUP(A41,Table1[],3,TRUE)</f>
        <v>James Hernandez</v>
      </c>
      <c r="C41" s="18" t="str">
        <f>VLOOKUP($A41,Table1[],5,TRUE)</f>
        <v>Male</v>
      </c>
      <c r="D41" s="3" t="str">
        <f>VLOOKUP($A41,Table1[],7,TRUE)</f>
        <v>60</v>
      </c>
      <c r="E41" s="3" t="str">
        <f>VLOOKUP($A41,Table1[],8,TRUE)</f>
        <v>Japan</v>
      </c>
      <c r="F41" s="3" t="str">
        <f>VLOOKUP($A41,Table1[],9,TRUE)</f>
        <v>Japanese</v>
      </c>
      <c r="G41" s="3" t="str">
        <f>VLOOKUP($A41,Table1[],10,TRUE)</f>
        <v>Web Development</v>
      </c>
      <c r="H41" s="13" t="str">
        <f>VLOOKUP($A41,Table1[],12,TRUE)</f>
        <v>13</v>
      </c>
      <c r="I41" s="20">
        <v>20</v>
      </c>
      <c r="J41" s="15">
        <f>VLOOKUP($A41,Table1[],18,TRUE)</f>
        <v>3.6</v>
      </c>
      <c r="K41" s="12" t="str">
        <f>VLOOKUP($A41,Table1[],22,TRUE)</f>
        <v>FALSE</v>
      </c>
      <c r="L41" s="13">
        <f>VLOOKUP($A41,Table1[],25,TRUE)</f>
        <v>0.8</v>
      </c>
    </row>
    <row r="42" spans="1:12" x14ac:dyDescent="0.25">
      <c r="A42" t="s">
        <v>157</v>
      </c>
      <c r="B42" s="18" t="str">
        <f>VLOOKUP(A42,Table1[],3,TRUE)</f>
        <v>Angelica Rogers</v>
      </c>
      <c r="C42" s="18" t="str">
        <f>VLOOKUP($A42,Table1[],5,TRUE)</f>
        <v>Female</v>
      </c>
      <c r="D42" s="3" t="str">
        <f>VLOOKUP($A42,Table1[],7,TRUE)</f>
        <v>59</v>
      </c>
      <c r="E42" s="3" t="str">
        <f>VLOOKUP($A42,Table1[],8,TRUE)</f>
        <v>United Kingdom</v>
      </c>
      <c r="F42" s="3" t="str">
        <f>VLOOKUP($A42,Table1[],9,TRUE)</f>
        <v>English</v>
      </c>
      <c r="G42" s="3" t="str">
        <f>VLOOKUP($A42,Table1[],10,TRUE)</f>
        <v>AI</v>
      </c>
      <c r="H42" s="13" t="str">
        <f>VLOOKUP($A42,Table1[],12,TRUE)</f>
        <v>3</v>
      </c>
      <c r="I42" s="20">
        <v>50</v>
      </c>
      <c r="J42" s="15">
        <f>VLOOKUP($A42,Table1[],18,TRUE)</f>
        <v>0</v>
      </c>
      <c r="K42" s="12" t="str">
        <f>VLOOKUP($A42,Table1[],22,TRUE)</f>
        <v>FALSE</v>
      </c>
      <c r="L42" s="13">
        <f>VLOOKUP($A42,Table1[],25,TRUE)</f>
        <v>0.75</v>
      </c>
    </row>
    <row r="43" spans="1:12" x14ac:dyDescent="0.25">
      <c r="A43" t="s">
        <v>160</v>
      </c>
      <c r="B43" s="18" t="str">
        <f>VLOOKUP(A43,Table1[],3,TRUE)</f>
        <v>Savannah Williams</v>
      </c>
      <c r="C43" s="18" t="str">
        <f>VLOOKUP($A43,Table1[],5,TRUE)</f>
        <v>Female</v>
      </c>
      <c r="D43" s="3" t="str">
        <f>VLOOKUP($A43,Table1[],7,TRUE)</f>
        <v>21</v>
      </c>
      <c r="E43" s="3" t="str">
        <f>VLOOKUP($A43,Table1[],8,TRUE)</f>
        <v>Canada</v>
      </c>
      <c r="F43" s="3" t="str">
        <f>VLOOKUP($A43,Table1[],9,TRUE)</f>
        <v>English</v>
      </c>
      <c r="G43" s="3" t="str">
        <f>VLOOKUP($A43,Table1[],10,TRUE)</f>
        <v>Web Development</v>
      </c>
      <c r="H43" s="13" t="str">
        <f>VLOOKUP($A43,Table1[],12,TRUE)</f>
        <v>0</v>
      </c>
      <c r="I43" s="20">
        <v>30</v>
      </c>
      <c r="J43" s="15">
        <f>VLOOKUP($A43,Table1[],18,TRUE)</f>
        <v>2.7</v>
      </c>
      <c r="K43" s="12" t="str">
        <f>VLOOKUP($A43,Table1[],22,TRUE)</f>
        <v>TRUE</v>
      </c>
      <c r="L43" s="13">
        <f>VLOOKUP($A43,Table1[],25,TRUE)</f>
        <v>0.84</v>
      </c>
    </row>
    <row r="44" spans="1:12" x14ac:dyDescent="0.25">
      <c r="A44" t="s">
        <v>162</v>
      </c>
      <c r="B44" s="18" t="str">
        <f>VLOOKUP(A44,Table1[],3,TRUE)</f>
        <v>Kaitlyn Schmidt</v>
      </c>
      <c r="C44" s="18" t="str">
        <f>VLOOKUP($A44,Table1[],5,TRUE)</f>
        <v>Female</v>
      </c>
      <c r="D44" s="3" t="str">
        <f>VLOOKUP($A44,Table1[],7,TRUE)</f>
        <v>35</v>
      </c>
      <c r="E44" s="3" t="str">
        <f>VLOOKUP($A44,Table1[],8,TRUE)</f>
        <v>Germany</v>
      </c>
      <c r="F44" s="3" t="str">
        <f>VLOOKUP($A44,Table1[],9,TRUE)</f>
        <v>German</v>
      </c>
      <c r="G44" s="3" t="str">
        <f>VLOOKUP($A44,Table1[],10,TRUE)</f>
        <v>DevOps</v>
      </c>
      <c r="H44" s="13" t="str">
        <f>VLOOKUP($A44,Table1[],12,TRUE)</f>
        <v>10</v>
      </c>
      <c r="I44" s="20">
        <v>50</v>
      </c>
      <c r="J44" s="15">
        <f>VLOOKUP($A44,Table1[],18,TRUE)</f>
        <v>0</v>
      </c>
      <c r="K44" s="12" t="str">
        <f>VLOOKUP($A44,Table1[],22,TRUE)</f>
        <v>FALSE</v>
      </c>
      <c r="L44" s="13">
        <f>VLOOKUP($A44,Table1[],25,TRUE)</f>
        <v>0.75</v>
      </c>
    </row>
    <row r="45" spans="1:12" x14ac:dyDescent="0.25">
      <c r="A45" t="s">
        <v>164</v>
      </c>
      <c r="B45" s="18" t="str">
        <f>VLOOKUP(A45,Table1[],3,TRUE)</f>
        <v>Jason Singh</v>
      </c>
      <c r="C45" s="18" t="str">
        <f>VLOOKUP($A45,Table1[],5,TRUE)</f>
        <v>Male</v>
      </c>
      <c r="D45" s="3" t="str">
        <f>VLOOKUP($A45,Table1[],7,TRUE)</f>
        <v>41</v>
      </c>
      <c r="E45" s="3" t="str">
        <f>VLOOKUP($A45,Table1[],8,TRUE)</f>
        <v>United Kingdom</v>
      </c>
      <c r="F45" s="3" t="str">
        <f>VLOOKUP($A45,Table1[],9,TRUE)</f>
        <v>English</v>
      </c>
      <c r="G45" s="3" t="str">
        <f>VLOOKUP($A45,Table1[],10,TRUE)</f>
        <v>Data Analysis</v>
      </c>
      <c r="H45" s="13" t="str">
        <f>VLOOKUP($A45,Table1[],12,TRUE)</f>
        <v>Unknown</v>
      </c>
      <c r="I45" s="20">
        <v>20</v>
      </c>
      <c r="J45" s="15">
        <f>VLOOKUP($A45,Table1[],18,TRUE)</f>
        <v>2.8</v>
      </c>
      <c r="K45" s="12" t="str">
        <f>VLOOKUP($A45,Table1[],22,TRUE)</f>
        <v>TRUE</v>
      </c>
      <c r="L45" s="13">
        <f>VLOOKUP($A45,Table1[],25,TRUE)</f>
        <v>0.63</v>
      </c>
    </row>
    <row r="46" spans="1:12" x14ac:dyDescent="0.25">
      <c r="A46" t="s">
        <v>166</v>
      </c>
      <c r="B46" s="18" t="str">
        <f>VLOOKUP(A46,Table1[],3,TRUE)</f>
        <v>Michelle Ramirez</v>
      </c>
      <c r="C46" s="18" t="str">
        <f>VLOOKUP($A46,Table1[],5,TRUE)</f>
        <v>Female</v>
      </c>
      <c r="D46" s="3" t="str">
        <f>VLOOKUP($A46,Table1[],7,TRUE)</f>
        <v>51</v>
      </c>
      <c r="E46" s="3" t="str">
        <f>VLOOKUP($A46,Table1[],8,TRUE)</f>
        <v>Netherlands</v>
      </c>
      <c r="F46" s="3" t="str">
        <f>VLOOKUP($A46,Table1[],9,TRUE)</f>
        <v>Dutch</v>
      </c>
      <c r="G46" s="3" t="str">
        <f>VLOOKUP($A46,Table1[],10,TRUE)</f>
        <v>Machine Learning</v>
      </c>
      <c r="H46" s="13" t="str">
        <f>VLOOKUP($A46,Table1[],12,TRUE)</f>
        <v>23</v>
      </c>
      <c r="I46" s="20">
        <v>20</v>
      </c>
      <c r="J46" s="15">
        <f>VLOOKUP($A46,Table1[],18,TRUE)</f>
        <v>2.5</v>
      </c>
      <c r="K46" s="12" t="str">
        <f>VLOOKUP($A46,Table1[],22,TRUE)</f>
        <v>TRUE</v>
      </c>
      <c r="L46" s="13">
        <f>VLOOKUP($A46,Table1[],25,TRUE)</f>
        <v>0.8</v>
      </c>
    </row>
    <row r="47" spans="1:12" x14ac:dyDescent="0.25">
      <c r="A47" t="s">
        <v>168</v>
      </c>
      <c r="B47" s="18" t="str">
        <f>VLOOKUP(A47,Table1[],3,TRUE)</f>
        <v>James Brown</v>
      </c>
      <c r="C47" s="18" t="str">
        <f>VLOOKUP($A47,Table1[],5,TRUE)</f>
        <v>Male</v>
      </c>
      <c r="D47" s="3" t="str">
        <f>VLOOKUP($A47,Table1[],7,TRUE)</f>
        <v>41</v>
      </c>
      <c r="E47" s="3" t="str">
        <f>VLOOKUP($A47,Table1[],8,TRUE)</f>
        <v>South Africa</v>
      </c>
      <c r="F47" s="3" t="str">
        <f>VLOOKUP($A47,Table1[],9,TRUE)</f>
        <v>Afrikaans</v>
      </c>
      <c r="G47" s="3" t="str">
        <f>VLOOKUP($A47,Table1[],10,TRUE)</f>
        <v>Web Development</v>
      </c>
      <c r="H47" s="13" t="str">
        <f>VLOOKUP($A47,Table1[],12,TRUE)</f>
        <v>9</v>
      </c>
      <c r="I47" s="20">
        <v>75</v>
      </c>
      <c r="J47" s="15">
        <f>VLOOKUP($A47,Table1[],18,TRUE)</f>
        <v>4.9000000000000004</v>
      </c>
      <c r="K47" s="12" t="str">
        <f>VLOOKUP($A47,Table1[],22,TRUE)</f>
        <v>TRUE</v>
      </c>
      <c r="L47" s="13">
        <f>VLOOKUP($A47,Table1[],25,TRUE)</f>
        <v>0.74</v>
      </c>
    </row>
    <row r="48" spans="1:12" x14ac:dyDescent="0.25">
      <c r="A48" t="s">
        <v>171</v>
      </c>
      <c r="B48" s="18" t="str">
        <f>VLOOKUP(A48,Table1[],3,TRUE)</f>
        <v>Samantha Simmons</v>
      </c>
      <c r="C48" s="18" t="str">
        <f>VLOOKUP($A48,Table1[],5,TRUE)</f>
        <v>Female</v>
      </c>
      <c r="D48" s="3" t="str">
        <f>VLOOKUP($A48,Table1[],7,TRUE)</f>
        <v>47</v>
      </c>
      <c r="E48" s="3" t="str">
        <f>VLOOKUP($A48,Table1[],8,TRUE)</f>
        <v>Egypt</v>
      </c>
      <c r="F48" s="3" t="str">
        <f>VLOOKUP($A48,Table1[],9,TRUE)</f>
        <v>Arabic</v>
      </c>
      <c r="G48" s="3" t="str">
        <f>VLOOKUP($A48,Table1[],10,TRUE)</f>
        <v>DevOps</v>
      </c>
      <c r="H48" s="13" t="str">
        <f>VLOOKUP($A48,Table1[],12,TRUE)</f>
        <v>15</v>
      </c>
      <c r="I48" s="20">
        <v>30</v>
      </c>
      <c r="J48" s="15">
        <f>VLOOKUP($A48,Table1[],18,TRUE)</f>
        <v>4.5</v>
      </c>
      <c r="K48" s="12" t="str">
        <f>VLOOKUP($A48,Table1[],22,TRUE)</f>
        <v>TRUE</v>
      </c>
      <c r="L48" s="13">
        <f>VLOOKUP($A48,Table1[],25,TRUE)</f>
        <v>0.85</v>
      </c>
    </row>
    <row r="49" spans="1:12" x14ac:dyDescent="0.25">
      <c r="A49" t="s">
        <v>173</v>
      </c>
      <c r="B49" s="18" t="str">
        <f>VLOOKUP(A49,Table1[],3,TRUE)</f>
        <v>Chase Mason</v>
      </c>
      <c r="C49" s="18" t="str">
        <f>VLOOKUP($A49,Table1[],5,TRUE)</f>
        <v>Male</v>
      </c>
      <c r="D49" s="3" t="str">
        <f>VLOOKUP($A49,Table1[],7,TRUE)</f>
        <v>25</v>
      </c>
      <c r="E49" s="3" t="str">
        <f>VLOOKUP($A49,Table1[],8,TRUE)</f>
        <v>China</v>
      </c>
      <c r="F49" s="3" t="str">
        <f>VLOOKUP($A49,Table1[],9,TRUE)</f>
        <v>Mandarin</v>
      </c>
      <c r="G49" s="3" t="str">
        <f>VLOOKUP($A49,Table1[],10,TRUE)</f>
        <v>Graphic Design</v>
      </c>
      <c r="H49" s="13" t="str">
        <f>VLOOKUP($A49,Table1[],12,TRUE)</f>
        <v>4</v>
      </c>
      <c r="I49" s="20">
        <v>50</v>
      </c>
      <c r="J49" s="15">
        <f>VLOOKUP($A49,Table1[],18,TRUE)</f>
        <v>2.7</v>
      </c>
      <c r="K49" s="12" t="str">
        <f>VLOOKUP($A49,Table1[],22,TRUE)</f>
        <v>FALSE</v>
      </c>
      <c r="L49" s="13">
        <f>VLOOKUP($A49,Table1[],25,TRUE)</f>
        <v>0.77</v>
      </c>
    </row>
    <row r="50" spans="1:12" x14ac:dyDescent="0.25">
      <c r="A50" t="s">
        <v>177</v>
      </c>
      <c r="B50" s="18" t="str">
        <f>VLOOKUP(A50,Table1[],3,TRUE)</f>
        <v>Dominique Ward</v>
      </c>
      <c r="C50" s="18" t="str">
        <f>VLOOKUP($A50,Table1[],5,TRUE)</f>
        <v>Female</v>
      </c>
      <c r="D50" s="3" t="str">
        <f>VLOOKUP($A50,Table1[],7,TRUE)</f>
        <v>25</v>
      </c>
      <c r="E50" s="3" t="str">
        <f>VLOOKUP($A50,Table1[],8,TRUE)</f>
        <v>Mexico</v>
      </c>
      <c r="F50" s="3" t="str">
        <f>VLOOKUP($A50,Table1[],9,TRUE)</f>
        <v>Spanish</v>
      </c>
      <c r="G50" s="3" t="str">
        <f>VLOOKUP($A50,Table1[],10,TRUE)</f>
        <v>Mobile Apps</v>
      </c>
      <c r="H50" s="13" t="str">
        <f>VLOOKUP($A50,Table1[],12,TRUE)</f>
        <v>7</v>
      </c>
      <c r="I50" s="20">
        <v>20</v>
      </c>
      <c r="J50" s="15">
        <f>VLOOKUP($A50,Table1[],18,TRUE)</f>
        <v>1.9</v>
      </c>
      <c r="K50" s="12" t="str">
        <f>VLOOKUP($A50,Table1[],22,TRUE)</f>
        <v>FALSE</v>
      </c>
      <c r="L50" s="13">
        <f>VLOOKUP($A50,Table1[],25,TRUE)</f>
        <v>0.75</v>
      </c>
    </row>
    <row r="51" spans="1:12" x14ac:dyDescent="0.25">
      <c r="A51" t="s">
        <v>180</v>
      </c>
      <c r="B51" s="18" t="str">
        <f>VLOOKUP(A51,Table1[],3,TRUE)</f>
        <v>Lance Griffin</v>
      </c>
      <c r="C51" s="18" t="str">
        <f>VLOOKUP($A51,Table1[],5,TRUE)</f>
        <v>Male</v>
      </c>
      <c r="D51" s="3" t="str">
        <f>VLOOKUP($A51,Table1[],7,TRUE)</f>
        <v>29</v>
      </c>
      <c r="E51" s="3" t="str">
        <f>VLOOKUP($A51,Table1[],8,TRUE)</f>
        <v>Netherlands</v>
      </c>
      <c r="F51" s="3" t="str">
        <f>VLOOKUP($A51,Table1[],9,TRUE)</f>
        <v>Dutch</v>
      </c>
      <c r="G51" s="3" t="str">
        <f>VLOOKUP($A51,Table1[],10,TRUE)</f>
        <v>UI/UX Design</v>
      </c>
      <c r="H51" s="13" t="str">
        <f>VLOOKUP($A51,Table1[],12,TRUE)</f>
        <v>1</v>
      </c>
      <c r="I51" s="20">
        <v>20</v>
      </c>
      <c r="J51" s="15">
        <f>VLOOKUP($A51,Table1[],18,TRUE)</f>
        <v>1.4</v>
      </c>
      <c r="K51" s="12" t="str">
        <f>VLOOKUP($A51,Table1[],22,TRUE)</f>
        <v>TRUE</v>
      </c>
      <c r="L51" s="13">
        <f>VLOOKUP($A51,Table1[],25,TRUE)</f>
        <v>0.63</v>
      </c>
    </row>
    <row r="52" spans="1:12" x14ac:dyDescent="0.25">
      <c r="A52" t="s">
        <v>182</v>
      </c>
      <c r="B52" s="18" t="str">
        <f>VLOOKUP(A52,Table1[],3,TRUE)</f>
        <v>Julie Burgess</v>
      </c>
      <c r="C52" s="18" t="str">
        <f>VLOOKUP($A52,Table1[],5,TRUE)</f>
        <v>Female</v>
      </c>
      <c r="D52" s="3" t="str">
        <f>VLOOKUP($A52,Table1[],7,TRUE)</f>
        <v>23</v>
      </c>
      <c r="E52" s="3" t="str">
        <f>VLOOKUP($A52,Table1[],8,TRUE)</f>
        <v>Argentina</v>
      </c>
      <c r="F52" s="3" t="str">
        <f>VLOOKUP($A52,Table1[],9,TRUE)</f>
        <v>Spanish</v>
      </c>
      <c r="G52" s="3" t="str">
        <f>VLOOKUP($A52,Table1[],10,TRUE)</f>
        <v>Cybersecurity</v>
      </c>
      <c r="H52" s="13" t="str">
        <f>VLOOKUP($A52,Table1[],12,TRUE)</f>
        <v>0</v>
      </c>
      <c r="I52" s="20">
        <v>75</v>
      </c>
      <c r="J52" s="15">
        <f>VLOOKUP($A52,Table1[],18,TRUE)</f>
        <v>1.9</v>
      </c>
      <c r="K52" s="12" t="str">
        <f>VLOOKUP($A52,Table1[],22,TRUE)</f>
        <v>TRUE</v>
      </c>
      <c r="L52" s="13">
        <f>VLOOKUP($A52,Table1[],25,TRUE)</f>
        <v>0.79</v>
      </c>
    </row>
    <row r="53" spans="1:12" x14ac:dyDescent="0.25">
      <c r="A53" t="s">
        <v>184</v>
      </c>
      <c r="B53" s="18" t="str">
        <f>VLOOKUP(A53,Table1[],3,TRUE)</f>
        <v>Don Scott</v>
      </c>
      <c r="C53" s="18" t="str">
        <f>VLOOKUP($A53,Table1[],5,TRUE)</f>
        <v>Male</v>
      </c>
      <c r="D53" s="3" t="str">
        <f>VLOOKUP($A53,Table1[],7,TRUE)</f>
        <v>31</v>
      </c>
      <c r="E53" s="3" t="str">
        <f>VLOOKUP($A53,Table1[],8,TRUE)</f>
        <v>France</v>
      </c>
      <c r="F53" s="3" t="str">
        <f>VLOOKUP($A53,Table1[],9,TRUE)</f>
        <v>French</v>
      </c>
      <c r="G53" s="3" t="str">
        <f>VLOOKUP($A53,Table1[],10,TRUE)</f>
        <v>Data Analysis</v>
      </c>
      <c r="H53" s="13" t="str">
        <f>VLOOKUP($A53,Table1[],12,TRUE)</f>
        <v>8</v>
      </c>
      <c r="I53" s="20">
        <v>50</v>
      </c>
      <c r="J53" s="15">
        <f>VLOOKUP($A53,Table1[],18,TRUE)</f>
        <v>3.4</v>
      </c>
      <c r="K53" s="12" t="str">
        <f>VLOOKUP($A53,Table1[],22,TRUE)</f>
        <v>FALSE</v>
      </c>
      <c r="L53" s="13">
        <f>VLOOKUP($A53,Table1[],25,TRUE)</f>
        <v>0.75</v>
      </c>
    </row>
    <row r="54" spans="1:12" x14ac:dyDescent="0.25">
      <c r="A54" t="s">
        <v>186</v>
      </c>
      <c r="B54" s="18" t="str">
        <f>VLOOKUP(A54,Table1[],3,TRUE)</f>
        <v>Kyle Atkinson</v>
      </c>
      <c r="C54" s="18" t="str">
        <f>VLOOKUP($A54,Table1[],5,TRUE)</f>
        <v>Male</v>
      </c>
      <c r="D54" s="3" t="str">
        <f>VLOOKUP($A54,Table1[],7,TRUE)</f>
        <v>51</v>
      </c>
      <c r="E54" s="3" t="str">
        <f>VLOOKUP($A54,Table1[],8,TRUE)</f>
        <v>Germany</v>
      </c>
      <c r="F54" s="3" t="str">
        <f>VLOOKUP($A54,Table1[],9,TRUE)</f>
        <v>German</v>
      </c>
      <c r="G54" s="3" t="str">
        <f>VLOOKUP($A54,Table1[],10,TRUE)</f>
        <v>Machine Learning</v>
      </c>
      <c r="H54" s="13" t="str">
        <f>VLOOKUP($A54,Table1[],12,TRUE)</f>
        <v>33</v>
      </c>
      <c r="I54" s="20">
        <v>75</v>
      </c>
      <c r="J54" s="15">
        <f>VLOOKUP($A54,Table1[],18,TRUE)</f>
        <v>3.3</v>
      </c>
      <c r="K54" s="12" t="str">
        <f>VLOOKUP($A54,Table1[],22,TRUE)</f>
        <v>TRUE</v>
      </c>
      <c r="L54" s="13">
        <f>VLOOKUP($A54,Table1[],25,TRUE)</f>
        <v>0.68</v>
      </c>
    </row>
    <row r="55" spans="1:12" x14ac:dyDescent="0.25">
      <c r="A55" t="s">
        <v>188</v>
      </c>
      <c r="B55" s="18" t="str">
        <f>VLOOKUP(A55,Table1[],3,TRUE)</f>
        <v>Jimmy Hogan</v>
      </c>
      <c r="C55" s="18" t="str">
        <f>VLOOKUP($A55,Table1[],5,TRUE)</f>
        <v>Male</v>
      </c>
      <c r="D55" s="3" t="str">
        <f>VLOOKUP($A55,Table1[],7,TRUE)</f>
        <v>Unknown</v>
      </c>
      <c r="E55" s="3" t="str">
        <f>VLOOKUP($A55,Table1[],8,TRUE)</f>
        <v>Spain</v>
      </c>
      <c r="F55" s="3" t="str">
        <f>VLOOKUP($A55,Table1[],9,TRUE)</f>
        <v>Spanish</v>
      </c>
      <c r="G55" s="3" t="str">
        <f>VLOOKUP($A55,Table1[],10,TRUE)</f>
        <v>UI/UX Design</v>
      </c>
      <c r="H55" s="13" t="str">
        <f>VLOOKUP($A55,Table1[],12,TRUE)</f>
        <v>1</v>
      </c>
      <c r="I55" s="20">
        <v>30</v>
      </c>
      <c r="J55" s="15">
        <f>VLOOKUP($A55,Table1[],18,TRUE)</f>
        <v>0</v>
      </c>
      <c r="K55" s="12" t="str">
        <f>VLOOKUP($A55,Table1[],22,TRUE)</f>
        <v>FALSE</v>
      </c>
      <c r="L55" s="13">
        <f>VLOOKUP($A55,Table1[],25,TRUE)</f>
        <v>0.68</v>
      </c>
    </row>
    <row r="56" spans="1:12" x14ac:dyDescent="0.25">
      <c r="A56" t="s">
        <v>191</v>
      </c>
      <c r="B56" s="18" t="str">
        <f>VLOOKUP(A56,Table1[],3,TRUE)</f>
        <v>Jennifer Mcintyre</v>
      </c>
      <c r="C56" s="18" t="str">
        <f>VLOOKUP($A56,Table1[],5,TRUE)</f>
        <v>Female</v>
      </c>
      <c r="D56" s="3" t="str">
        <f>VLOOKUP($A56,Table1[],7,TRUE)</f>
        <v>29</v>
      </c>
      <c r="E56" s="3" t="str">
        <f>VLOOKUP($A56,Table1[],8,TRUE)</f>
        <v>Turkey</v>
      </c>
      <c r="F56" s="3" t="str">
        <f>VLOOKUP($A56,Table1[],9,TRUE)</f>
        <v>Turkish</v>
      </c>
      <c r="G56" s="3" t="str">
        <f>VLOOKUP($A56,Table1[],10,TRUE)</f>
        <v>Cybersecurity</v>
      </c>
      <c r="H56" s="13" t="str">
        <f>VLOOKUP($A56,Table1[],12,TRUE)</f>
        <v>11</v>
      </c>
      <c r="I56" s="20">
        <v>100</v>
      </c>
      <c r="J56" s="15">
        <f>VLOOKUP($A56,Table1[],18,TRUE)</f>
        <v>2.2999999999999998</v>
      </c>
      <c r="K56" s="12" t="str">
        <f>VLOOKUP($A56,Table1[],22,TRUE)</f>
        <v>TRUE</v>
      </c>
      <c r="L56" s="13">
        <f>VLOOKUP($A56,Table1[],25,TRUE)</f>
        <v>0.72</v>
      </c>
    </row>
    <row r="57" spans="1:12" x14ac:dyDescent="0.25">
      <c r="A57" t="s">
        <v>193</v>
      </c>
      <c r="B57" s="18" t="str">
        <f>VLOOKUP(A57,Table1[],3,TRUE)</f>
        <v>Larry Simpson</v>
      </c>
      <c r="C57" s="18" t="str">
        <f>VLOOKUP($A57,Table1[],5,TRUE)</f>
        <v>Male</v>
      </c>
      <c r="D57" s="3" t="str">
        <f>VLOOKUP($A57,Table1[],7,TRUE)</f>
        <v>50</v>
      </c>
      <c r="E57" s="3" t="str">
        <f>VLOOKUP($A57,Table1[],8,TRUE)</f>
        <v>United Kingdom</v>
      </c>
      <c r="F57" s="3" t="str">
        <f>VLOOKUP($A57,Table1[],9,TRUE)</f>
        <v>English</v>
      </c>
      <c r="G57" s="3" t="str">
        <f>VLOOKUP($A57,Table1[],10,TRUE)</f>
        <v>AI</v>
      </c>
      <c r="H57" s="13" t="str">
        <f>VLOOKUP($A57,Table1[],12,TRUE)</f>
        <v>15</v>
      </c>
      <c r="I57" s="20">
        <v>50</v>
      </c>
      <c r="J57" s="15">
        <f>VLOOKUP($A57,Table1[],18,TRUE)</f>
        <v>2</v>
      </c>
      <c r="K57" s="12" t="str">
        <f>VLOOKUP($A57,Table1[],22,TRUE)</f>
        <v>TRUE</v>
      </c>
      <c r="L57" s="13">
        <f>VLOOKUP($A57,Table1[],25,TRUE)</f>
        <v>0.65</v>
      </c>
    </row>
    <row r="58" spans="1:12" x14ac:dyDescent="0.25">
      <c r="A58" t="s">
        <v>195</v>
      </c>
      <c r="B58" s="18" t="str">
        <f>VLOOKUP(A58,Table1[],3,TRUE)</f>
        <v>Laura Price</v>
      </c>
      <c r="C58" s="18" t="str">
        <f>VLOOKUP($A58,Table1[],5,TRUE)</f>
        <v>Female</v>
      </c>
      <c r="D58" s="3" t="str">
        <f>VLOOKUP($A58,Table1[],7,TRUE)</f>
        <v>26</v>
      </c>
      <c r="E58" s="3" t="str">
        <f>VLOOKUP($A58,Table1[],8,TRUE)</f>
        <v>United Kingdom</v>
      </c>
      <c r="F58" s="3" t="str">
        <f>VLOOKUP($A58,Table1[],9,TRUE)</f>
        <v>English</v>
      </c>
      <c r="G58" s="3" t="str">
        <f>VLOOKUP($A58,Table1[],10,TRUE)</f>
        <v>DevOps</v>
      </c>
      <c r="H58" s="13" t="str">
        <f>VLOOKUP($A58,Table1[],12,TRUE)</f>
        <v>8</v>
      </c>
      <c r="I58" s="20">
        <v>50</v>
      </c>
      <c r="J58" s="15">
        <f>VLOOKUP($A58,Table1[],18,TRUE)</f>
        <v>1.3</v>
      </c>
      <c r="K58" s="12" t="str">
        <f>VLOOKUP($A58,Table1[],22,TRUE)</f>
        <v>TRUE</v>
      </c>
      <c r="L58" s="13">
        <f>VLOOKUP($A58,Table1[],25,TRUE)</f>
        <v>0.76</v>
      </c>
    </row>
    <row r="59" spans="1:12" x14ac:dyDescent="0.25">
      <c r="A59" t="s">
        <v>197</v>
      </c>
      <c r="B59" s="18" t="str">
        <f>VLOOKUP(A59,Table1[],3,TRUE)</f>
        <v>Mark Wright</v>
      </c>
      <c r="C59" s="18" t="str">
        <f>VLOOKUP($A59,Table1[],5,TRUE)</f>
        <v>Male</v>
      </c>
      <c r="D59" s="3" t="str">
        <f>VLOOKUP($A59,Table1[],7,TRUE)</f>
        <v>38</v>
      </c>
      <c r="E59" s="3" t="str">
        <f>VLOOKUP($A59,Table1[],8,TRUE)</f>
        <v>Canada</v>
      </c>
      <c r="F59" s="3" t="str">
        <f>VLOOKUP($A59,Table1[],9,TRUE)</f>
        <v>English</v>
      </c>
      <c r="G59" s="3" t="str">
        <f>VLOOKUP($A59,Table1[],10,TRUE)</f>
        <v>AI</v>
      </c>
      <c r="H59" s="13" t="str">
        <f>VLOOKUP($A59,Table1[],12,TRUE)</f>
        <v>17</v>
      </c>
      <c r="I59" s="20">
        <v>40</v>
      </c>
      <c r="J59" s="15">
        <f>VLOOKUP($A59,Table1[],18,TRUE)</f>
        <v>4</v>
      </c>
      <c r="K59" s="12" t="str">
        <f>VLOOKUP($A59,Table1[],22,TRUE)</f>
        <v>TRUE</v>
      </c>
      <c r="L59" s="13">
        <f>VLOOKUP($A59,Table1[],25,TRUE)</f>
        <v>0.9</v>
      </c>
    </row>
    <row r="60" spans="1:12" x14ac:dyDescent="0.25">
      <c r="A60" t="s">
        <v>199</v>
      </c>
      <c r="B60" s="18" t="str">
        <f>VLOOKUP(A60,Table1[],3,TRUE)</f>
        <v>Samantha Mcdaniel</v>
      </c>
      <c r="C60" s="18" t="str">
        <f>VLOOKUP($A60,Table1[],5,TRUE)</f>
        <v>Female</v>
      </c>
      <c r="D60" s="3" t="str">
        <f>VLOOKUP($A60,Table1[],7,TRUE)</f>
        <v>23</v>
      </c>
      <c r="E60" s="3" t="str">
        <f>VLOOKUP($A60,Table1[],8,TRUE)</f>
        <v>India</v>
      </c>
      <c r="F60" s="3" t="str">
        <f>VLOOKUP($A60,Table1[],9,TRUE)</f>
        <v>Hindi</v>
      </c>
      <c r="G60" s="3" t="str">
        <f>VLOOKUP($A60,Table1[],10,TRUE)</f>
        <v>Mobile Apps</v>
      </c>
      <c r="H60" s="13" t="str">
        <f>VLOOKUP($A60,Table1[],12,TRUE)</f>
        <v>Unknown</v>
      </c>
      <c r="I60" s="20">
        <v>75</v>
      </c>
      <c r="J60" s="15">
        <f>VLOOKUP($A60,Table1[],18,TRUE)</f>
        <v>3.6</v>
      </c>
      <c r="K60" s="12" t="str">
        <f>VLOOKUP($A60,Table1[],22,TRUE)</f>
        <v>TRUE</v>
      </c>
      <c r="L60" s="13">
        <f>VLOOKUP($A60,Table1[],25,TRUE)</f>
        <v>0.65</v>
      </c>
    </row>
    <row r="61" spans="1:12" x14ac:dyDescent="0.25">
      <c r="A61" t="s">
        <v>201</v>
      </c>
      <c r="B61" s="18" t="str">
        <f>VLOOKUP(A61,Table1[],3,TRUE)</f>
        <v>Barbara Foster</v>
      </c>
      <c r="C61" s="18" t="str">
        <f>VLOOKUP($A61,Table1[],5,TRUE)</f>
        <v>Female</v>
      </c>
      <c r="D61" s="3" t="str">
        <f>VLOOKUP($A61,Table1[],7,TRUE)</f>
        <v>51</v>
      </c>
      <c r="E61" s="3" t="str">
        <f>VLOOKUP($A61,Table1[],8,TRUE)</f>
        <v>South Africa</v>
      </c>
      <c r="F61" s="3" t="str">
        <f>VLOOKUP($A61,Table1[],9,TRUE)</f>
        <v>Afrikaans</v>
      </c>
      <c r="G61" s="3" t="str">
        <f>VLOOKUP($A61,Table1[],10,TRUE)</f>
        <v>DevOps</v>
      </c>
      <c r="H61" s="13" t="str">
        <f>VLOOKUP($A61,Table1[],12,TRUE)</f>
        <v>28</v>
      </c>
      <c r="I61" s="20">
        <v>40</v>
      </c>
      <c r="J61" s="15">
        <f>VLOOKUP($A61,Table1[],18,TRUE)</f>
        <v>3.9</v>
      </c>
      <c r="K61" s="12" t="str">
        <f>VLOOKUP($A61,Table1[],22,TRUE)</f>
        <v>FALSE</v>
      </c>
      <c r="L61" s="13">
        <f>VLOOKUP($A61,Table1[],25,TRUE)</f>
        <v>0.63</v>
      </c>
    </row>
    <row r="62" spans="1:12" x14ac:dyDescent="0.25">
      <c r="A62" t="s">
        <v>203</v>
      </c>
      <c r="B62" s="18" t="str">
        <f>VLOOKUP(A62,Table1[],3,TRUE)</f>
        <v>Courtney Tran</v>
      </c>
      <c r="C62" s="18" t="str">
        <f>VLOOKUP($A62,Table1[],5,TRUE)</f>
        <v>Female</v>
      </c>
      <c r="D62" s="3" t="str">
        <f>VLOOKUP($A62,Table1[],7,TRUE)</f>
        <v>51</v>
      </c>
      <c r="E62" s="3" t="str">
        <f>VLOOKUP($A62,Table1[],8,TRUE)</f>
        <v>Indonesia</v>
      </c>
      <c r="F62" s="3" t="str">
        <f>VLOOKUP($A62,Table1[],9,TRUE)</f>
        <v>Indonesian</v>
      </c>
      <c r="G62" s="3" t="str">
        <f>VLOOKUP($A62,Table1[],10,TRUE)</f>
        <v>AI</v>
      </c>
      <c r="H62" s="13" t="str">
        <f>VLOOKUP($A62,Table1[],12,TRUE)</f>
        <v>33</v>
      </c>
      <c r="I62" s="20">
        <v>75</v>
      </c>
      <c r="J62" s="15">
        <f>VLOOKUP($A62,Table1[],18,TRUE)</f>
        <v>0</v>
      </c>
      <c r="K62" s="12" t="str">
        <f>VLOOKUP($A62,Table1[],22,TRUE)</f>
        <v>TRUE</v>
      </c>
      <c r="L62" s="13">
        <f>VLOOKUP($A62,Table1[],25,TRUE)</f>
        <v>0.75</v>
      </c>
    </row>
    <row r="63" spans="1:12" x14ac:dyDescent="0.25">
      <c r="A63" t="s">
        <v>205</v>
      </c>
      <c r="B63" s="18" t="str">
        <f>VLOOKUP(A63,Table1[],3,TRUE)</f>
        <v>Eddie Todd</v>
      </c>
      <c r="C63" s="18" t="str">
        <f>VLOOKUP($A63,Table1[],5,TRUE)</f>
        <v>Male</v>
      </c>
      <c r="D63" s="3" t="str">
        <f>VLOOKUP($A63,Table1[],7,TRUE)</f>
        <v>47</v>
      </c>
      <c r="E63" s="3" t="str">
        <f>VLOOKUP($A63,Table1[],8,TRUE)</f>
        <v>Germany</v>
      </c>
      <c r="F63" s="3" t="str">
        <f>VLOOKUP($A63,Table1[],9,TRUE)</f>
        <v>German</v>
      </c>
      <c r="G63" s="3" t="str">
        <f>VLOOKUP($A63,Table1[],10,TRUE)</f>
        <v>AI</v>
      </c>
      <c r="H63" s="13" t="str">
        <f>VLOOKUP($A63,Table1[],12,TRUE)</f>
        <v>18</v>
      </c>
      <c r="I63" s="20">
        <v>75</v>
      </c>
      <c r="J63" s="15">
        <f>VLOOKUP($A63,Table1[],18,TRUE)</f>
        <v>0</v>
      </c>
      <c r="K63" s="12" t="str">
        <f>VLOOKUP($A63,Table1[],22,TRUE)</f>
        <v>FALSE</v>
      </c>
      <c r="L63" s="13">
        <f>VLOOKUP($A63,Table1[],25,TRUE)</f>
        <v>0.75</v>
      </c>
    </row>
    <row r="64" spans="1:12" x14ac:dyDescent="0.25">
      <c r="A64" t="s">
        <v>207</v>
      </c>
      <c r="B64" s="18" t="str">
        <f>VLOOKUP(A64,Table1[],3,TRUE)</f>
        <v>Christine Johnson</v>
      </c>
      <c r="C64" s="18" t="str">
        <f>VLOOKUP($A64,Table1[],5,TRUE)</f>
        <v>Female</v>
      </c>
      <c r="D64" s="3" t="str">
        <f>VLOOKUP($A64,Table1[],7,TRUE)</f>
        <v>34</v>
      </c>
      <c r="E64" s="3" t="str">
        <f>VLOOKUP($A64,Table1[],8,TRUE)</f>
        <v>Russia</v>
      </c>
      <c r="F64" s="3" t="str">
        <f>VLOOKUP($A64,Table1[],9,TRUE)</f>
        <v>Russian</v>
      </c>
      <c r="G64" s="3" t="str">
        <f>VLOOKUP($A64,Table1[],10,TRUE)</f>
        <v>UI/UX Design</v>
      </c>
      <c r="H64" s="13" t="str">
        <f>VLOOKUP($A64,Table1[],12,TRUE)</f>
        <v>16</v>
      </c>
      <c r="I64" s="20">
        <v>20</v>
      </c>
      <c r="J64" s="15">
        <f>VLOOKUP($A64,Table1[],18,TRUE)</f>
        <v>2.2999999999999998</v>
      </c>
      <c r="K64" s="12" t="str">
        <f>VLOOKUP($A64,Table1[],22,TRUE)</f>
        <v>TRUE</v>
      </c>
      <c r="L64" s="13">
        <f>VLOOKUP($A64,Table1[],25,TRUE)</f>
        <v>0.93</v>
      </c>
    </row>
    <row r="65" spans="1:12" x14ac:dyDescent="0.25">
      <c r="A65" t="s">
        <v>209</v>
      </c>
      <c r="B65" s="18" t="str">
        <f>VLOOKUP(A65,Table1[],3,TRUE)</f>
        <v>Leah Phelps</v>
      </c>
      <c r="C65" s="18" t="str">
        <f>VLOOKUP($A65,Table1[],5,TRUE)</f>
        <v>Female</v>
      </c>
      <c r="D65" s="3" t="str">
        <f>VLOOKUP($A65,Table1[],7,TRUE)</f>
        <v>58</v>
      </c>
      <c r="E65" s="3" t="str">
        <f>VLOOKUP($A65,Table1[],8,TRUE)</f>
        <v>Indonesia</v>
      </c>
      <c r="F65" s="3" t="str">
        <f>VLOOKUP($A65,Table1[],9,TRUE)</f>
        <v>Indonesian</v>
      </c>
      <c r="G65" s="3" t="str">
        <f>VLOOKUP($A65,Table1[],10,TRUE)</f>
        <v>Data Analysis</v>
      </c>
      <c r="H65" s="13" t="str">
        <f>VLOOKUP($A65,Table1[],12,TRUE)</f>
        <v>35</v>
      </c>
      <c r="I65" s="20">
        <v>50</v>
      </c>
      <c r="J65" s="15">
        <f>VLOOKUP($A65,Table1[],18,TRUE)</f>
        <v>4.7</v>
      </c>
      <c r="K65" s="12" t="str">
        <f>VLOOKUP($A65,Table1[],22,TRUE)</f>
        <v>FALSE</v>
      </c>
      <c r="L65" s="13">
        <f>VLOOKUP($A65,Table1[],25,TRUE)</f>
        <v>0.7</v>
      </c>
    </row>
    <row r="66" spans="1:12" x14ac:dyDescent="0.25">
      <c r="A66" t="s">
        <v>211</v>
      </c>
      <c r="B66" s="18" t="str">
        <f>VLOOKUP(A66,Table1[],3,TRUE)</f>
        <v>Rebekah Williams</v>
      </c>
      <c r="C66" s="18" t="str">
        <f>VLOOKUP($A66,Table1[],5,TRUE)</f>
        <v>Female</v>
      </c>
      <c r="D66" s="3" t="str">
        <f>VLOOKUP($A66,Table1[],7,TRUE)</f>
        <v>50</v>
      </c>
      <c r="E66" s="3" t="str">
        <f>VLOOKUP($A66,Table1[],8,TRUE)</f>
        <v>Russia</v>
      </c>
      <c r="F66" s="3" t="str">
        <f>VLOOKUP($A66,Table1[],9,TRUE)</f>
        <v>Russian</v>
      </c>
      <c r="G66" s="3" t="str">
        <f>VLOOKUP($A66,Table1[],10,TRUE)</f>
        <v>AI</v>
      </c>
      <c r="H66" s="13" t="str">
        <f>VLOOKUP($A66,Table1[],12,TRUE)</f>
        <v>14</v>
      </c>
      <c r="I66" s="20">
        <v>50</v>
      </c>
      <c r="J66" s="15">
        <f>VLOOKUP($A66,Table1[],18,TRUE)</f>
        <v>3.5</v>
      </c>
      <c r="K66" s="12" t="str">
        <f>VLOOKUP($A66,Table1[],22,TRUE)</f>
        <v>TRUE</v>
      </c>
      <c r="L66" s="13">
        <f>VLOOKUP($A66,Table1[],25,TRUE)</f>
        <v>0.83</v>
      </c>
    </row>
    <row r="67" spans="1:12" x14ac:dyDescent="0.25">
      <c r="A67" t="s">
        <v>213</v>
      </c>
      <c r="B67" s="18" t="str">
        <f>VLOOKUP(A67,Table1[],3,TRUE)</f>
        <v>Crystal Wilson</v>
      </c>
      <c r="C67" s="18" t="str">
        <f>VLOOKUP($A67,Table1[],5,TRUE)</f>
        <v>Female</v>
      </c>
      <c r="D67" s="3" t="str">
        <f>VLOOKUP($A67,Table1[],7,TRUE)</f>
        <v>34</v>
      </c>
      <c r="E67" s="3" t="str">
        <f>VLOOKUP($A67,Table1[],8,TRUE)</f>
        <v>Spain</v>
      </c>
      <c r="F67" s="3" t="str">
        <f>VLOOKUP($A67,Table1[],9,TRUE)</f>
        <v>Spanish</v>
      </c>
      <c r="G67" s="3" t="str">
        <f>VLOOKUP($A67,Table1[],10,TRUE)</f>
        <v>Web Development</v>
      </c>
      <c r="H67" s="13" t="str">
        <f>VLOOKUP($A67,Table1[],12,TRUE)</f>
        <v>12</v>
      </c>
      <c r="I67" s="20">
        <v>40</v>
      </c>
      <c r="J67" s="15">
        <f>VLOOKUP($A67,Table1[],18,TRUE)</f>
        <v>2.4</v>
      </c>
      <c r="K67" s="12" t="str">
        <f>VLOOKUP($A67,Table1[],22,TRUE)</f>
        <v>TRUE</v>
      </c>
      <c r="L67" s="13">
        <f>VLOOKUP($A67,Table1[],25,TRUE)</f>
        <v>0.64</v>
      </c>
    </row>
    <row r="68" spans="1:12" x14ac:dyDescent="0.25">
      <c r="A68" t="s">
        <v>215</v>
      </c>
      <c r="B68" s="18" t="str">
        <f>VLOOKUP(A68,Table1[],3,TRUE)</f>
        <v>Ashley Cordova</v>
      </c>
      <c r="C68" s="18" t="str">
        <f>VLOOKUP($A68,Table1[],5,TRUE)</f>
        <v>Female</v>
      </c>
      <c r="D68" s="3" t="str">
        <f>VLOOKUP($A68,Table1[],7,TRUE)</f>
        <v>45</v>
      </c>
      <c r="E68" s="3" t="str">
        <f>VLOOKUP($A68,Table1[],8,TRUE)</f>
        <v>Brazil</v>
      </c>
      <c r="F68" s="3" t="str">
        <f>VLOOKUP($A68,Table1[],9,TRUE)</f>
        <v>Portuguese</v>
      </c>
      <c r="G68" s="3" t="str">
        <f>VLOOKUP($A68,Table1[],10,TRUE)</f>
        <v>AI</v>
      </c>
      <c r="H68" s="13" t="str">
        <f>VLOOKUP($A68,Table1[],12,TRUE)</f>
        <v>11</v>
      </c>
      <c r="I68" s="20">
        <v>75</v>
      </c>
      <c r="J68" s="15">
        <f>VLOOKUP($A68,Table1[],18,TRUE)</f>
        <v>4</v>
      </c>
      <c r="K68" s="12" t="str">
        <f>VLOOKUP($A68,Table1[],22,TRUE)</f>
        <v>FALSE</v>
      </c>
      <c r="L68" s="13">
        <f>VLOOKUP($A68,Table1[],25,TRUE)</f>
        <v>1</v>
      </c>
    </row>
    <row r="69" spans="1:12" x14ac:dyDescent="0.25">
      <c r="A69" t="s">
        <v>217</v>
      </c>
      <c r="B69" s="18" t="str">
        <f>VLOOKUP(A69,Table1[],3,TRUE)</f>
        <v>Vicki Kelly</v>
      </c>
      <c r="C69" s="18" t="str">
        <f>VLOOKUP($A69,Table1[],5,TRUE)</f>
        <v>Female</v>
      </c>
      <c r="D69" s="3" t="str">
        <f>VLOOKUP($A69,Table1[],7,TRUE)</f>
        <v>55</v>
      </c>
      <c r="E69" s="3" t="str">
        <f>VLOOKUP($A69,Table1[],8,TRUE)</f>
        <v>Brazil</v>
      </c>
      <c r="F69" s="3" t="str">
        <f>VLOOKUP($A69,Table1[],9,TRUE)</f>
        <v>Portuguese</v>
      </c>
      <c r="G69" s="3" t="str">
        <f>VLOOKUP($A69,Table1[],10,TRUE)</f>
        <v>Web Development</v>
      </c>
      <c r="H69" s="13" t="str">
        <f>VLOOKUP($A69,Table1[],12,TRUE)</f>
        <v>0</v>
      </c>
      <c r="I69" s="20">
        <v>40</v>
      </c>
      <c r="J69" s="15">
        <f>VLOOKUP($A69,Table1[],18,TRUE)</f>
        <v>0</v>
      </c>
      <c r="K69" s="12" t="str">
        <f>VLOOKUP($A69,Table1[],22,TRUE)</f>
        <v>TRUE</v>
      </c>
      <c r="L69" s="13">
        <f>VLOOKUP($A69,Table1[],25,TRUE)</f>
        <v>0.75</v>
      </c>
    </row>
    <row r="70" spans="1:12" x14ac:dyDescent="0.25">
      <c r="A70" t="s">
        <v>219</v>
      </c>
      <c r="B70" s="18" t="str">
        <f>VLOOKUP(A70,Table1[],3,TRUE)</f>
        <v>Corey Warren</v>
      </c>
      <c r="C70" s="18" t="str">
        <f>VLOOKUP($A70,Table1[],5,TRUE)</f>
        <v>Male</v>
      </c>
      <c r="D70" s="3" t="str">
        <f>VLOOKUP($A70,Table1[],7,TRUE)</f>
        <v>Unknown</v>
      </c>
      <c r="E70" s="3" t="str">
        <f>VLOOKUP($A70,Table1[],8,TRUE)</f>
        <v>Argentina</v>
      </c>
      <c r="F70" s="3" t="str">
        <f>VLOOKUP($A70,Table1[],9,TRUE)</f>
        <v>Spanish</v>
      </c>
      <c r="G70" s="3" t="str">
        <f>VLOOKUP($A70,Table1[],10,TRUE)</f>
        <v>UI/UX Design</v>
      </c>
      <c r="H70" s="13" t="str">
        <f>VLOOKUP($A70,Table1[],12,TRUE)</f>
        <v>6</v>
      </c>
      <c r="I70" s="20">
        <v>100</v>
      </c>
      <c r="J70" s="15">
        <f>VLOOKUP($A70,Table1[],18,TRUE)</f>
        <v>1.5</v>
      </c>
      <c r="K70" s="12" t="str">
        <f>VLOOKUP($A70,Table1[],22,TRUE)</f>
        <v>TRUE</v>
      </c>
      <c r="L70" s="13">
        <f>VLOOKUP($A70,Table1[],25,TRUE)</f>
        <v>0.75</v>
      </c>
    </row>
    <row r="71" spans="1:12" x14ac:dyDescent="0.25">
      <c r="A71" t="s">
        <v>221</v>
      </c>
      <c r="B71" s="18" t="str">
        <f>VLOOKUP(A71,Table1[],3,TRUE)</f>
        <v>Gina Thompson</v>
      </c>
      <c r="C71" s="18" t="str">
        <f>VLOOKUP($A71,Table1[],5,TRUE)</f>
        <v>Female</v>
      </c>
      <c r="D71" s="3" t="str">
        <f>VLOOKUP($A71,Table1[],7,TRUE)</f>
        <v>60</v>
      </c>
      <c r="E71" s="3" t="str">
        <f>VLOOKUP($A71,Table1[],8,TRUE)</f>
        <v>China</v>
      </c>
      <c r="F71" s="3" t="str">
        <f>VLOOKUP($A71,Table1[],9,TRUE)</f>
        <v>Mandarin</v>
      </c>
      <c r="G71" s="3" t="str">
        <f>VLOOKUP($A71,Table1[],10,TRUE)</f>
        <v>UI/UX Design</v>
      </c>
      <c r="H71" s="13" t="str">
        <f>VLOOKUP($A71,Table1[],12,TRUE)</f>
        <v>38</v>
      </c>
      <c r="I71" s="20">
        <v>20</v>
      </c>
      <c r="J71" s="15">
        <f>VLOOKUP($A71,Table1[],18,TRUE)</f>
        <v>2</v>
      </c>
      <c r="K71" s="12" t="str">
        <f>VLOOKUP($A71,Table1[],22,TRUE)</f>
        <v>FALSE</v>
      </c>
      <c r="L71" s="13">
        <f>VLOOKUP($A71,Table1[],25,TRUE)</f>
        <v>0.71</v>
      </c>
    </row>
    <row r="72" spans="1:12" x14ac:dyDescent="0.25">
      <c r="A72" t="s">
        <v>223</v>
      </c>
      <c r="B72" s="18" t="str">
        <f>VLOOKUP(A72,Table1[],3,TRUE)</f>
        <v>Yvonne Berg</v>
      </c>
      <c r="C72" s="18" t="str">
        <f>VLOOKUP($A72,Table1[],5,TRUE)</f>
        <v>Female</v>
      </c>
      <c r="D72" s="3" t="str">
        <f>VLOOKUP($A72,Table1[],7,TRUE)</f>
        <v>33</v>
      </c>
      <c r="E72" s="3" t="str">
        <f>VLOOKUP($A72,Table1[],8,TRUE)</f>
        <v>South Africa</v>
      </c>
      <c r="F72" s="3" t="str">
        <f>VLOOKUP($A72,Table1[],9,TRUE)</f>
        <v>Afrikaans</v>
      </c>
      <c r="G72" s="3" t="str">
        <f>VLOOKUP($A72,Table1[],10,TRUE)</f>
        <v>Mobile Apps</v>
      </c>
      <c r="H72" s="13" t="str">
        <f>VLOOKUP($A72,Table1[],12,TRUE)</f>
        <v>11</v>
      </c>
      <c r="I72" s="20">
        <v>50</v>
      </c>
      <c r="J72" s="15">
        <f>VLOOKUP($A72,Table1[],18,TRUE)</f>
        <v>2.6</v>
      </c>
      <c r="K72" s="12" t="str">
        <f>VLOOKUP($A72,Table1[],22,TRUE)</f>
        <v>TRUE</v>
      </c>
      <c r="L72" s="13">
        <f>VLOOKUP($A72,Table1[],25,TRUE)</f>
        <v>0.84</v>
      </c>
    </row>
    <row r="73" spans="1:12" x14ac:dyDescent="0.25">
      <c r="A73" t="s">
        <v>225</v>
      </c>
      <c r="B73" s="18" t="str">
        <f>VLOOKUP(A73,Table1[],3,TRUE)</f>
        <v>Thomas Miller</v>
      </c>
      <c r="C73" s="18" t="str">
        <f>VLOOKUP($A73,Table1[],5,TRUE)</f>
        <v>Male</v>
      </c>
      <c r="D73" s="3" t="str">
        <f>VLOOKUP($A73,Table1[],7,TRUE)</f>
        <v>60</v>
      </c>
      <c r="E73" s="3" t="str">
        <f>VLOOKUP($A73,Table1[],8,TRUE)</f>
        <v>Italy</v>
      </c>
      <c r="F73" s="3" t="str">
        <f>VLOOKUP($A73,Table1[],9,TRUE)</f>
        <v>Italian</v>
      </c>
      <c r="G73" s="3" t="str">
        <f>VLOOKUP($A73,Table1[],10,TRUE)</f>
        <v>DevOps</v>
      </c>
      <c r="H73" s="13" t="str">
        <f>VLOOKUP($A73,Table1[],12,TRUE)</f>
        <v>13</v>
      </c>
      <c r="I73" s="20">
        <v>50</v>
      </c>
      <c r="J73" s="15">
        <f>VLOOKUP($A73,Table1[],18,TRUE)</f>
        <v>1</v>
      </c>
      <c r="K73" s="12" t="str">
        <f>VLOOKUP($A73,Table1[],22,TRUE)</f>
        <v>TRUE</v>
      </c>
      <c r="L73" s="13">
        <f>VLOOKUP($A73,Table1[],25,TRUE)</f>
        <v>0.75</v>
      </c>
    </row>
    <row r="74" spans="1:12" x14ac:dyDescent="0.25">
      <c r="A74" t="s">
        <v>227</v>
      </c>
      <c r="B74" s="18" t="str">
        <f>VLOOKUP(A74,Table1[],3,TRUE)</f>
        <v>Nicholas Burton</v>
      </c>
      <c r="C74" s="18" t="str">
        <f>VLOOKUP($A74,Table1[],5,TRUE)</f>
        <v>Male</v>
      </c>
      <c r="D74" s="3" t="str">
        <f>VLOOKUP($A74,Table1[],7,TRUE)</f>
        <v>40</v>
      </c>
      <c r="E74" s="3" t="str">
        <f>VLOOKUP($A74,Table1[],8,TRUE)</f>
        <v>United States</v>
      </c>
      <c r="F74" s="3" t="str">
        <f>VLOOKUP($A74,Table1[],9,TRUE)</f>
        <v>English</v>
      </c>
      <c r="G74" s="3" t="str">
        <f>VLOOKUP($A74,Table1[],10,TRUE)</f>
        <v>Web Development</v>
      </c>
      <c r="H74" s="13" t="str">
        <f>VLOOKUP($A74,Table1[],12,TRUE)</f>
        <v>9</v>
      </c>
      <c r="I74" s="20">
        <v>100</v>
      </c>
      <c r="J74" s="15">
        <f>VLOOKUP($A74,Table1[],18,TRUE)</f>
        <v>4.5</v>
      </c>
      <c r="K74" s="12" t="str">
        <f>VLOOKUP($A74,Table1[],22,TRUE)</f>
        <v>TRUE</v>
      </c>
      <c r="L74" s="13">
        <f>VLOOKUP($A74,Table1[],25,TRUE)</f>
        <v>0.69</v>
      </c>
    </row>
    <row r="75" spans="1:12" x14ac:dyDescent="0.25">
      <c r="A75" t="s">
        <v>230</v>
      </c>
      <c r="B75" s="18" t="str">
        <f>VLOOKUP(A75,Table1[],3,TRUE)</f>
        <v>Jorge Riley</v>
      </c>
      <c r="C75" s="18" t="str">
        <f>VLOOKUP($A75,Table1[],5,TRUE)</f>
        <v>Male</v>
      </c>
      <c r="D75" s="3" t="str">
        <f>VLOOKUP($A75,Table1[],7,TRUE)</f>
        <v>59</v>
      </c>
      <c r="E75" s="3" t="str">
        <f>VLOOKUP($A75,Table1[],8,TRUE)</f>
        <v>Australia</v>
      </c>
      <c r="F75" s="3" t="str">
        <f>VLOOKUP($A75,Table1[],9,TRUE)</f>
        <v>English</v>
      </c>
      <c r="G75" s="3" t="str">
        <f>VLOOKUP($A75,Table1[],10,TRUE)</f>
        <v>Blockchain Development</v>
      </c>
      <c r="H75" s="13" t="str">
        <f>VLOOKUP($A75,Table1[],12,TRUE)</f>
        <v>4</v>
      </c>
      <c r="I75" s="20">
        <v>50</v>
      </c>
      <c r="J75" s="15">
        <f>VLOOKUP($A75,Table1[],18,TRUE)</f>
        <v>1.9</v>
      </c>
      <c r="K75" s="12" t="str">
        <f>VLOOKUP($A75,Table1[],22,TRUE)</f>
        <v>TRUE</v>
      </c>
      <c r="L75" s="13">
        <f>VLOOKUP($A75,Table1[],25,TRUE)</f>
        <v>0.88</v>
      </c>
    </row>
    <row r="76" spans="1:12" x14ac:dyDescent="0.25">
      <c r="A76" t="s">
        <v>232</v>
      </c>
      <c r="B76" s="18" t="str">
        <f>VLOOKUP(A76,Table1[],3,TRUE)</f>
        <v>Melvin Harris</v>
      </c>
      <c r="C76" s="18" t="str">
        <f>VLOOKUP($A76,Table1[],5,TRUE)</f>
        <v>Male</v>
      </c>
      <c r="D76" s="3" t="str">
        <f>VLOOKUP($A76,Table1[],7,TRUE)</f>
        <v>36</v>
      </c>
      <c r="E76" s="3" t="str">
        <f>VLOOKUP($A76,Table1[],8,TRUE)</f>
        <v>Italy</v>
      </c>
      <c r="F76" s="3" t="str">
        <f>VLOOKUP($A76,Table1[],9,TRUE)</f>
        <v>Italian</v>
      </c>
      <c r="G76" s="3" t="str">
        <f>VLOOKUP($A76,Table1[],10,TRUE)</f>
        <v>Machine Learning</v>
      </c>
      <c r="H76" s="13" t="str">
        <f>VLOOKUP($A76,Table1[],12,TRUE)</f>
        <v>14</v>
      </c>
      <c r="I76" s="20">
        <v>100</v>
      </c>
      <c r="J76" s="15">
        <f>VLOOKUP($A76,Table1[],18,TRUE)</f>
        <v>3.7</v>
      </c>
      <c r="K76" s="12" t="str">
        <f>VLOOKUP($A76,Table1[],22,TRUE)</f>
        <v>FALSE</v>
      </c>
      <c r="L76" s="13">
        <f>VLOOKUP($A76,Table1[],25,TRUE)</f>
        <v>0.75</v>
      </c>
    </row>
    <row r="77" spans="1:12" x14ac:dyDescent="0.25">
      <c r="A77" t="s">
        <v>234</v>
      </c>
      <c r="B77" s="18" t="str">
        <f>VLOOKUP(A77,Table1[],3,TRUE)</f>
        <v>Jeremy Meyer</v>
      </c>
      <c r="C77" s="18" t="str">
        <f>VLOOKUP($A77,Table1[],5,TRUE)</f>
        <v>Male</v>
      </c>
      <c r="D77" s="3" t="str">
        <f>VLOOKUP($A77,Table1[],7,TRUE)</f>
        <v>32</v>
      </c>
      <c r="E77" s="3" t="str">
        <f>VLOOKUP($A77,Table1[],8,TRUE)</f>
        <v>India</v>
      </c>
      <c r="F77" s="3" t="str">
        <f>VLOOKUP($A77,Table1[],9,TRUE)</f>
        <v>Hindi</v>
      </c>
      <c r="G77" s="3" t="str">
        <f>VLOOKUP($A77,Table1[],10,TRUE)</f>
        <v>Data Analysis</v>
      </c>
      <c r="H77" s="13" t="str">
        <f>VLOOKUP($A77,Table1[],12,TRUE)</f>
        <v>Unknown</v>
      </c>
      <c r="I77" s="20">
        <v>30</v>
      </c>
      <c r="J77" s="15">
        <f>VLOOKUP($A77,Table1[],18,TRUE)</f>
        <v>1.9</v>
      </c>
      <c r="K77" s="12" t="str">
        <f>VLOOKUP($A77,Table1[],22,TRUE)</f>
        <v>TRUE</v>
      </c>
      <c r="L77" s="13">
        <f>VLOOKUP($A77,Table1[],25,TRUE)</f>
        <v>0.96</v>
      </c>
    </row>
    <row r="78" spans="1:12" x14ac:dyDescent="0.25">
      <c r="A78" t="s">
        <v>236</v>
      </c>
      <c r="B78" s="18" t="str">
        <f>VLOOKUP(A78,Table1[],3,TRUE)</f>
        <v>Timothy Lee</v>
      </c>
      <c r="C78" s="18" t="str">
        <f>VLOOKUP($A78,Table1[],5,TRUE)</f>
        <v>Male</v>
      </c>
      <c r="D78" s="3" t="str">
        <f>VLOOKUP($A78,Table1[],7,TRUE)</f>
        <v>59</v>
      </c>
      <c r="E78" s="3" t="str">
        <f>VLOOKUP($A78,Table1[],8,TRUE)</f>
        <v>Australia</v>
      </c>
      <c r="F78" s="3" t="str">
        <f>VLOOKUP($A78,Table1[],9,TRUE)</f>
        <v>English</v>
      </c>
      <c r="G78" s="3" t="str">
        <f>VLOOKUP($A78,Table1[],10,TRUE)</f>
        <v>AI</v>
      </c>
      <c r="H78" s="13" t="str">
        <f>VLOOKUP($A78,Table1[],12,TRUE)</f>
        <v>9</v>
      </c>
      <c r="I78" s="20">
        <v>75</v>
      </c>
      <c r="J78" s="15">
        <f>VLOOKUP($A78,Table1[],18,TRUE)</f>
        <v>4</v>
      </c>
      <c r="K78" s="12" t="str">
        <f>VLOOKUP($A78,Table1[],22,TRUE)</f>
        <v>TRUE</v>
      </c>
      <c r="L78" s="13">
        <f>VLOOKUP($A78,Table1[],25,TRUE)</f>
        <v>0.96</v>
      </c>
    </row>
    <row r="79" spans="1:12" x14ac:dyDescent="0.25">
      <c r="A79" t="s">
        <v>238</v>
      </c>
      <c r="B79" s="18" t="str">
        <f>VLOOKUP(A79,Table1[],3,TRUE)</f>
        <v>Diana Bautista</v>
      </c>
      <c r="C79" s="18" t="str">
        <f>VLOOKUP($A79,Table1[],5,TRUE)</f>
        <v>Female</v>
      </c>
      <c r="D79" s="3" t="str">
        <f>VLOOKUP($A79,Table1[],7,TRUE)</f>
        <v>54</v>
      </c>
      <c r="E79" s="3" t="str">
        <f>VLOOKUP($A79,Table1[],8,TRUE)</f>
        <v>Spain</v>
      </c>
      <c r="F79" s="3" t="str">
        <f>VLOOKUP($A79,Table1[],9,TRUE)</f>
        <v>Spanish</v>
      </c>
      <c r="G79" s="3" t="str">
        <f>VLOOKUP($A79,Table1[],10,TRUE)</f>
        <v>DevOps</v>
      </c>
      <c r="H79" s="13" t="str">
        <f>VLOOKUP($A79,Table1[],12,TRUE)</f>
        <v>32</v>
      </c>
      <c r="I79" s="20">
        <v>40</v>
      </c>
      <c r="J79" s="15">
        <f>VLOOKUP($A79,Table1[],18,TRUE)</f>
        <v>1.8</v>
      </c>
      <c r="K79" s="12" t="str">
        <f>VLOOKUP($A79,Table1[],22,TRUE)</f>
        <v>FALSE</v>
      </c>
      <c r="L79" s="13">
        <f>VLOOKUP($A79,Table1[],25,TRUE)</f>
        <v>0.75</v>
      </c>
    </row>
    <row r="80" spans="1:12" x14ac:dyDescent="0.25">
      <c r="A80" t="s">
        <v>240</v>
      </c>
      <c r="B80" s="18" t="str">
        <f>VLOOKUP(A80,Table1[],3,TRUE)</f>
        <v>Leslie Rodriguez</v>
      </c>
      <c r="C80" s="18" t="str">
        <f>VLOOKUP($A80,Table1[],5,TRUE)</f>
        <v>Female</v>
      </c>
      <c r="D80" s="3" t="str">
        <f>VLOOKUP($A80,Table1[],7,TRUE)</f>
        <v>37</v>
      </c>
      <c r="E80" s="3" t="str">
        <f>VLOOKUP($A80,Table1[],8,TRUE)</f>
        <v>Canada</v>
      </c>
      <c r="F80" s="3" t="str">
        <f>VLOOKUP($A80,Table1[],9,TRUE)</f>
        <v>English</v>
      </c>
      <c r="G80" s="3" t="str">
        <f>VLOOKUP($A80,Table1[],10,TRUE)</f>
        <v>Graphic Design</v>
      </c>
      <c r="H80" s="13" t="str">
        <f>VLOOKUP($A80,Table1[],12,TRUE)</f>
        <v>9</v>
      </c>
      <c r="I80" s="20">
        <v>50</v>
      </c>
      <c r="J80" s="15">
        <f>VLOOKUP($A80,Table1[],18,TRUE)</f>
        <v>0</v>
      </c>
      <c r="K80" s="12" t="str">
        <f>VLOOKUP($A80,Table1[],22,TRUE)</f>
        <v>TRUE</v>
      </c>
      <c r="L80" s="13">
        <f>VLOOKUP($A80,Table1[],25,TRUE)</f>
        <v>0.89</v>
      </c>
    </row>
    <row r="81" spans="1:12" x14ac:dyDescent="0.25">
      <c r="A81" t="s">
        <v>242</v>
      </c>
      <c r="B81" s="18" t="str">
        <f>VLOOKUP(A81,Table1[],3,TRUE)</f>
        <v>Noah Wiggins</v>
      </c>
      <c r="C81" s="18" t="str">
        <f>VLOOKUP($A81,Table1[],5,TRUE)</f>
        <v>Male</v>
      </c>
      <c r="D81" s="3" t="str">
        <f>VLOOKUP($A81,Table1[],7,TRUE)</f>
        <v>54</v>
      </c>
      <c r="E81" s="3" t="str">
        <f>VLOOKUP($A81,Table1[],8,TRUE)</f>
        <v>India</v>
      </c>
      <c r="F81" s="3" t="str">
        <f>VLOOKUP($A81,Table1[],9,TRUE)</f>
        <v>Hindi</v>
      </c>
      <c r="G81" s="3" t="str">
        <f>VLOOKUP($A81,Table1[],10,TRUE)</f>
        <v>Machine Learning</v>
      </c>
      <c r="H81" s="13" t="str">
        <f>VLOOKUP($A81,Table1[],12,TRUE)</f>
        <v>21</v>
      </c>
      <c r="I81" s="20">
        <v>100</v>
      </c>
      <c r="J81" s="15">
        <f>VLOOKUP($A81,Table1[],18,TRUE)</f>
        <v>4.5999999999999996</v>
      </c>
      <c r="K81" s="12" t="str">
        <f>VLOOKUP($A81,Table1[],22,TRUE)</f>
        <v>TRUE</v>
      </c>
      <c r="L81" s="13">
        <f>VLOOKUP($A81,Table1[],25,TRUE)</f>
        <v>0.75</v>
      </c>
    </row>
    <row r="82" spans="1:12" x14ac:dyDescent="0.25">
      <c r="A82" t="s">
        <v>244</v>
      </c>
      <c r="B82" s="18" t="str">
        <f>VLOOKUP(A82,Table1[],3,TRUE)</f>
        <v>Bridget Williams</v>
      </c>
      <c r="C82" s="18" t="str">
        <f>VLOOKUP($A82,Table1[],5,TRUE)</f>
        <v>Female</v>
      </c>
      <c r="D82" s="3" t="str">
        <f>VLOOKUP($A82,Table1[],7,TRUE)</f>
        <v>33</v>
      </c>
      <c r="E82" s="3" t="str">
        <f>VLOOKUP($A82,Table1[],8,TRUE)</f>
        <v>Argentina</v>
      </c>
      <c r="F82" s="3" t="str">
        <f>VLOOKUP($A82,Table1[],9,TRUE)</f>
        <v>Spanish</v>
      </c>
      <c r="G82" s="3" t="str">
        <f>VLOOKUP($A82,Table1[],10,TRUE)</f>
        <v>UI/UX Design</v>
      </c>
      <c r="H82" s="13" t="str">
        <f>VLOOKUP($A82,Table1[],12,TRUE)</f>
        <v>12</v>
      </c>
      <c r="I82" s="20">
        <v>100</v>
      </c>
      <c r="J82" s="15">
        <f>VLOOKUP($A82,Table1[],18,TRUE)</f>
        <v>3.6</v>
      </c>
      <c r="K82" s="12" t="str">
        <f>VLOOKUP($A82,Table1[],22,TRUE)</f>
        <v>FALSE</v>
      </c>
      <c r="L82" s="13">
        <f>VLOOKUP($A82,Table1[],25,TRUE)</f>
        <v>0.63</v>
      </c>
    </row>
    <row r="83" spans="1:12" x14ac:dyDescent="0.25">
      <c r="A83" t="s">
        <v>246</v>
      </c>
      <c r="B83" s="18" t="str">
        <f>VLOOKUP(A83,Table1[],3,TRUE)</f>
        <v>Veronica Baker</v>
      </c>
      <c r="C83" s="18" t="str">
        <f>VLOOKUP($A83,Table1[],5,TRUE)</f>
        <v>Female</v>
      </c>
      <c r="D83" s="3" t="str">
        <f>VLOOKUP($A83,Table1[],7,TRUE)</f>
        <v>25</v>
      </c>
      <c r="E83" s="3" t="str">
        <f>VLOOKUP($A83,Table1[],8,TRUE)</f>
        <v>Egypt</v>
      </c>
      <c r="F83" s="3" t="str">
        <f>VLOOKUP($A83,Table1[],9,TRUE)</f>
        <v>Arabic</v>
      </c>
      <c r="G83" s="3" t="str">
        <f>VLOOKUP($A83,Table1[],10,TRUE)</f>
        <v>Web Development</v>
      </c>
      <c r="H83" s="13" t="str">
        <f>VLOOKUP($A83,Table1[],12,TRUE)</f>
        <v>7</v>
      </c>
      <c r="I83" s="20">
        <v>40</v>
      </c>
      <c r="J83" s="15">
        <f>VLOOKUP($A83,Table1[],18,TRUE)</f>
        <v>4.4000000000000004</v>
      </c>
      <c r="K83" s="12" t="str">
        <f>VLOOKUP($A83,Table1[],22,TRUE)</f>
        <v>TRUE</v>
      </c>
      <c r="L83" s="13">
        <f>VLOOKUP($A83,Table1[],25,TRUE)</f>
        <v>0.81</v>
      </c>
    </row>
    <row r="84" spans="1:12" x14ac:dyDescent="0.25">
      <c r="A84" t="s">
        <v>248</v>
      </c>
      <c r="B84" s="18" t="str">
        <f>VLOOKUP(A84,Table1[],3,TRUE)</f>
        <v>Andrew Avila</v>
      </c>
      <c r="C84" s="18" t="str">
        <f>VLOOKUP($A84,Table1[],5,TRUE)</f>
        <v>Male</v>
      </c>
      <c r="D84" s="3" t="str">
        <f>VLOOKUP($A84,Table1[],7,TRUE)</f>
        <v>Unknown</v>
      </c>
      <c r="E84" s="3" t="str">
        <f>VLOOKUP($A84,Table1[],8,TRUE)</f>
        <v>China</v>
      </c>
      <c r="F84" s="3" t="str">
        <f>VLOOKUP($A84,Table1[],9,TRUE)</f>
        <v>Mandarin</v>
      </c>
      <c r="G84" s="3" t="str">
        <f>VLOOKUP($A84,Table1[],10,TRUE)</f>
        <v>DevOps</v>
      </c>
      <c r="H84" s="13" t="str">
        <f>VLOOKUP($A84,Table1[],12,TRUE)</f>
        <v>3</v>
      </c>
      <c r="I84" s="20">
        <v>40</v>
      </c>
      <c r="J84" s="15">
        <f>VLOOKUP($A84,Table1[],18,TRUE)</f>
        <v>4.5999999999999996</v>
      </c>
      <c r="K84" s="12" t="str">
        <f>VLOOKUP($A84,Table1[],22,TRUE)</f>
        <v>FALSE</v>
      </c>
      <c r="L84" s="13">
        <f>VLOOKUP($A84,Table1[],25,TRUE)</f>
        <v>0.74</v>
      </c>
    </row>
    <row r="85" spans="1:12" x14ac:dyDescent="0.25">
      <c r="A85" t="s">
        <v>250</v>
      </c>
      <c r="B85" s="18" t="str">
        <f>VLOOKUP(A85,Table1[],3,TRUE)</f>
        <v>Michael Roberson</v>
      </c>
      <c r="C85" s="18" t="str">
        <f>VLOOKUP($A85,Table1[],5,TRUE)</f>
        <v>Male</v>
      </c>
      <c r="D85" s="3" t="str">
        <f>VLOOKUP($A85,Table1[],7,TRUE)</f>
        <v>35</v>
      </c>
      <c r="E85" s="3" t="str">
        <f>VLOOKUP($A85,Table1[],8,TRUE)</f>
        <v>South Korea</v>
      </c>
      <c r="F85" s="3" t="str">
        <f>VLOOKUP($A85,Table1[],9,TRUE)</f>
        <v>Korean</v>
      </c>
      <c r="G85" s="3" t="str">
        <f>VLOOKUP($A85,Table1[],10,TRUE)</f>
        <v>Web Development</v>
      </c>
      <c r="H85" s="13" t="str">
        <f>VLOOKUP($A85,Table1[],12,TRUE)</f>
        <v>5</v>
      </c>
      <c r="I85" s="20">
        <v>75</v>
      </c>
      <c r="J85" s="15">
        <f>VLOOKUP($A85,Table1[],18,TRUE)</f>
        <v>3.2</v>
      </c>
      <c r="K85" s="12" t="str">
        <f>VLOOKUP($A85,Table1[],22,TRUE)</f>
        <v>TRUE</v>
      </c>
      <c r="L85" s="13">
        <f>VLOOKUP($A85,Table1[],25,TRUE)</f>
        <v>0.72</v>
      </c>
    </row>
    <row r="86" spans="1:12" x14ac:dyDescent="0.25">
      <c r="A86" t="s">
        <v>252</v>
      </c>
      <c r="B86" s="18" t="str">
        <f>VLOOKUP(A86,Table1[],3,TRUE)</f>
        <v>Austin Jenkins</v>
      </c>
      <c r="C86" s="18" t="str">
        <f>VLOOKUP($A86,Table1[],5,TRUE)</f>
        <v>Male</v>
      </c>
      <c r="D86" s="3" t="str">
        <f>VLOOKUP($A86,Table1[],7,TRUE)</f>
        <v>59</v>
      </c>
      <c r="E86" s="3" t="str">
        <f>VLOOKUP($A86,Table1[],8,TRUE)</f>
        <v>South Korea</v>
      </c>
      <c r="F86" s="3" t="str">
        <f>VLOOKUP($A86,Table1[],9,TRUE)</f>
        <v>Korean</v>
      </c>
      <c r="G86" s="3" t="str">
        <f>VLOOKUP($A86,Table1[],10,TRUE)</f>
        <v>AI</v>
      </c>
      <c r="H86" s="13" t="str">
        <f>VLOOKUP($A86,Table1[],12,TRUE)</f>
        <v>30</v>
      </c>
      <c r="I86" s="20">
        <v>40</v>
      </c>
      <c r="J86" s="15">
        <f>VLOOKUP($A86,Table1[],18,TRUE)</f>
        <v>0</v>
      </c>
      <c r="K86" s="12" t="str">
        <f>VLOOKUP($A86,Table1[],22,TRUE)</f>
        <v>TRUE</v>
      </c>
      <c r="L86" s="13">
        <f>VLOOKUP($A86,Table1[],25,TRUE)</f>
        <v>0.75</v>
      </c>
    </row>
    <row r="87" spans="1:12" x14ac:dyDescent="0.25">
      <c r="A87" t="s">
        <v>254</v>
      </c>
      <c r="B87" s="18" t="str">
        <f>VLOOKUP(A87,Table1[],3,TRUE)</f>
        <v>Brenda Green</v>
      </c>
      <c r="C87" s="18" t="str">
        <f>VLOOKUP($A87,Table1[],5,TRUE)</f>
        <v>Female</v>
      </c>
      <c r="D87" s="3" t="str">
        <f>VLOOKUP($A87,Table1[],7,TRUE)</f>
        <v>21</v>
      </c>
      <c r="E87" s="3" t="str">
        <f>VLOOKUP($A87,Table1[],8,TRUE)</f>
        <v>China</v>
      </c>
      <c r="F87" s="3" t="str">
        <f>VLOOKUP($A87,Table1[],9,TRUE)</f>
        <v>Mandarin</v>
      </c>
      <c r="G87" s="3" t="str">
        <f>VLOOKUP($A87,Table1[],10,TRUE)</f>
        <v>DevOps</v>
      </c>
      <c r="H87" s="13" t="str">
        <f>VLOOKUP($A87,Table1[],12,TRUE)</f>
        <v>2</v>
      </c>
      <c r="I87" s="20">
        <v>100</v>
      </c>
      <c r="J87" s="15">
        <f>VLOOKUP($A87,Table1[],18,TRUE)</f>
        <v>2.6</v>
      </c>
      <c r="K87" s="12" t="str">
        <f>VLOOKUP($A87,Table1[],22,TRUE)</f>
        <v>TRUE</v>
      </c>
      <c r="L87" s="13">
        <f>VLOOKUP($A87,Table1[],25,TRUE)</f>
        <v>0.85</v>
      </c>
    </row>
    <row r="88" spans="1:12" x14ac:dyDescent="0.25">
      <c r="A88" t="s">
        <v>256</v>
      </c>
      <c r="B88" s="18" t="str">
        <f>VLOOKUP(A88,Table1[],3,TRUE)</f>
        <v>Samuel Pierce</v>
      </c>
      <c r="C88" s="18" t="str">
        <f>VLOOKUP($A88,Table1[],5,TRUE)</f>
        <v>Male</v>
      </c>
      <c r="D88" s="3" t="str">
        <f>VLOOKUP($A88,Table1[],7,TRUE)</f>
        <v>25</v>
      </c>
      <c r="E88" s="3" t="str">
        <f>VLOOKUP($A88,Table1[],8,TRUE)</f>
        <v>United States</v>
      </c>
      <c r="F88" s="3" t="str">
        <f>VLOOKUP($A88,Table1[],9,TRUE)</f>
        <v>English</v>
      </c>
      <c r="G88" s="3" t="str">
        <f>VLOOKUP($A88,Table1[],10,TRUE)</f>
        <v>Mobile Apps</v>
      </c>
      <c r="H88" s="13" t="str">
        <f>VLOOKUP($A88,Table1[],12,TRUE)</f>
        <v>2</v>
      </c>
      <c r="I88" s="20">
        <v>75</v>
      </c>
      <c r="J88" s="15">
        <f>VLOOKUP($A88,Table1[],18,TRUE)</f>
        <v>3.7</v>
      </c>
      <c r="K88" s="12" t="str">
        <f>VLOOKUP($A88,Table1[],22,TRUE)</f>
        <v>FALSE</v>
      </c>
      <c r="L88" s="13">
        <f>VLOOKUP($A88,Table1[],25,TRUE)</f>
        <v>0.75</v>
      </c>
    </row>
    <row r="89" spans="1:12" x14ac:dyDescent="0.25">
      <c r="A89" t="s">
        <v>258</v>
      </c>
      <c r="B89" s="18" t="str">
        <f>VLOOKUP(A89,Table1[],3,TRUE)</f>
        <v>Briana Smith</v>
      </c>
      <c r="C89" s="18" t="str">
        <f>VLOOKUP($A89,Table1[],5,TRUE)</f>
        <v>Female</v>
      </c>
      <c r="D89" s="3" t="str">
        <f>VLOOKUP($A89,Table1[],7,TRUE)</f>
        <v>38</v>
      </c>
      <c r="E89" s="3" t="str">
        <f>VLOOKUP($A89,Table1[],8,TRUE)</f>
        <v>Mexico</v>
      </c>
      <c r="F89" s="3" t="str">
        <f>VLOOKUP($A89,Table1[],9,TRUE)</f>
        <v>Spanish</v>
      </c>
      <c r="G89" s="3" t="str">
        <f>VLOOKUP($A89,Table1[],10,TRUE)</f>
        <v>Web Development</v>
      </c>
      <c r="H89" s="13" t="str">
        <f>VLOOKUP($A89,Table1[],12,TRUE)</f>
        <v>19</v>
      </c>
      <c r="I89" s="20">
        <v>75</v>
      </c>
      <c r="J89" s="15">
        <f>VLOOKUP($A89,Table1[],18,TRUE)</f>
        <v>2.2999999999999998</v>
      </c>
      <c r="K89" s="12" t="str">
        <f>VLOOKUP($A89,Table1[],22,TRUE)</f>
        <v>TRUE</v>
      </c>
      <c r="L89" s="13">
        <f>VLOOKUP($A89,Table1[],25,TRUE)</f>
        <v>0.61</v>
      </c>
    </row>
    <row r="90" spans="1:12" x14ac:dyDescent="0.25">
      <c r="A90" t="s">
        <v>260</v>
      </c>
      <c r="B90" s="18" t="str">
        <f>VLOOKUP(A90,Table1[],3,TRUE)</f>
        <v>Ronald Barrett</v>
      </c>
      <c r="C90" s="18" t="str">
        <f>VLOOKUP($A90,Table1[],5,TRUE)</f>
        <v>Male</v>
      </c>
      <c r="D90" s="3" t="str">
        <f>VLOOKUP($A90,Table1[],7,TRUE)</f>
        <v>57</v>
      </c>
      <c r="E90" s="3" t="str">
        <f>VLOOKUP($A90,Table1[],8,TRUE)</f>
        <v>Russia</v>
      </c>
      <c r="F90" s="3" t="str">
        <f>VLOOKUP($A90,Table1[],9,TRUE)</f>
        <v>Russian</v>
      </c>
      <c r="G90" s="3" t="str">
        <f>VLOOKUP($A90,Table1[],10,TRUE)</f>
        <v>AI</v>
      </c>
      <c r="H90" s="13" t="str">
        <f>VLOOKUP($A90,Table1[],12,TRUE)</f>
        <v>16</v>
      </c>
      <c r="I90" s="20">
        <v>100</v>
      </c>
      <c r="J90" s="15">
        <f>VLOOKUP($A90,Table1[],18,TRUE)</f>
        <v>3.1</v>
      </c>
      <c r="K90" s="12" t="str">
        <f>VLOOKUP($A90,Table1[],22,TRUE)</f>
        <v>TRUE</v>
      </c>
      <c r="L90" s="13">
        <f>VLOOKUP($A90,Table1[],25,TRUE)</f>
        <v>0.75</v>
      </c>
    </row>
    <row r="91" spans="1:12" x14ac:dyDescent="0.25">
      <c r="A91" t="s">
        <v>262</v>
      </c>
      <c r="B91" s="18" t="str">
        <f>VLOOKUP(A91,Table1[],3,TRUE)</f>
        <v>Matthew Smith</v>
      </c>
      <c r="C91" s="18" t="str">
        <f>VLOOKUP($A91,Table1[],5,TRUE)</f>
        <v>Male</v>
      </c>
      <c r="D91" s="3" t="str">
        <f>VLOOKUP($A91,Table1[],7,TRUE)</f>
        <v>32</v>
      </c>
      <c r="E91" s="3" t="str">
        <f>VLOOKUP($A91,Table1[],8,TRUE)</f>
        <v>India</v>
      </c>
      <c r="F91" s="3" t="str">
        <f>VLOOKUP($A91,Table1[],9,TRUE)</f>
        <v>Hindi</v>
      </c>
      <c r="G91" s="3" t="str">
        <f>VLOOKUP($A91,Table1[],10,TRUE)</f>
        <v>Mobile Apps</v>
      </c>
      <c r="H91" s="13" t="str">
        <f>VLOOKUP($A91,Table1[],12,TRUE)</f>
        <v>10</v>
      </c>
      <c r="I91" s="20">
        <v>20</v>
      </c>
      <c r="J91" s="15">
        <f>VLOOKUP($A91,Table1[],18,TRUE)</f>
        <v>2.4</v>
      </c>
      <c r="K91" s="12" t="str">
        <f>VLOOKUP($A91,Table1[],22,TRUE)</f>
        <v>FALSE</v>
      </c>
      <c r="L91" s="13">
        <f>VLOOKUP($A91,Table1[],25,TRUE)</f>
        <v>0.86</v>
      </c>
    </row>
    <row r="92" spans="1:12" x14ac:dyDescent="0.25">
      <c r="A92" t="s">
        <v>264</v>
      </c>
      <c r="B92" s="18" t="str">
        <f>VLOOKUP(A92,Table1[],3,TRUE)</f>
        <v>Logan Huang</v>
      </c>
      <c r="C92" s="18" t="str">
        <f>VLOOKUP($A92,Table1[],5,TRUE)</f>
        <v>Male</v>
      </c>
      <c r="D92" s="3" t="str">
        <f>VLOOKUP($A92,Table1[],7,TRUE)</f>
        <v>21</v>
      </c>
      <c r="E92" s="3" t="str">
        <f>VLOOKUP($A92,Table1[],8,TRUE)</f>
        <v>Italy</v>
      </c>
      <c r="F92" s="3" t="str">
        <f>VLOOKUP($A92,Table1[],9,TRUE)</f>
        <v>Italian</v>
      </c>
      <c r="G92" s="3" t="str">
        <f>VLOOKUP($A92,Table1[],10,TRUE)</f>
        <v>DevOps</v>
      </c>
      <c r="H92" s="13" t="str">
        <f>VLOOKUP($A92,Table1[],12,TRUE)</f>
        <v>2</v>
      </c>
      <c r="I92" s="20">
        <v>100</v>
      </c>
      <c r="J92" s="15">
        <f>VLOOKUP($A92,Table1[],18,TRUE)</f>
        <v>1.6</v>
      </c>
      <c r="K92" s="12" t="str">
        <f>VLOOKUP($A92,Table1[],22,TRUE)</f>
        <v>TRUE</v>
      </c>
      <c r="L92" s="13">
        <f>VLOOKUP($A92,Table1[],25,TRUE)</f>
        <v>0.97</v>
      </c>
    </row>
    <row r="93" spans="1:12" x14ac:dyDescent="0.25">
      <c r="A93" t="s">
        <v>266</v>
      </c>
      <c r="B93" s="18" t="str">
        <f>VLOOKUP(A93,Table1[],3,TRUE)</f>
        <v>Miranda Hutchinson</v>
      </c>
      <c r="C93" s="18" t="str">
        <f>VLOOKUP($A93,Table1[],5,TRUE)</f>
        <v>Female</v>
      </c>
      <c r="D93" s="3" t="str">
        <f>VLOOKUP($A93,Table1[],7,TRUE)</f>
        <v>57</v>
      </c>
      <c r="E93" s="3" t="str">
        <f>VLOOKUP($A93,Table1[],8,TRUE)</f>
        <v>Canada</v>
      </c>
      <c r="F93" s="3" t="str">
        <f>VLOOKUP($A93,Table1[],9,TRUE)</f>
        <v>English</v>
      </c>
      <c r="G93" s="3" t="str">
        <f>VLOOKUP($A93,Table1[],10,TRUE)</f>
        <v>Cybersecurity</v>
      </c>
      <c r="H93" s="13" t="str">
        <f>VLOOKUP($A93,Table1[],12,TRUE)</f>
        <v>18</v>
      </c>
      <c r="I93" s="20">
        <v>50</v>
      </c>
      <c r="J93" s="15">
        <f>VLOOKUP($A93,Table1[],18,TRUE)</f>
        <v>2.4</v>
      </c>
      <c r="K93" s="12" t="str">
        <f>VLOOKUP($A93,Table1[],22,TRUE)</f>
        <v>TRUE</v>
      </c>
      <c r="L93" s="13">
        <f>VLOOKUP($A93,Table1[],25,TRUE)</f>
        <v>0.63</v>
      </c>
    </row>
    <row r="94" spans="1:12" x14ac:dyDescent="0.25">
      <c r="A94" t="s">
        <v>268</v>
      </c>
      <c r="B94" s="18" t="str">
        <f>VLOOKUP(A94,Table1[],3,TRUE)</f>
        <v>Paul Richardson</v>
      </c>
      <c r="C94" s="18" t="str">
        <f>VLOOKUP($A94,Table1[],5,TRUE)</f>
        <v>Male</v>
      </c>
      <c r="D94" s="3" t="str">
        <f>VLOOKUP($A94,Table1[],7,TRUE)</f>
        <v>53</v>
      </c>
      <c r="E94" s="3" t="str">
        <f>VLOOKUP($A94,Table1[],8,TRUE)</f>
        <v>China</v>
      </c>
      <c r="F94" s="3" t="str">
        <f>VLOOKUP($A94,Table1[],9,TRUE)</f>
        <v>Mandarin</v>
      </c>
      <c r="G94" s="3" t="str">
        <f>VLOOKUP($A94,Table1[],10,TRUE)</f>
        <v>UI/UX Design</v>
      </c>
      <c r="H94" s="13" t="str">
        <f>VLOOKUP($A94,Table1[],12,TRUE)</f>
        <v>21</v>
      </c>
      <c r="I94" s="20">
        <v>100</v>
      </c>
      <c r="J94" s="15">
        <f>VLOOKUP($A94,Table1[],18,TRUE)</f>
        <v>2.6</v>
      </c>
      <c r="K94" s="12" t="str">
        <f>VLOOKUP($A94,Table1[],22,TRUE)</f>
        <v>TRUE</v>
      </c>
      <c r="L94" s="13">
        <f>VLOOKUP($A94,Table1[],25,TRUE)</f>
        <v>0.97</v>
      </c>
    </row>
    <row r="95" spans="1:12" x14ac:dyDescent="0.25">
      <c r="A95" t="s">
        <v>270</v>
      </c>
      <c r="B95" s="18" t="str">
        <f>VLOOKUP(A95,Table1[],3,TRUE)</f>
        <v>Jose Jones</v>
      </c>
      <c r="C95" s="18" t="str">
        <f>VLOOKUP($A95,Table1[],5,TRUE)</f>
        <v>Male</v>
      </c>
      <c r="D95" s="3" t="str">
        <f>VLOOKUP($A95,Table1[],7,TRUE)</f>
        <v>35</v>
      </c>
      <c r="E95" s="3" t="str">
        <f>VLOOKUP($A95,Table1[],8,TRUE)</f>
        <v>Russia</v>
      </c>
      <c r="F95" s="3" t="str">
        <f>VLOOKUP($A95,Table1[],9,TRUE)</f>
        <v>Russian</v>
      </c>
      <c r="G95" s="3" t="str">
        <f>VLOOKUP($A95,Table1[],10,TRUE)</f>
        <v>Blockchain Development</v>
      </c>
      <c r="H95" s="13" t="str">
        <f>VLOOKUP($A95,Table1[],12,TRUE)</f>
        <v>3</v>
      </c>
      <c r="I95" s="20">
        <v>30</v>
      </c>
      <c r="J95" s="15">
        <f>VLOOKUP($A95,Table1[],18,TRUE)</f>
        <v>3.8</v>
      </c>
      <c r="K95" s="12" t="str">
        <f>VLOOKUP($A95,Table1[],22,TRUE)</f>
        <v>TRUE</v>
      </c>
      <c r="L95" s="13">
        <f>VLOOKUP($A95,Table1[],25,TRUE)</f>
        <v>0.81</v>
      </c>
    </row>
    <row r="96" spans="1:12" x14ac:dyDescent="0.25">
      <c r="A96" t="s">
        <v>272</v>
      </c>
      <c r="B96" s="18" t="str">
        <f>VLOOKUP(A96,Table1[],3,TRUE)</f>
        <v>Denise Smith</v>
      </c>
      <c r="C96" s="18" t="str">
        <f>VLOOKUP($A96,Table1[],5,TRUE)</f>
        <v>Female</v>
      </c>
      <c r="D96" s="3" t="str">
        <f>VLOOKUP($A96,Table1[],7,TRUE)</f>
        <v>54</v>
      </c>
      <c r="E96" s="3" t="str">
        <f>VLOOKUP($A96,Table1[],8,TRUE)</f>
        <v>China</v>
      </c>
      <c r="F96" s="3" t="str">
        <f>VLOOKUP($A96,Table1[],9,TRUE)</f>
        <v>Mandarin</v>
      </c>
      <c r="G96" s="3" t="str">
        <f>VLOOKUP($A96,Table1[],10,TRUE)</f>
        <v>Machine Learning</v>
      </c>
      <c r="H96" s="13" t="str">
        <f>VLOOKUP($A96,Table1[],12,TRUE)</f>
        <v>17</v>
      </c>
      <c r="I96" s="20">
        <v>20</v>
      </c>
      <c r="J96" s="15">
        <f>VLOOKUP($A96,Table1[],18,TRUE)</f>
        <v>1.7</v>
      </c>
      <c r="K96" s="12" t="str">
        <f>VLOOKUP($A96,Table1[],22,TRUE)</f>
        <v>FALSE</v>
      </c>
      <c r="L96" s="13">
        <f>VLOOKUP($A96,Table1[],25,TRUE)</f>
        <v>0.69</v>
      </c>
    </row>
    <row r="97" spans="1:12" x14ac:dyDescent="0.25">
      <c r="A97" t="s">
        <v>274</v>
      </c>
      <c r="B97" s="18" t="str">
        <f>VLOOKUP(A97,Table1[],3,TRUE)</f>
        <v>Shelby Mcmahon</v>
      </c>
      <c r="C97" s="18" t="str">
        <f>VLOOKUP($A97,Table1[],5,TRUE)</f>
        <v>Female</v>
      </c>
      <c r="D97" s="3" t="str">
        <f>VLOOKUP($A97,Table1[],7,TRUE)</f>
        <v>36</v>
      </c>
      <c r="E97" s="3" t="str">
        <f>VLOOKUP($A97,Table1[],8,TRUE)</f>
        <v>Italy</v>
      </c>
      <c r="F97" s="3" t="str">
        <f>VLOOKUP($A97,Table1[],9,TRUE)</f>
        <v>Italian</v>
      </c>
      <c r="G97" s="3" t="str">
        <f>VLOOKUP($A97,Table1[],10,TRUE)</f>
        <v>UI/UX Design</v>
      </c>
      <c r="H97" s="13" t="str">
        <f>VLOOKUP($A97,Table1[],12,TRUE)</f>
        <v>0</v>
      </c>
      <c r="I97" s="20">
        <v>20</v>
      </c>
      <c r="J97" s="15">
        <f>VLOOKUP($A97,Table1[],18,TRUE)</f>
        <v>1.3</v>
      </c>
      <c r="K97" s="12" t="str">
        <f>VLOOKUP($A97,Table1[],22,TRUE)</f>
        <v>TRUE</v>
      </c>
      <c r="L97" s="13">
        <f>VLOOKUP($A97,Table1[],25,TRUE)</f>
        <v>0.64</v>
      </c>
    </row>
    <row r="98" spans="1:12" x14ac:dyDescent="0.25">
      <c r="A98" t="s">
        <v>276</v>
      </c>
      <c r="B98" s="18" t="str">
        <f>VLOOKUP(A98,Table1[],3,TRUE)</f>
        <v>Bethany Wright</v>
      </c>
      <c r="C98" s="18" t="str">
        <f>VLOOKUP($A98,Table1[],5,TRUE)</f>
        <v>Female</v>
      </c>
      <c r="D98" s="3" t="str">
        <f>VLOOKUP($A98,Table1[],7,TRUE)</f>
        <v>49</v>
      </c>
      <c r="E98" s="3" t="str">
        <f>VLOOKUP($A98,Table1[],8,TRUE)</f>
        <v>Spain</v>
      </c>
      <c r="F98" s="3" t="str">
        <f>VLOOKUP($A98,Table1[],9,TRUE)</f>
        <v>Spanish</v>
      </c>
      <c r="G98" s="3" t="str">
        <f>VLOOKUP($A98,Table1[],10,TRUE)</f>
        <v>Cybersecurity</v>
      </c>
      <c r="H98" s="13" t="str">
        <f>VLOOKUP($A98,Table1[],12,TRUE)</f>
        <v>25</v>
      </c>
      <c r="I98" s="20">
        <v>50</v>
      </c>
      <c r="J98" s="15">
        <f>VLOOKUP($A98,Table1[],18,TRUE)</f>
        <v>5</v>
      </c>
      <c r="K98" s="12" t="str">
        <f>VLOOKUP($A98,Table1[],22,TRUE)</f>
        <v>FALSE</v>
      </c>
      <c r="L98" s="13">
        <f>VLOOKUP($A98,Table1[],25,TRUE)</f>
        <v>0.77</v>
      </c>
    </row>
    <row r="99" spans="1:12" x14ac:dyDescent="0.25">
      <c r="A99" t="s">
        <v>278</v>
      </c>
      <c r="B99" s="18" t="str">
        <f>VLOOKUP(A99,Table1[],3,TRUE)</f>
        <v>David Ortiz</v>
      </c>
      <c r="C99" s="18" t="str">
        <f>VLOOKUP($A99,Table1[],5,TRUE)</f>
        <v>Male</v>
      </c>
      <c r="D99" s="3" t="str">
        <f>VLOOKUP($A99,Table1[],7,TRUE)</f>
        <v>37</v>
      </c>
      <c r="E99" s="3" t="str">
        <f>VLOOKUP($A99,Table1[],8,TRUE)</f>
        <v>United States</v>
      </c>
      <c r="F99" s="3" t="str">
        <f>VLOOKUP($A99,Table1[],9,TRUE)</f>
        <v>English</v>
      </c>
      <c r="G99" s="3" t="str">
        <f>VLOOKUP($A99,Table1[],10,TRUE)</f>
        <v>Blockchain Development</v>
      </c>
      <c r="H99" s="13" t="str">
        <f>VLOOKUP($A99,Table1[],12,TRUE)</f>
        <v>17</v>
      </c>
      <c r="I99" s="20">
        <v>20</v>
      </c>
      <c r="J99" s="15">
        <f>VLOOKUP($A99,Table1[],18,TRUE)</f>
        <v>3.3</v>
      </c>
      <c r="K99" s="12" t="str">
        <f>VLOOKUP($A99,Table1[],22,TRUE)</f>
        <v>FALSE</v>
      </c>
      <c r="L99" s="13">
        <f>VLOOKUP($A99,Table1[],25,TRUE)</f>
        <v>0.96</v>
      </c>
    </row>
    <row r="100" spans="1:12" x14ac:dyDescent="0.25">
      <c r="A100" t="s">
        <v>280</v>
      </c>
      <c r="B100" s="18" t="str">
        <f>VLOOKUP(A100,Table1[],3,TRUE)</f>
        <v>Andrew Lynch</v>
      </c>
      <c r="C100" s="18" t="str">
        <f>VLOOKUP($A100,Table1[],5,TRUE)</f>
        <v>Male</v>
      </c>
      <c r="D100" s="3" t="str">
        <f>VLOOKUP($A100,Table1[],7,TRUE)</f>
        <v>Unknown</v>
      </c>
      <c r="E100" s="3" t="str">
        <f>VLOOKUP($A100,Table1[],8,TRUE)</f>
        <v>United States</v>
      </c>
      <c r="F100" s="3" t="str">
        <f>VLOOKUP($A100,Table1[],9,TRUE)</f>
        <v>English</v>
      </c>
      <c r="G100" s="3" t="str">
        <f>VLOOKUP($A100,Table1[],10,TRUE)</f>
        <v>UI/UX Design</v>
      </c>
      <c r="H100" s="13" t="str">
        <f>VLOOKUP($A100,Table1[],12,TRUE)</f>
        <v>5</v>
      </c>
      <c r="I100" s="20">
        <v>20</v>
      </c>
      <c r="J100" s="15">
        <f>VLOOKUP($A100,Table1[],18,TRUE)</f>
        <v>1.1000000000000001</v>
      </c>
      <c r="K100" s="12" t="str">
        <f>VLOOKUP($A100,Table1[],22,TRUE)</f>
        <v>FALSE</v>
      </c>
      <c r="L100" s="13">
        <f>VLOOKUP($A100,Table1[],25,TRUE)</f>
        <v>0.74</v>
      </c>
    </row>
    <row r="101" spans="1:12" x14ac:dyDescent="0.25">
      <c r="A101" t="s">
        <v>282</v>
      </c>
      <c r="B101" s="18" t="str">
        <f>VLOOKUP(A101,Table1[],3,TRUE)</f>
        <v>Kristopher Meyers</v>
      </c>
      <c r="C101" s="18" t="str">
        <f>VLOOKUP($A101,Table1[],5,TRUE)</f>
        <v>Male</v>
      </c>
      <c r="D101" s="3" t="str">
        <f>VLOOKUP($A101,Table1[],7,TRUE)</f>
        <v>32</v>
      </c>
      <c r="E101" s="3" t="str">
        <f>VLOOKUP($A101,Table1[],8,TRUE)</f>
        <v>Egypt</v>
      </c>
      <c r="F101" s="3" t="str">
        <f>VLOOKUP($A101,Table1[],9,TRUE)</f>
        <v>Arabic</v>
      </c>
      <c r="G101" s="3" t="str">
        <f>VLOOKUP($A101,Table1[],10,TRUE)</f>
        <v>UI/UX Design</v>
      </c>
      <c r="H101" s="13" t="str">
        <f>VLOOKUP($A101,Table1[],12,TRUE)</f>
        <v>10</v>
      </c>
      <c r="I101" s="20">
        <v>50</v>
      </c>
      <c r="J101" s="15">
        <f>VLOOKUP($A101,Table1[],18,TRUE)</f>
        <v>1.2</v>
      </c>
      <c r="K101" s="12" t="str">
        <f>VLOOKUP($A101,Table1[],22,TRUE)</f>
        <v>TRUE</v>
      </c>
      <c r="L101" s="13">
        <f>VLOOKUP($A101,Table1[],25,TRUE)</f>
        <v>0.89</v>
      </c>
    </row>
    <row r="102" spans="1:12" x14ac:dyDescent="0.25">
      <c r="A102" t="s">
        <v>284</v>
      </c>
      <c r="B102" s="18" t="str">
        <f>VLOOKUP(A102,Table1[],3,TRUE)</f>
        <v>Thomas Roth</v>
      </c>
      <c r="C102" s="18" t="str">
        <f>VLOOKUP($A102,Table1[],5,TRUE)</f>
        <v>Male</v>
      </c>
      <c r="D102" s="3" t="str">
        <f>VLOOKUP($A102,Table1[],7,TRUE)</f>
        <v>35</v>
      </c>
      <c r="E102" s="3" t="str">
        <f>VLOOKUP($A102,Table1[],8,TRUE)</f>
        <v>India</v>
      </c>
      <c r="F102" s="3" t="str">
        <f>VLOOKUP($A102,Table1[],9,TRUE)</f>
        <v>Hindi</v>
      </c>
      <c r="G102" s="3" t="str">
        <f>VLOOKUP($A102,Table1[],10,TRUE)</f>
        <v>Mobile Apps</v>
      </c>
      <c r="H102" s="13" t="str">
        <f>VLOOKUP($A102,Table1[],12,TRUE)</f>
        <v>0</v>
      </c>
      <c r="I102" s="20">
        <v>50</v>
      </c>
      <c r="J102" s="15">
        <f>VLOOKUP($A102,Table1[],18,TRUE)</f>
        <v>2</v>
      </c>
      <c r="K102" s="12" t="str">
        <f>VLOOKUP($A102,Table1[],22,TRUE)</f>
        <v>TRUE</v>
      </c>
      <c r="L102" s="13">
        <f>VLOOKUP($A102,Table1[],25,TRUE)</f>
        <v>0.64</v>
      </c>
    </row>
    <row r="103" spans="1:12" x14ac:dyDescent="0.25">
      <c r="A103" t="s">
        <v>286</v>
      </c>
      <c r="B103" s="18" t="str">
        <f>VLOOKUP(A103,Table1[],3,TRUE)</f>
        <v>Vicki Brown</v>
      </c>
      <c r="C103" s="18" t="str">
        <f>VLOOKUP($A103,Table1[],5,TRUE)</f>
        <v>Female</v>
      </c>
      <c r="D103" s="3" t="str">
        <f>VLOOKUP($A103,Table1[],7,TRUE)</f>
        <v>51</v>
      </c>
      <c r="E103" s="3" t="str">
        <f>VLOOKUP($A103,Table1[],8,TRUE)</f>
        <v>Russia</v>
      </c>
      <c r="F103" s="3" t="str">
        <f>VLOOKUP($A103,Table1[],9,TRUE)</f>
        <v>Russian</v>
      </c>
      <c r="G103" s="3" t="str">
        <f>VLOOKUP($A103,Table1[],10,TRUE)</f>
        <v>Graphic Design</v>
      </c>
      <c r="H103" s="13" t="str">
        <f>VLOOKUP($A103,Table1[],12,TRUE)</f>
        <v>2</v>
      </c>
      <c r="I103" s="20">
        <v>30</v>
      </c>
      <c r="J103" s="15">
        <f>VLOOKUP($A103,Table1[],18,TRUE)</f>
        <v>4.5</v>
      </c>
      <c r="K103" s="12" t="str">
        <f>VLOOKUP($A103,Table1[],22,TRUE)</f>
        <v>FALSE</v>
      </c>
      <c r="L103" s="13">
        <f>VLOOKUP($A103,Table1[],25,TRUE)</f>
        <v>0.64</v>
      </c>
    </row>
    <row r="104" spans="1:12" x14ac:dyDescent="0.25">
      <c r="A104" t="s">
        <v>288</v>
      </c>
      <c r="B104" s="18" t="str">
        <f>VLOOKUP(A104,Table1[],3,TRUE)</f>
        <v>Stacy Sutton</v>
      </c>
      <c r="C104" s="18" t="str">
        <f>VLOOKUP($A104,Table1[],5,TRUE)</f>
        <v>Female</v>
      </c>
      <c r="D104" s="3" t="str">
        <f>VLOOKUP($A104,Table1[],7,TRUE)</f>
        <v>50</v>
      </c>
      <c r="E104" s="3" t="str">
        <f>VLOOKUP($A104,Table1[],8,TRUE)</f>
        <v>Russia</v>
      </c>
      <c r="F104" s="3" t="str">
        <f>VLOOKUP($A104,Table1[],9,TRUE)</f>
        <v>Russian</v>
      </c>
      <c r="G104" s="3" t="str">
        <f>VLOOKUP($A104,Table1[],10,TRUE)</f>
        <v>DevOps</v>
      </c>
      <c r="H104" s="13" t="str">
        <f>VLOOKUP($A104,Table1[],12,TRUE)</f>
        <v>30</v>
      </c>
      <c r="I104" s="20">
        <v>100</v>
      </c>
      <c r="J104" s="15">
        <f>VLOOKUP($A104,Table1[],18,TRUE)</f>
        <v>3</v>
      </c>
      <c r="K104" s="12" t="str">
        <f>VLOOKUP($A104,Table1[],22,TRUE)</f>
        <v>TRUE</v>
      </c>
      <c r="L104" s="13">
        <f>VLOOKUP($A104,Table1[],25,TRUE)</f>
        <v>0.73</v>
      </c>
    </row>
    <row r="105" spans="1:12" x14ac:dyDescent="0.25">
      <c r="A105" t="s">
        <v>290</v>
      </c>
      <c r="B105" s="18" t="str">
        <f>VLOOKUP(A105,Table1[],3,TRUE)</f>
        <v>Kimberly Holland</v>
      </c>
      <c r="C105" s="18" t="str">
        <f>VLOOKUP($A105,Table1[],5,TRUE)</f>
        <v>Female</v>
      </c>
      <c r="D105" s="3" t="str">
        <f>VLOOKUP($A105,Table1[],7,TRUE)</f>
        <v>21</v>
      </c>
      <c r="E105" s="3" t="str">
        <f>VLOOKUP($A105,Table1[],8,TRUE)</f>
        <v>Turkey</v>
      </c>
      <c r="F105" s="3" t="str">
        <f>VLOOKUP($A105,Table1[],9,TRUE)</f>
        <v>Turkish</v>
      </c>
      <c r="G105" s="3" t="str">
        <f>VLOOKUP($A105,Table1[],10,TRUE)</f>
        <v>Blockchain Development</v>
      </c>
      <c r="H105" s="13" t="str">
        <f>VLOOKUP($A105,Table1[],12,TRUE)</f>
        <v>2</v>
      </c>
      <c r="I105" s="20">
        <v>50</v>
      </c>
      <c r="J105" s="15">
        <f>VLOOKUP($A105,Table1[],18,TRUE)</f>
        <v>4.9000000000000004</v>
      </c>
      <c r="K105" s="12" t="str">
        <f>VLOOKUP($A105,Table1[],22,TRUE)</f>
        <v>TRUE</v>
      </c>
      <c r="L105" s="13">
        <f>VLOOKUP($A105,Table1[],25,TRUE)</f>
        <v>0.68</v>
      </c>
    </row>
    <row r="106" spans="1:12" x14ac:dyDescent="0.25">
      <c r="A106" t="s">
        <v>292</v>
      </c>
      <c r="B106" s="18" t="str">
        <f>VLOOKUP(A106,Table1[],3,TRUE)</f>
        <v>Travis Richardson</v>
      </c>
      <c r="C106" s="18" t="str">
        <f>VLOOKUP($A106,Table1[],5,TRUE)</f>
        <v>Male</v>
      </c>
      <c r="D106" s="3" t="str">
        <f>VLOOKUP($A106,Table1[],7,TRUE)</f>
        <v>25</v>
      </c>
      <c r="E106" s="3" t="str">
        <f>VLOOKUP($A106,Table1[],8,TRUE)</f>
        <v>United States</v>
      </c>
      <c r="F106" s="3" t="str">
        <f>VLOOKUP($A106,Table1[],9,TRUE)</f>
        <v>English</v>
      </c>
      <c r="G106" s="3" t="str">
        <f>VLOOKUP($A106,Table1[],10,TRUE)</f>
        <v>Graphic Design</v>
      </c>
      <c r="H106" s="13" t="str">
        <f>VLOOKUP($A106,Table1[],12,TRUE)</f>
        <v>3</v>
      </c>
      <c r="I106" s="20">
        <v>30</v>
      </c>
      <c r="J106" s="15">
        <f>VLOOKUP($A106,Table1[],18,TRUE)</f>
        <v>2.6</v>
      </c>
      <c r="K106" s="12" t="str">
        <f>VLOOKUP($A106,Table1[],22,TRUE)</f>
        <v>FALSE</v>
      </c>
      <c r="L106" s="13">
        <f>VLOOKUP($A106,Table1[],25,TRUE)</f>
        <v>0.88</v>
      </c>
    </row>
    <row r="107" spans="1:12" x14ac:dyDescent="0.25">
      <c r="A107" t="s">
        <v>294</v>
      </c>
      <c r="B107" s="18" t="str">
        <f>VLOOKUP(A107,Table1[],3,TRUE)</f>
        <v>Jasmin Ho</v>
      </c>
      <c r="C107" s="18" t="str">
        <f>VLOOKUP($A107,Table1[],5,TRUE)</f>
        <v>Female</v>
      </c>
      <c r="D107" s="3" t="str">
        <f>VLOOKUP($A107,Table1[],7,TRUE)</f>
        <v>57</v>
      </c>
      <c r="E107" s="3" t="str">
        <f>VLOOKUP($A107,Table1[],8,TRUE)</f>
        <v>France</v>
      </c>
      <c r="F107" s="3" t="str">
        <f>VLOOKUP($A107,Table1[],9,TRUE)</f>
        <v>French</v>
      </c>
      <c r="G107" s="3" t="str">
        <f>VLOOKUP($A107,Table1[],10,TRUE)</f>
        <v>DevOps</v>
      </c>
      <c r="H107" s="13" t="str">
        <f>VLOOKUP($A107,Table1[],12,TRUE)</f>
        <v>21</v>
      </c>
      <c r="I107" s="20">
        <v>40</v>
      </c>
      <c r="J107" s="15">
        <f>VLOOKUP($A107,Table1[],18,TRUE)</f>
        <v>2.5</v>
      </c>
      <c r="K107" s="12" t="str">
        <f>VLOOKUP($A107,Table1[],22,TRUE)</f>
        <v>FALSE</v>
      </c>
      <c r="L107" s="13">
        <f>VLOOKUP($A107,Table1[],25,TRUE)</f>
        <v>0.77</v>
      </c>
    </row>
    <row r="108" spans="1:12" x14ac:dyDescent="0.25">
      <c r="A108" t="s">
        <v>296</v>
      </c>
      <c r="B108" s="18" t="str">
        <f>VLOOKUP(A108,Table1[],3,TRUE)</f>
        <v>Mark Paul</v>
      </c>
      <c r="C108" s="18" t="str">
        <f>VLOOKUP($A108,Table1[],5,TRUE)</f>
        <v>Male</v>
      </c>
      <c r="D108" s="3" t="str">
        <f>VLOOKUP($A108,Table1[],7,TRUE)</f>
        <v>58</v>
      </c>
      <c r="E108" s="3" t="str">
        <f>VLOOKUP($A108,Table1[],8,TRUE)</f>
        <v>Russia</v>
      </c>
      <c r="F108" s="3" t="str">
        <f>VLOOKUP($A108,Table1[],9,TRUE)</f>
        <v>Russian</v>
      </c>
      <c r="G108" s="3" t="str">
        <f>VLOOKUP($A108,Table1[],10,TRUE)</f>
        <v>Blockchain Development</v>
      </c>
      <c r="H108" s="13" t="str">
        <f>VLOOKUP($A108,Table1[],12,TRUE)</f>
        <v>3</v>
      </c>
      <c r="I108" s="20">
        <v>50</v>
      </c>
      <c r="J108" s="15">
        <f>VLOOKUP($A108,Table1[],18,TRUE)</f>
        <v>0</v>
      </c>
      <c r="K108" s="12" t="str">
        <f>VLOOKUP($A108,Table1[],22,TRUE)</f>
        <v>TRUE</v>
      </c>
      <c r="L108" s="13">
        <f>VLOOKUP($A108,Table1[],25,TRUE)</f>
        <v>0.75</v>
      </c>
    </row>
    <row r="109" spans="1:12" x14ac:dyDescent="0.25">
      <c r="A109" t="s">
        <v>298</v>
      </c>
      <c r="B109" s="18" t="str">
        <f>VLOOKUP(A109,Table1[],3,TRUE)</f>
        <v>Jennifer Lewis</v>
      </c>
      <c r="C109" s="18" t="str">
        <f>VLOOKUP($A109,Table1[],5,TRUE)</f>
        <v>Female</v>
      </c>
      <c r="D109" s="3" t="str">
        <f>VLOOKUP($A109,Table1[],7,TRUE)</f>
        <v>45</v>
      </c>
      <c r="E109" s="3" t="str">
        <f>VLOOKUP($A109,Table1[],8,TRUE)</f>
        <v>Indonesia</v>
      </c>
      <c r="F109" s="3" t="str">
        <f>VLOOKUP($A109,Table1[],9,TRUE)</f>
        <v>Indonesian</v>
      </c>
      <c r="G109" s="3" t="str">
        <f>VLOOKUP($A109,Table1[],10,TRUE)</f>
        <v>Mobile Apps</v>
      </c>
      <c r="H109" s="13" t="str">
        <f>VLOOKUP($A109,Table1[],12,TRUE)</f>
        <v>19</v>
      </c>
      <c r="I109" s="20">
        <v>40</v>
      </c>
      <c r="J109" s="15">
        <f>VLOOKUP($A109,Table1[],18,TRUE)</f>
        <v>2.6</v>
      </c>
      <c r="K109" s="12" t="str">
        <f>VLOOKUP($A109,Table1[],22,TRUE)</f>
        <v>TRUE</v>
      </c>
      <c r="L109" s="13">
        <f>VLOOKUP($A109,Table1[],25,TRUE)</f>
        <v>0.72</v>
      </c>
    </row>
    <row r="110" spans="1:12" x14ac:dyDescent="0.25">
      <c r="A110" t="s">
        <v>300</v>
      </c>
      <c r="B110" s="18" t="str">
        <f>VLOOKUP(A110,Table1[],3,TRUE)</f>
        <v>Elizabeth Lester</v>
      </c>
      <c r="C110" s="18" t="str">
        <f>VLOOKUP($A110,Table1[],5,TRUE)</f>
        <v>Female</v>
      </c>
      <c r="D110" s="3" t="str">
        <f>VLOOKUP($A110,Table1[],7,TRUE)</f>
        <v>23</v>
      </c>
      <c r="E110" s="3" t="str">
        <f>VLOOKUP($A110,Table1[],8,TRUE)</f>
        <v>United States</v>
      </c>
      <c r="F110" s="3" t="str">
        <f>VLOOKUP($A110,Table1[],9,TRUE)</f>
        <v>English</v>
      </c>
      <c r="G110" s="3" t="str">
        <f>VLOOKUP($A110,Table1[],10,TRUE)</f>
        <v>Web Development</v>
      </c>
      <c r="H110" s="13" t="str">
        <f>VLOOKUP($A110,Table1[],12,TRUE)</f>
        <v>0</v>
      </c>
      <c r="I110" s="20">
        <v>20</v>
      </c>
      <c r="J110" s="15">
        <f>VLOOKUP($A110,Table1[],18,TRUE)</f>
        <v>4.7</v>
      </c>
      <c r="K110" s="12" t="str">
        <f>VLOOKUP($A110,Table1[],22,TRUE)</f>
        <v>TRUE</v>
      </c>
      <c r="L110" s="13">
        <f>VLOOKUP($A110,Table1[],25,TRUE)</f>
        <v>0.6</v>
      </c>
    </row>
    <row r="111" spans="1:12" x14ac:dyDescent="0.25">
      <c r="A111" t="s">
        <v>302</v>
      </c>
      <c r="B111" s="18" t="str">
        <f>VLOOKUP(A111,Table1[],3,TRUE)</f>
        <v>Kimberly Griffin</v>
      </c>
      <c r="C111" s="18" t="str">
        <f>VLOOKUP($A111,Table1[],5,TRUE)</f>
        <v>Female</v>
      </c>
      <c r="D111" s="3" t="str">
        <f>VLOOKUP($A111,Table1[],7,TRUE)</f>
        <v>46</v>
      </c>
      <c r="E111" s="3" t="str">
        <f>VLOOKUP($A111,Table1[],8,TRUE)</f>
        <v>United States</v>
      </c>
      <c r="F111" s="3" t="str">
        <f>VLOOKUP($A111,Table1[],9,TRUE)</f>
        <v>English</v>
      </c>
      <c r="G111" s="3" t="str">
        <f>VLOOKUP($A111,Table1[],10,TRUE)</f>
        <v>AI</v>
      </c>
      <c r="H111" s="13" t="str">
        <f>VLOOKUP($A111,Table1[],12,TRUE)</f>
        <v>9</v>
      </c>
      <c r="I111" s="20">
        <v>30</v>
      </c>
      <c r="J111" s="15">
        <f>VLOOKUP($A111,Table1[],18,TRUE)</f>
        <v>3.5</v>
      </c>
      <c r="K111" s="12" t="str">
        <f>VLOOKUP($A111,Table1[],22,TRUE)</f>
        <v>TRUE</v>
      </c>
      <c r="L111" s="13">
        <f>VLOOKUP($A111,Table1[],25,TRUE)</f>
        <v>0.72</v>
      </c>
    </row>
    <row r="112" spans="1:12" x14ac:dyDescent="0.25">
      <c r="A112" t="s">
        <v>304</v>
      </c>
      <c r="B112" s="18" t="str">
        <f>VLOOKUP(A112,Table1[],3,TRUE)</f>
        <v>Tyler Warner</v>
      </c>
      <c r="C112" s="18" t="str">
        <f>VLOOKUP($A112,Table1[],5,TRUE)</f>
        <v>Male</v>
      </c>
      <c r="D112" s="3" t="str">
        <f>VLOOKUP($A112,Table1[],7,TRUE)</f>
        <v>27</v>
      </c>
      <c r="E112" s="3" t="str">
        <f>VLOOKUP($A112,Table1[],8,TRUE)</f>
        <v>Argentina</v>
      </c>
      <c r="F112" s="3" t="str">
        <f>VLOOKUP($A112,Table1[],9,TRUE)</f>
        <v>Spanish</v>
      </c>
      <c r="G112" s="3" t="str">
        <f>VLOOKUP($A112,Table1[],10,TRUE)</f>
        <v>UI/UX Design</v>
      </c>
      <c r="H112" s="13" t="str">
        <f>VLOOKUP($A112,Table1[],12,TRUE)</f>
        <v>5</v>
      </c>
      <c r="I112" s="20">
        <v>30</v>
      </c>
      <c r="J112" s="15">
        <f>VLOOKUP($A112,Table1[],18,TRUE)</f>
        <v>2.6</v>
      </c>
      <c r="K112" s="12" t="str">
        <f>VLOOKUP($A112,Table1[],22,TRUE)</f>
        <v>FALSE</v>
      </c>
      <c r="L112" s="13">
        <f>VLOOKUP($A112,Table1[],25,TRUE)</f>
        <v>0.92</v>
      </c>
    </row>
    <row r="113" spans="1:12" x14ac:dyDescent="0.25">
      <c r="A113" t="s">
        <v>306</v>
      </c>
      <c r="B113" s="18" t="str">
        <f>VLOOKUP(A113,Table1[],3,TRUE)</f>
        <v>Jane Cox</v>
      </c>
      <c r="C113" s="18" t="str">
        <f>VLOOKUP($A113,Table1[],5,TRUE)</f>
        <v>Female</v>
      </c>
      <c r="D113" s="3" t="str">
        <f>VLOOKUP($A113,Table1[],7,TRUE)</f>
        <v>32</v>
      </c>
      <c r="E113" s="3" t="str">
        <f>VLOOKUP($A113,Table1[],8,TRUE)</f>
        <v>United States</v>
      </c>
      <c r="F113" s="3" t="str">
        <f>VLOOKUP($A113,Table1[],9,TRUE)</f>
        <v>English</v>
      </c>
      <c r="G113" s="3" t="str">
        <f>VLOOKUP($A113,Table1[],10,TRUE)</f>
        <v>Machine Learning</v>
      </c>
      <c r="H113" s="13" t="str">
        <f>VLOOKUP($A113,Table1[],12,TRUE)</f>
        <v>6</v>
      </c>
      <c r="I113" s="20">
        <v>50</v>
      </c>
      <c r="J113" s="15">
        <f>VLOOKUP($A113,Table1[],18,TRUE)</f>
        <v>3.4</v>
      </c>
      <c r="K113" s="12" t="str">
        <f>VLOOKUP($A113,Table1[],22,TRUE)</f>
        <v>TRUE</v>
      </c>
      <c r="L113" s="13">
        <f>VLOOKUP($A113,Table1[],25,TRUE)</f>
        <v>0.75</v>
      </c>
    </row>
    <row r="114" spans="1:12" x14ac:dyDescent="0.25">
      <c r="A114" t="s">
        <v>308</v>
      </c>
      <c r="B114" s="18" t="str">
        <f>VLOOKUP(A114,Table1[],3,TRUE)</f>
        <v>Leah Williams</v>
      </c>
      <c r="C114" s="18" t="str">
        <f>VLOOKUP($A114,Table1[],5,TRUE)</f>
        <v>Female</v>
      </c>
      <c r="D114" s="3" t="str">
        <f>VLOOKUP($A114,Table1[],7,TRUE)</f>
        <v>48</v>
      </c>
      <c r="E114" s="3" t="str">
        <f>VLOOKUP($A114,Table1[],8,TRUE)</f>
        <v>Argentina</v>
      </c>
      <c r="F114" s="3" t="str">
        <f>VLOOKUP($A114,Table1[],9,TRUE)</f>
        <v>Spanish</v>
      </c>
      <c r="G114" s="3" t="str">
        <f>VLOOKUP($A114,Table1[],10,TRUE)</f>
        <v>Machine Learning</v>
      </c>
      <c r="H114" s="13" t="str">
        <f>VLOOKUP($A114,Table1[],12,TRUE)</f>
        <v>6</v>
      </c>
      <c r="I114" s="20">
        <v>75</v>
      </c>
      <c r="J114" s="15">
        <f>VLOOKUP($A114,Table1[],18,TRUE)</f>
        <v>2.5</v>
      </c>
      <c r="K114" s="12" t="str">
        <f>VLOOKUP($A114,Table1[],22,TRUE)</f>
        <v>TRUE</v>
      </c>
      <c r="L114" s="13">
        <f>VLOOKUP($A114,Table1[],25,TRUE)</f>
        <v>0.92</v>
      </c>
    </row>
    <row r="115" spans="1:12" x14ac:dyDescent="0.25">
      <c r="A115" t="s">
        <v>310</v>
      </c>
      <c r="B115" s="18" t="str">
        <f>VLOOKUP(A115,Table1[],3,TRUE)</f>
        <v>Kevin Wong</v>
      </c>
      <c r="C115" s="18" t="str">
        <f>VLOOKUP($A115,Table1[],5,TRUE)</f>
        <v>Male</v>
      </c>
      <c r="D115" s="3" t="str">
        <f>VLOOKUP($A115,Table1[],7,TRUE)</f>
        <v>30</v>
      </c>
      <c r="E115" s="3" t="str">
        <f>VLOOKUP($A115,Table1[],8,TRUE)</f>
        <v>Turkey</v>
      </c>
      <c r="F115" s="3" t="str">
        <f>VLOOKUP($A115,Table1[],9,TRUE)</f>
        <v>Turkish</v>
      </c>
      <c r="G115" s="3" t="str">
        <f>VLOOKUP($A115,Table1[],10,TRUE)</f>
        <v>Mobile Apps</v>
      </c>
      <c r="H115" s="13" t="str">
        <f>VLOOKUP($A115,Table1[],12,TRUE)</f>
        <v>3</v>
      </c>
      <c r="I115" s="20">
        <v>30</v>
      </c>
      <c r="J115" s="15">
        <f>VLOOKUP($A115,Table1[],18,TRUE)</f>
        <v>1.1000000000000001</v>
      </c>
      <c r="K115" s="12" t="str">
        <f>VLOOKUP($A115,Table1[],22,TRUE)</f>
        <v>TRUE</v>
      </c>
      <c r="L115" s="13">
        <f>VLOOKUP($A115,Table1[],25,TRUE)</f>
        <v>0.75</v>
      </c>
    </row>
    <row r="116" spans="1:12" x14ac:dyDescent="0.25">
      <c r="A116" t="s">
        <v>312</v>
      </c>
      <c r="B116" s="18" t="str">
        <f>VLOOKUP(A116,Table1[],3,TRUE)</f>
        <v>Robert Andrews</v>
      </c>
      <c r="C116" s="18" t="str">
        <f>VLOOKUP($A116,Table1[],5,TRUE)</f>
        <v>Male</v>
      </c>
      <c r="D116" s="3" t="str">
        <f>VLOOKUP($A116,Table1[],7,TRUE)</f>
        <v>59</v>
      </c>
      <c r="E116" s="3" t="str">
        <f>VLOOKUP($A116,Table1[],8,TRUE)</f>
        <v>Turkey</v>
      </c>
      <c r="F116" s="3" t="str">
        <f>VLOOKUP($A116,Table1[],9,TRUE)</f>
        <v>Turkish</v>
      </c>
      <c r="G116" s="3" t="str">
        <f>VLOOKUP($A116,Table1[],10,TRUE)</f>
        <v>AI</v>
      </c>
      <c r="H116" s="13" t="str">
        <f>VLOOKUP($A116,Table1[],12,TRUE)</f>
        <v>13</v>
      </c>
      <c r="I116" s="20">
        <v>20</v>
      </c>
      <c r="J116" s="15">
        <f>VLOOKUP($A116,Table1[],18,TRUE)</f>
        <v>4.8</v>
      </c>
      <c r="K116" s="12" t="str">
        <f>VLOOKUP($A116,Table1[],22,TRUE)</f>
        <v>TRUE</v>
      </c>
      <c r="L116" s="13">
        <f>VLOOKUP($A116,Table1[],25,TRUE)</f>
        <v>0.75</v>
      </c>
    </row>
    <row r="117" spans="1:12" x14ac:dyDescent="0.25">
      <c r="A117" t="s">
        <v>315</v>
      </c>
      <c r="B117" s="18" t="str">
        <f>VLOOKUP(A117,Table1[],3,TRUE)</f>
        <v>Jessica Torres</v>
      </c>
      <c r="C117" s="18" t="str">
        <f>VLOOKUP($A117,Table1[],5,TRUE)</f>
        <v>Female</v>
      </c>
      <c r="D117" s="3" t="str">
        <f>VLOOKUP($A117,Table1[],7,TRUE)</f>
        <v>32</v>
      </c>
      <c r="E117" s="3" t="str">
        <f>VLOOKUP($A117,Table1[],8,TRUE)</f>
        <v>Mexico</v>
      </c>
      <c r="F117" s="3" t="str">
        <f>VLOOKUP($A117,Table1[],9,TRUE)</f>
        <v>Spanish</v>
      </c>
      <c r="G117" s="3" t="str">
        <f>VLOOKUP($A117,Table1[],10,TRUE)</f>
        <v>AI</v>
      </c>
      <c r="H117" s="13" t="str">
        <f>VLOOKUP($A117,Table1[],12,TRUE)</f>
        <v>5</v>
      </c>
      <c r="I117" s="20">
        <v>30</v>
      </c>
      <c r="J117" s="15">
        <f>VLOOKUP($A117,Table1[],18,TRUE)</f>
        <v>2.6</v>
      </c>
      <c r="K117" s="12" t="str">
        <f>VLOOKUP($A117,Table1[],22,TRUE)</f>
        <v>FALSE</v>
      </c>
      <c r="L117" s="13">
        <f>VLOOKUP($A117,Table1[],25,TRUE)</f>
        <v>0.86</v>
      </c>
    </row>
    <row r="118" spans="1:12" x14ac:dyDescent="0.25">
      <c r="A118" t="s">
        <v>317</v>
      </c>
      <c r="B118" s="18" t="str">
        <f>VLOOKUP(A118,Table1[],3,TRUE)</f>
        <v>Teresa Kim</v>
      </c>
      <c r="C118" s="18" t="str">
        <f>VLOOKUP($A118,Table1[],5,TRUE)</f>
        <v>Female</v>
      </c>
      <c r="D118" s="3" t="str">
        <f>VLOOKUP($A118,Table1[],7,TRUE)</f>
        <v>57</v>
      </c>
      <c r="E118" s="3" t="str">
        <f>VLOOKUP($A118,Table1[],8,TRUE)</f>
        <v>Egypt</v>
      </c>
      <c r="F118" s="3" t="str">
        <f>VLOOKUP($A118,Table1[],9,TRUE)</f>
        <v>Arabic</v>
      </c>
      <c r="G118" s="3" t="str">
        <f>VLOOKUP($A118,Table1[],10,TRUE)</f>
        <v>UI/UX Design</v>
      </c>
      <c r="H118" s="13" t="str">
        <f>VLOOKUP($A118,Table1[],12,TRUE)</f>
        <v>4</v>
      </c>
      <c r="I118" s="20">
        <v>40</v>
      </c>
      <c r="J118" s="15">
        <f>VLOOKUP($A118,Table1[],18,TRUE)</f>
        <v>3.4</v>
      </c>
      <c r="K118" s="12" t="str">
        <f>VLOOKUP($A118,Table1[],22,TRUE)</f>
        <v>TRUE</v>
      </c>
      <c r="L118" s="13">
        <f>VLOOKUP($A118,Table1[],25,TRUE)</f>
        <v>0.68</v>
      </c>
    </row>
    <row r="119" spans="1:12" x14ac:dyDescent="0.25">
      <c r="A119" t="s">
        <v>319</v>
      </c>
      <c r="B119" s="18" t="str">
        <f>VLOOKUP(A119,Table1[],3,TRUE)</f>
        <v>Jon Morgan</v>
      </c>
      <c r="C119" s="18" t="str">
        <f>VLOOKUP($A119,Table1[],5,TRUE)</f>
        <v>Male</v>
      </c>
      <c r="D119" s="3" t="str">
        <f>VLOOKUP($A119,Table1[],7,TRUE)</f>
        <v>27</v>
      </c>
      <c r="E119" s="3" t="str">
        <f>VLOOKUP($A119,Table1[],8,TRUE)</f>
        <v>Australia</v>
      </c>
      <c r="F119" s="3" t="str">
        <f>VLOOKUP($A119,Table1[],9,TRUE)</f>
        <v>English</v>
      </c>
      <c r="G119" s="3" t="str">
        <f>VLOOKUP($A119,Table1[],10,TRUE)</f>
        <v>Machine Learning</v>
      </c>
      <c r="H119" s="13" t="str">
        <f>VLOOKUP($A119,Table1[],12,TRUE)</f>
        <v>7</v>
      </c>
      <c r="I119" s="20">
        <v>20</v>
      </c>
      <c r="J119" s="15">
        <f>VLOOKUP($A119,Table1[],18,TRUE)</f>
        <v>3.2</v>
      </c>
      <c r="K119" s="12" t="str">
        <f>VLOOKUP($A119,Table1[],22,TRUE)</f>
        <v>TRUE</v>
      </c>
      <c r="L119" s="13">
        <f>VLOOKUP($A119,Table1[],25,TRUE)</f>
        <v>0.62</v>
      </c>
    </row>
    <row r="120" spans="1:12" x14ac:dyDescent="0.25">
      <c r="A120" t="s">
        <v>321</v>
      </c>
      <c r="B120" s="18" t="str">
        <f>VLOOKUP(A120,Table1[],3,TRUE)</f>
        <v>Gloria Chaney</v>
      </c>
      <c r="C120" s="18" t="str">
        <f>VLOOKUP($A120,Table1[],5,TRUE)</f>
        <v>Female</v>
      </c>
      <c r="D120" s="3" t="str">
        <f>VLOOKUP($A120,Table1[],7,TRUE)</f>
        <v>33</v>
      </c>
      <c r="E120" s="3" t="str">
        <f>VLOOKUP($A120,Table1[],8,TRUE)</f>
        <v>Indonesia</v>
      </c>
      <c r="F120" s="3" t="str">
        <f>VLOOKUP($A120,Table1[],9,TRUE)</f>
        <v>Indonesian</v>
      </c>
      <c r="G120" s="3" t="str">
        <f>VLOOKUP($A120,Table1[],10,TRUE)</f>
        <v>Machine Learning</v>
      </c>
      <c r="H120" s="13" t="str">
        <f>VLOOKUP($A120,Table1[],12,TRUE)</f>
        <v>13</v>
      </c>
      <c r="I120" s="20">
        <v>20</v>
      </c>
      <c r="J120" s="15">
        <f>VLOOKUP($A120,Table1[],18,TRUE)</f>
        <v>3.2</v>
      </c>
      <c r="K120" s="12" t="str">
        <f>VLOOKUP($A120,Table1[],22,TRUE)</f>
        <v>TRUE</v>
      </c>
      <c r="L120" s="13">
        <f>VLOOKUP($A120,Table1[],25,TRUE)</f>
        <v>0.75</v>
      </c>
    </row>
    <row r="121" spans="1:12" x14ac:dyDescent="0.25">
      <c r="A121" t="s">
        <v>323</v>
      </c>
      <c r="B121" s="18" t="str">
        <f>VLOOKUP(A121,Table1[],3,TRUE)</f>
        <v>Jesse Campbell</v>
      </c>
      <c r="C121" s="18" t="str">
        <f>VLOOKUP($A121,Table1[],5,TRUE)</f>
        <v>Male</v>
      </c>
      <c r="D121" s="3" t="str">
        <f>VLOOKUP($A121,Table1[],7,TRUE)</f>
        <v>29</v>
      </c>
      <c r="E121" s="3" t="str">
        <f>VLOOKUP($A121,Table1[],8,TRUE)</f>
        <v>South Korea</v>
      </c>
      <c r="F121" s="3" t="str">
        <f>VLOOKUP($A121,Table1[],9,TRUE)</f>
        <v>Korean</v>
      </c>
      <c r="G121" s="3" t="str">
        <f>VLOOKUP($A121,Table1[],10,TRUE)</f>
        <v>Data Analysis</v>
      </c>
      <c r="H121" s="13" t="str">
        <f>VLOOKUP($A121,Table1[],12,TRUE)</f>
        <v>4</v>
      </c>
      <c r="I121" s="20">
        <v>30</v>
      </c>
      <c r="J121" s="15">
        <f>VLOOKUP($A121,Table1[],18,TRUE)</f>
        <v>0</v>
      </c>
      <c r="K121" s="12" t="str">
        <f>VLOOKUP($A121,Table1[],22,TRUE)</f>
        <v>TRUE</v>
      </c>
      <c r="L121" s="13">
        <f>VLOOKUP($A121,Table1[],25,TRUE)</f>
        <v>0.82</v>
      </c>
    </row>
    <row r="122" spans="1:12" x14ac:dyDescent="0.25">
      <c r="A122" t="s">
        <v>325</v>
      </c>
      <c r="B122" s="18" t="str">
        <f>VLOOKUP(A122,Table1[],3,TRUE)</f>
        <v>Allison Tucker Md</v>
      </c>
      <c r="C122" s="18" t="str">
        <f>VLOOKUP($A122,Table1[],5,TRUE)</f>
        <v>Female</v>
      </c>
      <c r="D122" s="3" t="str">
        <f>VLOOKUP($A122,Table1[],7,TRUE)</f>
        <v>36</v>
      </c>
      <c r="E122" s="3" t="str">
        <f>VLOOKUP($A122,Table1[],8,TRUE)</f>
        <v>Indonesia</v>
      </c>
      <c r="F122" s="3" t="str">
        <f>VLOOKUP($A122,Table1[],9,TRUE)</f>
        <v>Indonesian</v>
      </c>
      <c r="G122" s="3" t="str">
        <f>VLOOKUP($A122,Table1[],10,TRUE)</f>
        <v>UI/UX Design</v>
      </c>
      <c r="H122" s="13" t="str">
        <f>VLOOKUP($A122,Table1[],12,TRUE)</f>
        <v>13</v>
      </c>
      <c r="I122" s="20">
        <v>75</v>
      </c>
      <c r="J122" s="15">
        <f>VLOOKUP($A122,Table1[],18,TRUE)</f>
        <v>2.6</v>
      </c>
      <c r="K122" s="12" t="str">
        <f>VLOOKUP($A122,Table1[],22,TRUE)</f>
        <v>TRUE</v>
      </c>
      <c r="L122" s="13">
        <f>VLOOKUP($A122,Table1[],25,TRUE)</f>
        <v>0.75</v>
      </c>
    </row>
    <row r="123" spans="1:12" x14ac:dyDescent="0.25">
      <c r="A123" t="s">
        <v>327</v>
      </c>
      <c r="B123" s="18" t="str">
        <f>VLOOKUP(A123,Table1[],3,TRUE)</f>
        <v>Candice Petersen</v>
      </c>
      <c r="C123" s="18" t="str">
        <f>VLOOKUP($A123,Table1[],5,TRUE)</f>
        <v>Female</v>
      </c>
      <c r="D123" s="3" t="str">
        <f>VLOOKUP($A123,Table1[],7,TRUE)</f>
        <v>47</v>
      </c>
      <c r="E123" s="3" t="str">
        <f>VLOOKUP($A123,Table1[],8,TRUE)</f>
        <v>Italy</v>
      </c>
      <c r="F123" s="3" t="str">
        <f>VLOOKUP($A123,Table1[],9,TRUE)</f>
        <v>Italian</v>
      </c>
      <c r="G123" s="3" t="str">
        <f>VLOOKUP($A123,Table1[],10,TRUE)</f>
        <v>DevOps</v>
      </c>
      <c r="H123" s="13" t="str">
        <f>VLOOKUP($A123,Table1[],12,TRUE)</f>
        <v>5</v>
      </c>
      <c r="I123" s="20">
        <v>40</v>
      </c>
      <c r="J123" s="15">
        <f>VLOOKUP($A123,Table1[],18,TRUE)</f>
        <v>3.7</v>
      </c>
      <c r="K123" s="12" t="str">
        <f>VLOOKUP($A123,Table1[],22,TRUE)</f>
        <v>TRUE</v>
      </c>
      <c r="L123" s="13">
        <f>VLOOKUP($A123,Table1[],25,TRUE)</f>
        <v>0.93</v>
      </c>
    </row>
    <row r="124" spans="1:12" x14ac:dyDescent="0.25">
      <c r="A124" t="s">
        <v>329</v>
      </c>
      <c r="B124" s="18" t="str">
        <f>VLOOKUP(A124,Table1[],3,TRUE)</f>
        <v>Christopher Nichols</v>
      </c>
      <c r="C124" s="18" t="str">
        <f>VLOOKUP($A124,Table1[],5,TRUE)</f>
        <v>Male</v>
      </c>
      <c r="D124" s="3" t="str">
        <f>VLOOKUP($A124,Table1[],7,TRUE)</f>
        <v>48</v>
      </c>
      <c r="E124" s="3" t="str">
        <f>VLOOKUP($A124,Table1[],8,TRUE)</f>
        <v>Canada</v>
      </c>
      <c r="F124" s="3" t="str">
        <f>VLOOKUP($A124,Table1[],9,TRUE)</f>
        <v>English</v>
      </c>
      <c r="G124" s="3" t="str">
        <f>VLOOKUP($A124,Table1[],10,TRUE)</f>
        <v>Machine Learning</v>
      </c>
      <c r="H124" s="13" t="str">
        <f>VLOOKUP($A124,Table1[],12,TRUE)</f>
        <v>15</v>
      </c>
      <c r="I124" s="20">
        <v>50</v>
      </c>
      <c r="J124" s="15">
        <f>VLOOKUP($A124,Table1[],18,TRUE)</f>
        <v>1</v>
      </c>
      <c r="K124" s="12" t="str">
        <f>VLOOKUP($A124,Table1[],22,TRUE)</f>
        <v>TRUE</v>
      </c>
      <c r="L124" s="13">
        <f>VLOOKUP($A124,Table1[],25,TRUE)</f>
        <v>0.64</v>
      </c>
    </row>
    <row r="125" spans="1:12" x14ac:dyDescent="0.25">
      <c r="A125" t="s">
        <v>331</v>
      </c>
      <c r="B125" s="18" t="str">
        <f>VLOOKUP(A125,Table1[],3,TRUE)</f>
        <v>Debra Garcia</v>
      </c>
      <c r="C125" s="18" t="str">
        <f>VLOOKUP($A125,Table1[],5,TRUE)</f>
        <v>Female</v>
      </c>
      <c r="D125" s="3" t="str">
        <f>VLOOKUP($A125,Table1[],7,TRUE)</f>
        <v>27</v>
      </c>
      <c r="E125" s="3" t="str">
        <f>VLOOKUP($A125,Table1[],8,TRUE)</f>
        <v>China</v>
      </c>
      <c r="F125" s="3" t="str">
        <f>VLOOKUP($A125,Table1[],9,TRUE)</f>
        <v>Mandarin</v>
      </c>
      <c r="G125" s="3" t="str">
        <f>VLOOKUP($A125,Table1[],10,TRUE)</f>
        <v>UI/UX Design</v>
      </c>
      <c r="H125" s="13" t="str">
        <f>VLOOKUP($A125,Table1[],12,TRUE)</f>
        <v>8</v>
      </c>
      <c r="I125" s="20">
        <v>50</v>
      </c>
      <c r="J125" s="15">
        <f>VLOOKUP($A125,Table1[],18,TRUE)</f>
        <v>0</v>
      </c>
      <c r="K125" s="12" t="str">
        <f>VLOOKUP($A125,Table1[],22,TRUE)</f>
        <v>TRUE</v>
      </c>
      <c r="L125" s="13">
        <f>VLOOKUP($A125,Table1[],25,TRUE)</f>
        <v>0.75</v>
      </c>
    </row>
    <row r="126" spans="1:12" x14ac:dyDescent="0.25">
      <c r="A126" t="s">
        <v>333</v>
      </c>
      <c r="B126" s="18" t="str">
        <f>VLOOKUP(A126,Table1[],3,TRUE)</f>
        <v>Andrew Fuentes</v>
      </c>
      <c r="C126" s="18" t="str">
        <f>VLOOKUP($A126,Table1[],5,TRUE)</f>
        <v>Male</v>
      </c>
      <c r="D126" s="3" t="str">
        <f>VLOOKUP($A126,Table1[],7,TRUE)</f>
        <v>34</v>
      </c>
      <c r="E126" s="3" t="str">
        <f>VLOOKUP($A126,Table1[],8,TRUE)</f>
        <v>Australia</v>
      </c>
      <c r="F126" s="3" t="str">
        <f>VLOOKUP($A126,Table1[],9,TRUE)</f>
        <v>English</v>
      </c>
      <c r="G126" s="3" t="str">
        <f>VLOOKUP($A126,Table1[],10,TRUE)</f>
        <v>Web Development</v>
      </c>
      <c r="H126" s="13" t="str">
        <f>VLOOKUP($A126,Table1[],12,TRUE)</f>
        <v>10</v>
      </c>
      <c r="I126" s="20">
        <v>50</v>
      </c>
      <c r="J126" s="15">
        <f>VLOOKUP($A126,Table1[],18,TRUE)</f>
        <v>1.7</v>
      </c>
      <c r="K126" s="12" t="str">
        <f>VLOOKUP($A126,Table1[],22,TRUE)</f>
        <v>FALSE</v>
      </c>
      <c r="L126" s="13">
        <f>VLOOKUP($A126,Table1[],25,TRUE)</f>
        <v>0.96</v>
      </c>
    </row>
    <row r="127" spans="1:12" x14ac:dyDescent="0.25">
      <c r="A127" t="s">
        <v>335</v>
      </c>
      <c r="B127" s="18" t="str">
        <f>VLOOKUP(A127,Table1[],3,TRUE)</f>
        <v>Jason Carter</v>
      </c>
      <c r="C127" s="18" t="str">
        <f>VLOOKUP($A127,Table1[],5,TRUE)</f>
        <v>Male</v>
      </c>
      <c r="D127" s="3" t="str">
        <f>VLOOKUP($A127,Table1[],7,TRUE)</f>
        <v>49</v>
      </c>
      <c r="E127" s="3" t="str">
        <f>VLOOKUP($A127,Table1[],8,TRUE)</f>
        <v>South Korea</v>
      </c>
      <c r="F127" s="3" t="str">
        <f>VLOOKUP($A127,Table1[],9,TRUE)</f>
        <v>Korean</v>
      </c>
      <c r="G127" s="3" t="str">
        <f>VLOOKUP($A127,Table1[],10,TRUE)</f>
        <v>Data Analysis</v>
      </c>
      <c r="H127" s="13" t="str">
        <f>VLOOKUP($A127,Table1[],12,TRUE)</f>
        <v>19</v>
      </c>
      <c r="I127" s="20">
        <v>50</v>
      </c>
      <c r="J127" s="15">
        <f>VLOOKUP($A127,Table1[],18,TRUE)</f>
        <v>5</v>
      </c>
      <c r="K127" s="12" t="str">
        <f>VLOOKUP($A127,Table1[],22,TRUE)</f>
        <v>TRUE</v>
      </c>
      <c r="L127" s="13">
        <f>VLOOKUP($A127,Table1[],25,TRUE)</f>
        <v>0.83</v>
      </c>
    </row>
    <row r="128" spans="1:12" x14ac:dyDescent="0.25">
      <c r="A128" t="s">
        <v>337</v>
      </c>
      <c r="B128" s="18" t="str">
        <f>VLOOKUP(A128,Table1[],3,TRUE)</f>
        <v>Austin Romero</v>
      </c>
      <c r="C128" s="18" t="str">
        <f>VLOOKUP($A128,Table1[],5,TRUE)</f>
        <v>Male</v>
      </c>
      <c r="D128" s="3" t="str">
        <f>VLOOKUP($A128,Table1[],7,TRUE)</f>
        <v>30</v>
      </c>
      <c r="E128" s="3" t="str">
        <f>VLOOKUP($A128,Table1[],8,TRUE)</f>
        <v>Brazil</v>
      </c>
      <c r="F128" s="3" t="str">
        <f>VLOOKUP($A128,Table1[],9,TRUE)</f>
        <v>Portuguese</v>
      </c>
      <c r="G128" s="3" t="str">
        <f>VLOOKUP($A128,Table1[],10,TRUE)</f>
        <v>Mobile Apps</v>
      </c>
      <c r="H128" s="13" t="str">
        <f>VLOOKUP($A128,Table1[],12,TRUE)</f>
        <v>10</v>
      </c>
      <c r="I128" s="20">
        <v>100</v>
      </c>
      <c r="J128" s="15">
        <f>VLOOKUP($A128,Table1[],18,TRUE)</f>
        <v>1.7</v>
      </c>
      <c r="K128" s="12" t="str">
        <f>VLOOKUP($A128,Table1[],22,TRUE)</f>
        <v>TRUE</v>
      </c>
      <c r="L128" s="13">
        <f>VLOOKUP($A128,Table1[],25,TRUE)</f>
        <v>0.64</v>
      </c>
    </row>
    <row r="129" spans="1:12" x14ac:dyDescent="0.25">
      <c r="A129" t="s">
        <v>339</v>
      </c>
      <c r="B129" s="18" t="str">
        <f>VLOOKUP(A129,Table1[],3,TRUE)</f>
        <v>Clayton Burns</v>
      </c>
      <c r="C129" s="18" t="str">
        <f>VLOOKUP($A129,Table1[],5,TRUE)</f>
        <v>Male</v>
      </c>
      <c r="D129" s="3" t="str">
        <f>VLOOKUP($A129,Table1[],7,TRUE)</f>
        <v>31</v>
      </c>
      <c r="E129" s="3" t="str">
        <f>VLOOKUP($A129,Table1[],8,TRUE)</f>
        <v>Egypt</v>
      </c>
      <c r="F129" s="3" t="str">
        <f>VLOOKUP($A129,Table1[],9,TRUE)</f>
        <v>Arabic</v>
      </c>
      <c r="G129" s="3" t="str">
        <f>VLOOKUP($A129,Table1[],10,TRUE)</f>
        <v>Graphic Design</v>
      </c>
      <c r="H129" s="13" t="str">
        <f>VLOOKUP($A129,Table1[],12,TRUE)</f>
        <v>8</v>
      </c>
      <c r="I129" s="20">
        <v>40</v>
      </c>
      <c r="J129" s="15">
        <f>VLOOKUP($A129,Table1[],18,TRUE)</f>
        <v>4.4000000000000004</v>
      </c>
      <c r="K129" s="12" t="str">
        <f>VLOOKUP($A129,Table1[],22,TRUE)</f>
        <v>FALSE</v>
      </c>
      <c r="L129" s="13">
        <f>VLOOKUP($A129,Table1[],25,TRUE)</f>
        <v>0.7</v>
      </c>
    </row>
    <row r="130" spans="1:12" x14ac:dyDescent="0.25">
      <c r="A130" t="s">
        <v>341</v>
      </c>
      <c r="B130" s="18" t="str">
        <f>VLOOKUP(A130,Table1[],3,TRUE)</f>
        <v>Jonathan Clark</v>
      </c>
      <c r="C130" s="18" t="str">
        <f>VLOOKUP($A130,Table1[],5,TRUE)</f>
        <v>Male</v>
      </c>
      <c r="D130" s="3" t="str">
        <f>VLOOKUP($A130,Table1[],7,TRUE)</f>
        <v>58</v>
      </c>
      <c r="E130" s="3" t="str">
        <f>VLOOKUP($A130,Table1[],8,TRUE)</f>
        <v>China</v>
      </c>
      <c r="F130" s="3" t="str">
        <f>VLOOKUP($A130,Table1[],9,TRUE)</f>
        <v>Mandarin</v>
      </c>
      <c r="G130" s="3" t="str">
        <f>VLOOKUP($A130,Table1[],10,TRUE)</f>
        <v>Machine Learning</v>
      </c>
      <c r="H130" s="13" t="str">
        <f>VLOOKUP($A130,Table1[],12,TRUE)</f>
        <v>9</v>
      </c>
      <c r="I130" s="20">
        <v>20</v>
      </c>
      <c r="J130" s="15">
        <f>VLOOKUP($A130,Table1[],18,TRUE)</f>
        <v>0</v>
      </c>
      <c r="K130" s="12" t="str">
        <f>VLOOKUP($A130,Table1[],22,TRUE)</f>
        <v>FALSE</v>
      </c>
      <c r="L130" s="13">
        <f>VLOOKUP($A130,Table1[],25,TRUE)</f>
        <v>0.65</v>
      </c>
    </row>
    <row r="131" spans="1:12" x14ac:dyDescent="0.25">
      <c r="A131" t="s">
        <v>343</v>
      </c>
      <c r="B131" s="18" t="str">
        <f>VLOOKUP(A131,Table1[],3,TRUE)</f>
        <v>Alexander Griffin</v>
      </c>
      <c r="C131" s="18" t="str">
        <f>VLOOKUP($A131,Table1[],5,TRUE)</f>
        <v>Male</v>
      </c>
      <c r="D131" s="3" t="str">
        <f>VLOOKUP($A131,Table1[],7,TRUE)</f>
        <v>47</v>
      </c>
      <c r="E131" s="3" t="str">
        <f>VLOOKUP($A131,Table1[],8,TRUE)</f>
        <v>France</v>
      </c>
      <c r="F131" s="3" t="str">
        <f>VLOOKUP($A131,Table1[],9,TRUE)</f>
        <v>French</v>
      </c>
      <c r="G131" s="3" t="str">
        <f>VLOOKUP($A131,Table1[],10,TRUE)</f>
        <v>Machine Learning</v>
      </c>
      <c r="H131" s="13" t="str">
        <f>VLOOKUP($A131,Table1[],12,TRUE)</f>
        <v>13</v>
      </c>
      <c r="I131" s="20">
        <v>40</v>
      </c>
      <c r="J131" s="15">
        <f>VLOOKUP($A131,Table1[],18,TRUE)</f>
        <v>3.4</v>
      </c>
      <c r="K131" s="12" t="str">
        <f>VLOOKUP($A131,Table1[],22,TRUE)</f>
        <v>TRUE</v>
      </c>
      <c r="L131" s="13">
        <f>VLOOKUP($A131,Table1[],25,TRUE)</f>
        <v>0.67</v>
      </c>
    </row>
    <row r="132" spans="1:12" x14ac:dyDescent="0.25">
      <c r="A132" t="s">
        <v>345</v>
      </c>
      <c r="B132" s="18" t="str">
        <f>VLOOKUP(A132,Table1[],3,TRUE)</f>
        <v>Shelly Whitehead</v>
      </c>
      <c r="C132" s="18" t="str">
        <f>VLOOKUP($A132,Table1[],5,TRUE)</f>
        <v>Female</v>
      </c>
      <c r="D132" s="3" t="str">
        <f>VLOOKUP($A132,Table1[],7,TRUE)</f>
        <v>45</v>
      </c>
      <c r="E132" s="3" t="str">
        <f>VLOOKUP($A132,Table1[],8,TRUE)</f>
        <v>United Kingdom</v>
      </c>
      <c r="F132" s="3" t="str">
        <f>VLOOKUP($A132,Table1[],9,TRUE)</f>
        <v>English</v>
      </c>
      <c r="G132" s="3" t="str">
        <f>VLOOKUP($A132,Table1[],10,TRUE)</f>
        <v>Cybersecurity</v>
      </c>
      <c r="H132" s="13" t="str">
        <f>VLOOKUP($A132,Table1[],12,TRUE)</f>
        <v>14</v>
      </c>
      <c r="I132" s="20">
        <v>100</v>
      </c>
      <c r="J132" s="15">
        <f>VLOOKUP($A132,Table1[],18,TRUE)</f>
        <v>1.1000000000000001</v>
      </c>
      <c r="K132" s="12" t="str">
        <f>VLOOKUP($A132,Table1[],22,TRUE)</f>
        <v>FALSE</v>
      </c>
      <c r="L132" s="13">
        <f>VLOOKUP($A132,Table1[],25,TRUE)</f>
        <v>0.93</v>
      </c>
    </row>
    <row r="133" spans="1:12" x14ac:dyDescent="0.25">
      <c r="A133" t="s">
        <v>347</v>
      </c>
      <c r="B133" s="18" t="str">
        <f>VLOOKUP(A133,Table1[],3,TRUE)</f>
        <v>Kaitlyn Davis</v>
      </c>
      <c r="C133" s="18" t="str">
        <f>VLOOKUP($A133,Table1[],5,TRUE)</f>
        <v>Female</v>
      </c>
      <c r="D133" s="3" t="str">
        <f>VLOOKUP($A133,Table1[],7,TRUE)</f>
        <v>57</v>
      </c>
      <c r="E133" s="3" t="str">
        <f>VLOOKUP($A133,Table1[],8,TRUE)</f>
        <v>France</v>
      </c>
      <c r="F133" s="3" t="str">
        <f>VLOOKUP($A133,Table1[],9,TRUE)</f>
        <v>French</v>
      </c>
      <c r="G133" s="3" t="str">
        <f>VLOOKUP($A133,Table1[],10,TRUE)</f>
        <v>Machine Learning</v>
      </c>
      <c r="H133" s="13" t="str">
        <f>VLOOKUP($A133,Table1[],12,TRUE)</f>
        <v>0</v>
      </c>
      <c r="I133" s="20">
        <v>50</v>
      </c>
      <c r="J133" s="15">
        <f>VLOOKUP($A133,Table1[],18,TRUE)</f>
        <v>1.6</v>
      </c>
      <c r="K133" s="12" t="str">
        <f>VLOOKUP($A133,Table1[],22,TRUE)</f>
        <v>FALSE</v>
      </c>
      <c r="L133" s="13">
        <f>VLOOKUP($A133,Table1[],25,TRUE)</f>
        <v>0.6</v>
      </c>
    </row>
    <row r="134" spans="1:12" x14ac:dyDescent="0.25">
      <c r="A134" t="s">
        <v>349</v>
      </c>
      <c r="B134" s="18" t="str">
        <f>VLOOKUP(A134,Table1[],3,TRUE)</f>
        <v>Christopher Jones</v>
      </c>
      <c r="C134" s="18" t="str">
        <f>VLOOKUP($A134,Table1[],5,TRUE)</f>
        <v>Male</v>
      </c>
      <c r="D134" s="3" t="str">
        <f>VLOOKUP($A134,Table1[],7,TRUE)</f>
        <v>50</v>
      </c>
      <c r="E134" s="3" t="str">
        <f>VLOOKUP($A134,Table1[],8,TRUE)</f>
        <v>India</v>
      </c>
      <c r="F134" s="3" t="str">
        <f>VLOOKUP($A134,Table1[],9,TRUE)</f>
        <v>Hindi</v>
      </c>
      <c r="G134" s="3" t="str">
        <f>VLOOKUP($A134,Table1[],10,TRUE)</f>
        <v>Web Development</v>
      </c>
      <c r="H134" s="13" t="str">
        <f>VLOOKUP($A134,Table1[],12,TRUE)</f>
        <v>22</v>
      </c>
      <c r="I134" s="20">
        <v>100</v>
      </c>
      <c r="J134" s="15">
        <f>VLOOKUP($A134,Table1[],18,TRUE)</f>
        <v>4.0999999999999996</v>
      </c>
      <c r="K134" s="12" t="str">
        <f>VLOOKUP($A134,Table1[],22,TRUE)</f>
        <v>FALSE</v>
      </c>
      <c r="L134" s="13">
        <f>VLOOKUP($A134,Table1[],25,TRUE)</f>
        <v>0.62</v>
      </c>
    </row>
    <row r="135" spans="1:12" x14ac:dyDescent="0.25">
      <c r="A135" t="s">
        <v>351</v>
      </c>
      <c r="B135" s="18" t="str">
        <f>VLOOKUP(A135,Table1[],3,TRUE)</f>
        <v>Cindy Jacobs</v>
      </c>
      <c r="C135" s="18" t="str">
        <f>VLOOKUP($A135,Table1[],5,TRUE)</f>
        <v>Female</v>
      </c>
      <c r="D135" s="3" t="str">
        <f>VLOOKUP($A135,Table1[],7,TRUE)</f>
        <v>Unknown</v>
      </c>
      <c r="E135" s="3" t="str">
        <f>VLOOKUP($A135,Table1[],8,TRUE)</f>
        <v>Brazil</v>
      </c>
      <c r="F135" s="3" t="str">
        <f>VLOOKUP($A135,Table1[],9,TRUE)</f>
        <v>Portuguese</v>
      </c>
      <c r="G135" s="3" t="str">
        <f>VLOOKUP($A135,Table1[],10,TRUE)</f>
        <v>Machine Learning</v>
      </c>
      <c r="H135" s="13" t="str">
        <f>VLOOKUP($A135,Table1[],12,TRUE)</f>
        <v>4</v>
      </c>
      <c r="I135" s="20">
        <v>50</v>
      </c>
      <c r="J135" s="15">
        <f>VLOOKUP($A135,Table1[],18,TRUE)</f>
        <v>2.5</v>
      </c>
      <c r="K135" s="12" t="str">
        <f>VLOOKUP($A135,Table1[],22,TRUE)</f>
        <v>TRUE</v>
      </c>
      <c r="L135" s="13">
        <f>VLOOKUP($A135,Table1[],25,TRUE)</f>
        <v>0.7</v>
      </c>
    </row>
    <row r="136" spans="1:12" x14ac:dyDescent="0.25">
      <c r="A136" t="s">
        <v>353</v>
      </c>
      <c r="B136" s="18" t="str">
        <f>VLOOKUP(A136,Table1[],3,TRUE)</f>
        <v>Penny Day</v>
      </c>
      <c r="C136" s="18" t="str">
        <f>VLOOKUP($A136,Table1[],5,TRUE)</f>
        <v>Female</v>
      </c>
      <c r="D136" s="3" t="str">
        <f>VLOOKUP($A136,Table1[],7,TRUE)</f>
        <v>45</v>
      </c>
      <c r="E136" s="3" t="str">
        <f>VLOOKUP($A136,Table1[],8,TRUE)</f>
        <v>Indonesia</v>
      </c>
      <c r="F136" s="3" t="str">
        <f>VLOOKUP($A136,Table1[],9,TRUE)</f>
        <v>Indonesian</v>
      </c>
      <c r="G136" s="3" t="str">
        <f>VLOOKUP($A136,Table1[],10,TRUE)</f>
        <v>Blockchain Development</v>
      </c>
      <c r="H136" s="13" t="str">
        <f>VLOOKUP($A136,Table1[],12,TRUE)</f>
        <v>22</v>
      </c>
      <c r="I136" s="20">
        <v>100</v>
      </c>
      <c r="J136" s="15">
        <f>VLOOKUP($A136,Table1[],18,TRUE)</f>
        <v>4</v>
      </c>
      <c r="K136" s="12" t="str">
        <f>VLOOKUP($A136,Table1[],22,TRUE)</f>
        <v>TRUE</v>
      </c>
      <c r="L136" s="13">
        <f>VLOOKUP($A136,Table1[],25,TRUE)</f>
        <v>0.75</v>
      </c>
    </row>
    <row r="137" spans="1:12" x14ac:dyDescent="0.25">
      <c r="A137" t="s">
        <v>355</v>
      </c>
      <c r="B137" s="18" t="str">
        <f>VLOOKUP(A137,Table1[],3,TRUE)</f>
        <v>Thomas Ingram</v>
      </c>
      <c r="C137" s="18" t="str">
        <f>VLOOKUP($A137,Table1[],5,TRUE)</f>
        <v>Male</v>
      </c>
      <c r="D137" s="3" t="str">
        <f>VLOOKUP($A137,Table1[],7,TRUE)</f>
        <v>60</v>
      </c>
      <c r="E137" s="3" t="str">
        <f>VLOOKUP($A137,Table1[],8,TRUE)</f>
        <v>South Africa</v>
      </c>
      <c r="F137" s="3" t="str">
        <f>VLOOKUP($A137,Table1[],9,TRUE)</f>
        <v>Afrikaans</v>
      </c>
      <c r="G137" s="3" t="str">
        <f>VLOOKUP($A137,Table1[],10,TRUE)</f>
        <v>Cybersecurity</v>
      </c>
      <c r="H137" s="13" t="str">
        <f>VLOOKUP($A137,Table1[],12,TRUE)</f>
        <v>39</v>
      </c>
      <c r="I137" s="20">
        <v>75</v>
      </c>
      <c r="J137" s="15">
        <f>VLOOKUP($A137,Table1[],18,TRUE)</f>
        <v>1.4</v>
      </c>
      <c r="K137" s="12" t="str">
        <f>VLOOKUP($A137,Table1[],22,TRUE)</f>
        <v>FALSE</v>
      </c>
      <c r="L137" s="13">
        <f>VLOOKUP($A137,Table1[],25,TRUE)</f>
        <v>0.7</v>
      </c>
    </row>
    <row r="138" spans="1:12" x14ac:dyDescent="0.25">
      <c r="A138" t="s">
        <v>357</v>
      </c>
      <c r="B138" s="18" t="str">
        <f>VLOOKUP(A138,Table1[],3,TRUE)</f>
        <v>Donna Hansen</v>
      </c>
      <c r="C138" s="18" t="str">
        <f>VLOOKUP($A138,Table1[],5,TRUE)</f>
        <v>Female</v>
      </c>
      <c r="D138" s="3" t="str">
        <f>VLOOKUP($A138,Table1[],7,TRUE)</f>
        <v>43</v>
      </c>
      <c r="E138" s="3" t="str">
        <f>VLOOKUP($A138,Table1[],8,TRUE)</f>
        <v>United Kingdom</v>
      </c>
      <c r="F138" s="3" t="str">
        <f>VLOOKUP($A138,Table1[],9,TRUE)</f>
        <v>English</v>
      </c>
      <c r="G138" s="3" t="str">
        <f>VLOOKUP($A138,Table1[],10,TRUE)</f>
        <v>Cybersecurity</v>
      </c>
      <c r="H138" s="13" t="str">
        <f>VLOOKUP($A138,Table1[],12,TRUE)</f>
        <v>5</v>
      </c>
      <c r="I138" s="20">
        <v>50</v>
      </c>
      <c r="J138" s="15">
        <f>VLOOKUP($A138,Table1[],18,TRUE)</f>
        <v>2.6</v>
      </c>
      <c r="K138" s="12" t="str">
        <f>VLOOKUP($A138,Table1[],22,TRUE)</f>
        <v>TRUE</v>
      </c>
      <c r="L138" s="13">
        <f>VLOOKUP($A138,Table1[],25,TRUE)</f>
        <v>0.84</v>
      </c>
    </row>
    <row r="139" spans="1:12" x14ac:dyDescent="0.25">
      <c r="A139" t="s">
        <v>359</v>
      </c>
      <c r="B139" s="18" t="str">
        <f>VLOOKUP(A139,Table1[],3,TRUE)</f>
        <v>Donna Bailey</v>
      </c>
      <c r="C139" s="18" t="str">
        <f>VLOOKUP($A139,Table1[],5,TRUE)</f>
        <v>Female</v>
      </c>
      <c r="D139" s="3" t="str">
        <f>VLOOKUP($A139,Table1[],7,TRUE)</f>
        <v>39</v>
      </c>
      <c r="E139" s="3" t="str">
        <f>VLOOKUP($A139,Table1[],8,TRUE)</f>
        <v>France</v>
      </c>
      <c r="F139" s="3" t="str">
        <f>VLOOKUP($A139,Table1[],9,TRUE)</f>
        <v>French</v>
      </c>
      <c r="G139" s="3" t="str">
        <f>VLOOKUP($A139,Table1[],10,TRUE)</f>
        <v>Cybersecurity</v>
      </c>
      <c r="H139" s="13" t="str">
        <f>VLOOKUP($A139,Table1[],12,TRUE)</f>
        <v>5</v>
      </c>
      <c r="I139" s="20">
        <v>40</v>
      </c>
      <c r="J139" s="15">
        <f>VLOOKUP($A139,Table1[],18,TRUE)</f>
        <v>1.2</v>
      </c>
      <c r="K139" s="12" t="str">
        <f>VLOOKUP($A139,Table1[],22,TRUE)</f>
        <v>FALSE</v>
      </c>
      <c r="L139" s="13">
        <f>VLOOKUP($A139,Table1[],25,TRUE)</f>
        <v>0.83</v>
      </c>
    </row>
    <row r="140" spans="1:12" x14ac:dyDescent="0.25">
      <c r="A140" t="s">
        <v>361</v>
      </c>
      <c r="B140" s="18" t="str">
        <f>VLOOKUP(A140,Table1[],3,TRUE)</f>
        <v>Joshua Armstrong</v>
      </c>
      <c r="C140" s="18" t="str">
        <f>VLOOKUP($A140,Table1[],5,TRUE)</f>
        <v>Male</v>
      </c>
      <c r="D140" s="3" t="str">
        <f>VLOOKUP($A140,Table1[],7,TRUE)</f>
        <v>26</v>
      </c>
      <c r="E140" s="3" t="str">
        <f>VLOOKUP($A140,Table1[],8,TRUE)</f>
        <v>Mexico</v>
      </c>
      <c r="F140" s="3" t="str">
        <f>VLOOKUP($A140,Table1[],9,TRUE)</f>
        <v>Spanish</v>
      </c>
      <c r="G140" s="3" t="str">
        <f>VLOOKUP($A140,Table1[],10,TRUE)</f>
        <v>UI/UX Design</v>
      </c>
      <c r="H140" s="13" t="str">
        <f>VLOOKUP($A140,Table1[],12,TRUE)</f>
        <v>5</v>
      </c>
      <c r="I140" s="20">
        <v>50</v>
      </c>
      <c r="J140" s="15">
        <f>VLOOKUP($A140,Table1[],18,TRUE)</f>
        <v>0</v>
      </c>
      <c r="K140" s="12" t="str">
        <f>VLOOKUP($A140,Table1[],22,TRUE)</f>
        <v>FALSE</v>
      </c>
      <c r="L140" s="13">
        <f>VLOOKUP($A140,Table1[],25,TRUE)</f>
        <v>0.75</v>
      </c>
    </row>
    <row r="141" spans="1:12" x14ac:dyDescent="0.25">
      <c r="A141" t="s">
        <v>363</v>
      </c>
      <c r="B141" s="18" t="str">
        <f>VLOOKUP(A141,Table1[],3,TRUE)</f>
        <v>Jonathan Garza</v>
      </c>
      <c r="C141" s="18" t="str">
        <f>VLOOKUP($A141,Table1[],5,TRUE)</f>
        <v>Male</v>
      </c>
      <c r="D141" s="3" t="str">
        <f>VLOOKUP($A141,Table1[],7,TRUE)</f>
        <v>31</v>
      </c>
      <c r="E141" s="3" t="str">
        <f>VLOOKUP($A141,Table1[],8,TRUE)</f>
        <v>Germany</v>
      </c>
      <c r="F141" s="3" t="str">
        <f>VLOOKUP($A141,Table1[],9,TRUE)</f>
        <v>German</v>
      </c>
      <c r="G141" s="3" t="str">
        <f>VLOOKUP($A141,Table1[],10,TRUE)</f>
        <v>Cybersecurity</v>
      </c>
      <c r="H141" s="13" t="str">
        <f>VLOOKUP($A141,Table1[],12,TRUE)</f>
        <v>11</v>
      </c>
      <c r="I141" s="20">
        <v>50</v>
      </c>
      <c r="J141" s="15">
        <f>VLOOKUP($A141,Table1[],18,TRUE)</f>
        <v>3.1</v>
      </c>
      <c r="K141" s="12" t="str">
        <f>VLOOKUP($A141,Table1[],22,TRUE)</f>
        <v>TRUE</v>
      </c>
      <c r="L141" s="13">
        <f>VLOOKUP($A141,Table1[],25,TRUE)</f>
        <v>0.88</v>
      </c>
    </row>
    <row r="142" spans="1:12" x14ac:dyDescent="0.25">
      <c r="A142" t="s">
        <v>365</v>
      </c>
      <c r="B142" s="18" t="str">
        <f>VLOOKUP(A142,Table1[],3,TRUE)</f>
        <v>Charles Jones</v>
      </c>
      <c r="C142" s="18" t="str">
        <f>VLOOKUP($A142,Table1[],5,TRUE)</f>
        <v>Male</v>
      </c>
      <c r="D142" s="3" t="str">
        <f>VLOOKUP($A142,Table1[],7,TRUE)</f>
        <v>52</v>
      </c>
      <c r="E142" s="3" t="str">
        <f>VLOOKUP($A142,Table1[],8,TRUE)</f>
        <v>France</v>
      </c>
      <c r="F142" s="3" t="str">
        <f>VLOOKUP($A142,Table1[],9,TRUE)</f>
        <v>French</v>
      </c>
      <c r="G142" s="3" t="str">
        <f>VLOOKUP($A142,Table1[],10,TRUE)</f>
        <v>UI/UX Design</v>
      </c>
      <c r="H142" s="13" t="str">
        <f>VLOOKUP($A142,Table1[],12,TRUE)</f>
        <v>15</v>
      </c>
      <c r="I142" s="20">
        <v>50</v>
      </c>
      <c r="J142" s="15">
        <f>VLOOKUP($A142,Table1[],18,TRUE)</f>
        <v>0</v>
      </c>
      <c r="K142" s="12" t="str">
        <f>VLOOKUP($A142,Table1[],22,TRUE)</f>
        <v>TRUE</v>
      </c>
      <c r="L142" s="13">
        <f>VLOOKUP($A142,Table1[],25,TRUE)</f>
        <v>0.81</v>
      </c>
    </row>
    <row r="143" spans="1:12" x14ac:dyDescent="0.25">
      <c r="A143" t="s">
        <v>367</v>
      </c>
      <c r="B143" s="18" t="str">
        <f>VLOOKUP(A143,Table1[],3,TRUE)</f>
        <v>Lindsey Miles</v>
      </c>
      <c r="C143" s="18" t="str">
        <f>VLOOKUP($A143,Table1[],5,TRUE)</f>
        <v>Female</v>
      </c>
      <c r="D143" s="3" t="str">
        <f>VLOOKUP($A143,Table1[],7,TRUE)</f>
        <v>34</v>
      </c>
      <c r="E143" s="3" t="str">
        <f>VLOOKUP($A143,Table1[],8,TRUE)</f>
        <v>India</v>
      </c>
      <c r="F143" s="3" t="str">
        <f>VLOOKUP($A143,Table1[],9,TRUE)</f>
        <v>Hindi</v>
      </c>
      <c r="G143" s="3" t="str">
        <f>VLOOKUP($A143,Table1[],10,TRUE)</f>
        <v>Data Analysis</v>
      </c>
      <c r="H143" s="13" t="str">
        <f>VLOOKUP($A143,Table1[],12,TRUE)</f>
        <v>5</v>
      </c>
      <c r="I143" s="20">
        <v>20</v>
      </c>
      <c r="J143" s="15">
        <f>VLOOKUP($A143,Table1[],18,TRUE)</f>
        <v>2.2000000000000002</v>
      </c>
      <c r="K143" s="12" t="str">
        <f>VLOOKUP($A143,Table1[],22,TRUE)</f>
        <v>TRUE</v>
      </c>
      <c r="L143" s="13">
        <f>VLOOKUP($A143,Table1[],25,TRUE)</f>
        <v>0.8</v>
      </c>
    </row>
    <row r="144" spans="1:12" x14ac:dyDescent="0.25">
      <c r="A144" t="s">
        <v>369</v>
      </c>
      <c r="B144" s="18" t="str">
        <f>VLOOKUP(A144,Table1[],3,TRUE)</f>
        <v>Eduardo Reed</v>
      </c>
      <c r="C144" s="18" t="str">
        <f>VLOOKUP($A144,Table1[],5,TRUE)</f>
        <v>Male</v>
      </c>
      <c r="D144" s="3" t="str">
        <f>VLOOKUP($A144,Table1[],7,TRUE)</f>
        <v>45</v>
      </c>
      <c r="E144" s="3" t="str">
        <f>VLOOKUP($A144,Table1[],8,TRUE)</f>
        <v>United Kingdom</v>
      </c>
      <c r="F144" s="3" t="str">
        <f>VLOOKUP($A144,Table1[],9,TRUE)</f>
        <v>English</v>
      </c>
      <c r="G144" s="3" t="str">
        <f>VLOOKUP($A144,Table1[],10,TRUE)</f>
        <v>Web Development</v>
      </c>
      <c r="H144" s="13" t="str">
        <f>VLOOKUP($A144,Table1[],12,TRUE)</f>
        <v>7</v>
      </c>
      <c r="I144" s="20">
        <v>75</v>
      </c>
      <c r="J144" s="15">
        <f>VLOOKUP($A144,Table1[],18,TRUE)</f>
        <v>3</v>
      </c>
      <c r="K144" s="12" t="str">
        <f>VLOOKUP($A144,Table1[],22,TRUE)</f>
        <v>TRUE</v>
      </c>
      <c r="L144" s="13">
        <f>VLOOKUP($A144,Table1[],25,TRUE)</f>
        <v>0.67</v>
      </c>
    </row>
    <row r="145" spans="1:12" x14ac:dyDescent="0.25">
      <c r="A145" t="s">
        <v>371</v>
      </c>
      <c r="B145" s="18" t="str">
        <f>VLOOKUP(A145,Table1[],3,TRUE)</f>
        <v>Lee Fowler</v>
      </c>
      <c r="C145" s="18" t="str">
        <f>VLOOKUP($A145,Table1[],5,TRUE)</f>
        <v>Male</v>
      </c>
      <c r="D145" s="3" t="str">
        <f>VLOOKUP($A145,Table1[],7,TRUE)</f>
        <v>46</v>
      </c>
      <c r="E145" s="3" t="str">
        <f>VLOOKUP($A145,Table1[],8,TRUE)</f>
        <v>United Kingdom</v>
      </c>
      <c r="F145" s="3" t="str">
        <f>VLOOKUP($A145,Table1[],9,TRUE)</f>
        <v>English</v>
      </c>
      <c r="G145" s="3" t="str">
        <f>VLOOKUP($A145,Table1[],10,TRUE)</f>
        <v>Cybersecurity</v>
      </c>
      <c r="H145" s="13" t="str">
        <f>VLOOKUP($A145,Table1[],12,TRUE)</f>
        <v>9</v>
      </c>
      <c r="I145" s="20">
        <v>20</v>
      </c>
      <c r="J145" s="15">
        <f>VLOOKUP($A145,Table1[],18,TRUE)</f>
        <v>0</v>
      </c>
      <c r="K145" s="12" t="str">
        <f>VLOOKUP($A145,Table1[],22,TRUE)</f>
        <v>FALSE</v>
      </c>
      <c r="L145" s="13">
        <f>VLOOKUP($A145,Table1[],25,TRUE)</f>
        <v>0.82</v>
      </c>
    </row>
    <row r="146" spans="1:12" x14ac:dyDescent="0.25">
      <c r="A146" t="s">
        <v>373</v>
      </c>
      <c r="B146" s="18" t="str">
        <f>VLOOKUP(A146,Table1[],3,TRUE)</f>
        <v>Steven Jones Jr.</v>
      </c>
      <c r="C146" s="18" t="str">
        <f>VLOOKUP($A146,Table1[],5,TRUE)</f>
        <v>Male</v>
      </c>
      <c r="D146" s="3" t="str">
        <f>VLOOKUP($A146,Table1[],7,TRUE)</f>
        <v>56</v>
      </c>
      <c r="E146" s="3" t="str">
        <f>VLOOKUP($A146,Table1[],8,TRUE)</f>
        <v>France</v>
      </c>
      <c r="F146" s="3" t="str">
        <f>VLOOKUP($A146,Table1[],9,TRUE)</f>
        <v>French</v>
      </c>
      <c r="G146" s="3" t="str">
        <f>VLOOKUP($A146,Table1[],10,TRUE)</f>
        <v>UI/UX Design</v>
      </c>
      <c r="H146" s="13" t="str">
        <f>VLOOKUP($A146,Table1[],12,TRUE)</f>
        <v>21</v>
      </c>
      <c r="I146" s="20">
        <v>100</v>
      </c>
      <c r="J146" s="15">
        <f>VLOOKUP($A146,Table1[],18,TRUE)</f>
        <v>0</v>
      </c>
      <c r="K146" s="12" t="str">
        <f>VLOOKUP($A146,Table1[],22,TRUE)</f>
        <v>TRUE</v>
      </c>
      <c r="L146" s="13">
        <f>VLOOKUP($A146,Table1[],25,TRUE)</f>
        <v>0.78</v>
      </c>
    </row>
    <row r="147" spans="1:12" x14ac:dyDescent="0.25">
      <c r="A147" t="s">
        <v>375</v>
      </c>
      <c r="B147" s="18" t="str">
        <f>VLOOKUP(A147,Table1[],3,TRUE)</f>
        <v>Ashley Chen</v>
      </c>
      <c r="C147" s="18" t="str">
        <f>VLOOKUP($A147,Table1[],5,TRUE)</f>
        <v>Female</v>
      </c>
      <c r="D147" s="3" t="str">
        <f>VLOOKUP($A147,Table1[],7,TRUE)</f>
        <v>59</v>
      </c>
      <c r="E147" s="3" t="str">
        <f>VLOOKUP($A147,Table1[],8,TRUE)</f>
        <v>Germany</v>
      </c>
      <c r="F147" s="3" t="str">
        <f>VLOOKUP($A147,Table1[],9,TRUE)</f>
        <v>German</v>
      </c>
      <c r="G147" s="3" t="str">
        <f>VLOOKUP($A147,Table1[],10,TRUE)</f>
        <v>AI</v>
      </c>
      <c r="H147" s="13" t="str">
        <f>VLOOKUP($A147,Table1[],12,TRUE)</f>
        <v>7</v>
      </c>
      <c r="I147" s="20">
        <v>40</v>
      </c>
      <c r="J147" s="15">
        <f>VLOOKUP($A147,Table1[],18,TRUE)</f>
        <v>1.4</v>
      </c>
      <c r="K147" s="12" t="str">
        <f>VLOOKUP($A147,Table1[],22,TRUE)</f>
        <v>TRUE</v>
      </c>
      <c r="L147" s="13">
        <f>VLOOKUP($A147,Table1[],25,TRUE)</f>
        <v>0.81</v>
      </c>
    </row>
    <row r="148" spans="1:12" x14ac:dyDescent="0.25">
      <c r="A148" t="s">
        <v>377</v>
      </c>
      <c r="B148" s="18" t="str">
        <f>VLOOKUP(A148,Table1[],3,TRUE)</f>
        <v>Erica Davis</v>
      </c>
      <c r="C148" s="18" t="str">
        <f>VLOOKUP($A148,Table1[],5,TRUE)</f>
        <v>Female</v>
      </c>
      <c r="D148" s="3" t="str">
        <f>VLOOKUP($A148,Table1[],7,TRUE)</f>
        <v>54</v>
      </c>
      <c r="E148" s="3" t="str">
        <f>VLOOKUP($A148,Table1[],8,TRUE)</f>
        <v>Egypt</v>
      </c>
      <c r="F148" s="3" t="str">
        <f>VLOOKUP($A148,Table1[],9,TRUE)</f>
        <v>Arabic</v>
      </c>
      <c r="G148" s="3" t="str">
        <f>VLOOKUP($A148,Table1[],10,TRUE)</f>
        <v>Blockchain Development</v>
      </c>
      <c r="H148" s="13" t="str">
        <f>VLOOKUP($A148,Table1[],12,TRUE)</f>
        <v>4</v>
      </c>
      <c r="I148" s="20">
        <v>50</v>
      </c>
      <c r="J148" s="15">
        <f>VLOOKUP($A148,Table1[],18,TRUE)</f>
        <v>1.4</v>
      </c>
      <c r="K148" s="12" t="str">
        <f>VLOOKUP($A148,Table1[],22,TRUE)</f>
        <v>TRUE</v>
      </c>
      <c r="L148" s="13">
        <f>VLOOKUP($A148,Table1[],25,TRUE)</f>
        <v>0.74</v>
      </c>
    </row>
    <row r="149" spans="1:12" x14ac:dyDescent="0.25">
      <c r="A149" t="s">
        <v>379</v>
      </c>
      <c r="B149" s="18" t="str">
        <f>VLOOKUP(A149,Table1[],3,TRUE)</f>
        <v>Wayne Gonzales</v>
      </c>
      <c r="C149" s="18" t="str">
        <f>VLOOKUP($A149,Table1[],5,TRUE)</f>
        <v>Male</v>
      </c>
      <c r="D149" s="3" t="str">
        <f>VLOOKUP($A149,Table1[],7,TRUE)</f>
        <v>36</v>
      </c>
      <c r="E149" s="3" t="str">
        <f>VLOOKUP($A149,Table1[],8,TRUE)</f>
        <v>Germany</v>
      </c>
      <c r="F149" s="3" t="str">
        <f>VLOOKUP($A149,Table1[],9,TRUE)</f>
        <v>German</v>
      </c>
      <c r="G149" s="3" t="str">
        <f>VLOOKUP($A149,Table1[],10,TRUE)</f>
        <v>UI/UX Design</v>
      </c>
      <c r="H149" s="13" t="str">
        <f>VLOOKUP($A149,Table1[],12,TRUE)</f>
        <v>7</v>
      </c>
      <c r="I149" s="20">
        <v>30</v>
      </c>
      <c r="J149" s="15">
        <f>VLOOKUP($A149,Table1[],18,TRUE)</f>
        <v>0</v>
      </c>
      <c r="K149" s="12" t="str">
        <f>VLOOKUP($A149,Table1[],22,TRUE)</f>
        <v>FALSE</v>
      </c>
      <c r="L149" s="13">
        <f>VLOOKUP($A149,Table1[],25,TRUE)</f>
        <v>0.88</v>
      </c>
    </row>
    <row r="150" spans="1:12" x14ac:dyDescent="0.25">
      <c r="A150" t="s">
        <v>381</v>
      </c>
      <c r="B150" s="18" t="str">
        <f>VLOOKUP(A150,Table1[],3,TRUE)</f>
        <v>Gary Ballard</v>
      </c>
      <c r="C150" s="18" t="str">
        <f>VLOOKUP($A150,Table1[],5,TRUE)</f>
        <v>Male</v>
      </c>
      <c r="D150" s="3" t="str">
        <f>VLOOKUP($A150,Table1[],7,TRUE)</f>
        <v>25</v>
      </c>
      <c r="E150" s="3" t="str">
        <f>VLOOKUP($A150,Table1[],8,TRUE)</f>
        <v>Mexico</v>
      </c>
      <c r="F150" s="3" t="str">
        <f>VLOOKUP($A150,Table1[],9,TRUE)</f>
        <v>Spanish</v>
      </c>
      <c r="G150" s="3" t="str">
        <f>VLOOKUP($A150,Table1[],10,TRUE)</f>
        <v>Data Analysis</v>
      </c>
      <c r="H150" s="13" t="str">
        <f>VLOOKUP($A150,Table1[],12,TRUE)</f>
        <v>0</v>
      </c>
      <c r="I150" s="20">
        <v>40</v>
      </c>
      <c r="J150" s="15">
        <f>VLOOKUP($A150,Table1[],18,TRUE)</f>
        <v>0</v>
      </c>
      <c r="K150" s="12" t="str">
        <f>VLOOKUP($A150,Table1[],22,TRUE)</f>
        <v>FALSE</v>
      </c>
      <c r="L150" s="13">
        <f>VLOOKUP($A150,Table1[],25,TRUE)</f>
        <v>0.9</v>
      </c>
    </row>
    <row r="151" spans="1:12" x14ac:dyDescent="0.25">
      <c r="A151" t="s">
        <v>383</v>
      </c>
      <c r="B151" s="18" t="str">
        <f>VLOOKUP(A151,Table1[],3,TRUE)</f>
        <v>Maria Mcguire</v>
      </c>
      <c r="C151" s="18" t="str">
        <f>VLOOKUP($A151,Table1[],5,TRUE)</f>
        <v>Female</v>
      </c>
      <c r="D151" s="3" t="str">
        <f>VLOOKUP($A151,Table1[],7,TRUE)</f>
        <v>37</v>
      </c>
      <c r="E151" s="3" t="str">
        <f>VLOOKUP($A151,Table1[],8,TRUE)</f>
        <v>Russia</v>
      </c>
      <c r="F151" s="3" t="str">
        <f>VLOOKUP($A151,Table1[],9,TRUE)</f>
        <v>Russian</v>
      </c>
      <c r="G151" s="3" t="str">
        <f>VLOOKUP($A151,Table1[],10,TRUE)</f>
        <v>Data Analysis</v>
      </c>
      <c r="H151" s="13" t="str">
        <f>VLOOKUP($A151,Table1[],12,TRUE)</f>
        <v>15</v>
      </c>
      <c r="I151" s="20">
        <v>40</v>
      </c>
      <c r="J151" s="15">
        <f>VLOOKUP($A151,Table1[],18,TRUE)</f>
        <v>2.9</v>
      </c>
      <c r="K151" s="12" t="str">
        <f>VLOOKUP($A151,Table1[],22,TRUE)</f>
        <v>TRUE</v>
      </c>
      <c r="L151" s="13">
        <f>VLOOKUP($A151,Table1[],25,TRUE)</f>
        <v>0.75</v>
      </c>
    </row>
    <row r="152" spans="1:12" x14ac:dyDescent="0.25">
      <c r="A152" t="s">
        <v>385</v>
      </c>
      <c r="B152" s="18" t="str">
        <f>VLOOKUP(A152,Table1[],3,TRUE)</f>
        <v>Matthew Richards</v>
      </c>
      <c r="C152" s="18" t="str">
        <f>VLOOKUP($A152,Table1[],5,TRUE)</f>
        <v>Male</v>
      </c>
      <c r="D152" s="3" t="str">
        <f>VLOOKUP($A152,Table1[],7,TRUE)</f>
        <v>Unknown</v>
      </c>
      <c r="E152" s="3" t="str">
        <f>VLOOKUP($A152,Table1[],8,TRUE)</f>
        <v>Turkey</v>
      </c>
      <c r="F152" s="3" t="str">
        <f>VLOOKUP($A152,Table1[],9,TRUE)</f>
        <v>Turkish</v>
      </c>
      <c r="G152" s="3" t="str">
        <f>VLOOKUP($A152,Table1[],10,TRUE)</f>
        <v>Data Analysis</v>
      </c>
      <c r="H152" s="13" t="str">
        <f>VLOOKUP($A152,Table1[],12,TRUE)</f>
        <v>10</v>
      </c>
      <c r="I152" s="20">
        <v>40</v>
      </c>
      <c r="J152" s="15">
        <f>VLOOKUP($A152,Table1[],18,TRUE)</f>
        <v>0</v>
      </c>
      <c r="K152" s="12" t="str">
        <f>VLOOKUP($A152,Table1[],22,TRUE)</f>
        <v>TRUE</v>
      </c>
      <c r="L152" s="13">
        <f>VLOOKUP($A152,Table1[],25,TRUE)</f>
        <v>0.75</v>
      </c>
    </row>
    <row r="153" spans="1:12" x14ac:dyDescent="0.25">
      <c r="A153" t="s">
        <v>387</v>
      </c>
      <c r="B153" s="18" t="str">
        <f>VLOOKUP(A153,Table1[],3,TRUE)</f>
        <v>Patrick Malone</v>
      </c>
      <c r="C153" s="18" t="str">
        <f>VLOOKUP($A153,Table1[],5,TRUE)</f>
        <v>Male</v>
      </c>
      <c r="D153" s="3" t="str">
        <f>VLOOKUP($A153,Table1[],7,TRUE)</f>
        <v>29</v>
      </c>
      <c r="E153" s="3" t="str">
        <f>VLOOKUP($A153,Table1[],8,TRUE)</f>
        <v>Spain</v>
      </c>
      <c r="F153" s="3" t="str">
        <f>VLOOKUP($A153,Table1[],9,TRUE)</f>
        <v>Spanish</v>
      </c>
      <c r="G153" s="3" t="str">
        <f>VLOOKUP($A153,Table1[],10,TRUE)</f>
        <v>Data Analysis</v>
      </c>
      <c r="H153" s="13" t="str">
        <f>VLOOKUP($A153,Table1[],12,TRUE)</f>
        <v>11</v>
      </c>
      <c r="I153" s="20">
        <v>20</v>
      </c>
      <c r="J153" s="15">
        <f>VLOOKUP($A153,Table1[],18,TRUE)</f>
        <v>2.7</v>
      </c>
      <c r="K153" s="12" t="str">
        <f>VLOOKUP($A153,Table1[],22,TRUE)</f>
        <v>FALSE</v>
      </c>
      <c r="L153" s="13">
        <f>VLOOKUP($A153,Table1[],25,TRUE)</f>
        <v>0.93</v>
      </c>
    </row>
    <row r="154" spans="1:12" x14ac:dyDescent="0.25">
      <c r="A154" t="s">
        <v>389</v>
      </c>
      <c r="B154" s="18" t="str">
        <f>VLOOKUP(A154,Table1[],3,TRUE)</f>
        <v>Cindy Martin</v>
      </c>
      <c r="C154" s="18" t="str">
        <f>VLOOKUP($A154,Table1[],5,TRUE)</f>
        <v>Female</v>
      </c>
      <c r="D154" s="3" t="str">
        <f>VLOOKUP($A154,Table1[],7,TRUE)</f>
        <v>55</v>
      </c>
      <c r="E154" s="3" t="str">
        <f>VLOOKUP($A154,Table1[],8,TRUE)</f>
        <v>Argentina</v>
      </c>
      <c r="F154" s="3" t="str">
        <f>VLOOKUP($A154,Table1[],9,TRUE)</f>
        <v>Spanish</v>
      </c>
      <c r="G154" s="3" t="str">
        <f>VLOOKUP($A154,Table1[],10,TRUE)</f>
        <v>Mobile Apps</v>
      </c>
      <c r="H154" s="13" t="str">
        <f>VLOOKUP($A154,Table1[],12,TRUE)</f>
        <v>12</v>
      </c>
      <c r="I154" s="20">
        <v>100</v>
      </c>
      <c r="J154" s="15">
        <f>VLOOKUP($A154,Table1[],18,TRUE)</f>
        <v>1.8</v>
      </c>
      <c r="K154" s="12" t="str">
        <f>VLOOKUP($A154,Table1[],22,TRUE)</f>
        <v>TRUE</v>
      </c>
      <c r="L154" s="13">
        <f>VLOOKUP($A154,Table1[],25,TRUE)</f>
        <v>0.75</v>
      </c>
    </row>
    <row r="155" spans="1:12" x14ac:dyDescent="0.25">
      <c r="A155" t="s">
        <v>391</v>
      </c>
      <c r="B155" s="18" t="str">
        <f>VLOOKUP(A155,Table1[],3,TRUE)</f>
        <v>Anne Edwards</v>
      </c>
      <c r="C155" s="18" t="str">
        <f>VLOOKUP($A155,Table1[],5,TRUE)</f>
        <v>Female</v>
      </c>
      <c r="D155" s="3" t="str">
        <f>VLOOKUP($A155,Table1[],7,TRUE)</f>
        <v>38</v>
      </c>
      <c r="E155" s="3" t="str">
        <f>VLOOKUP($A155,Table1[],8,TRUE)</f>
        <v>Japan</v>
      </c>
      <c r="F155" s="3" t="str">
        <f>VLOOKUP($A155,Table1[],9,TRUE)</f>
        <v>Japanese</v>
      </c>
      <c r="G155" s="3" t="str">
        <f>VLOOKUP($A155,Table1[],10,TRUE)</f>
        <v>DevOps</v>
      </c>
      <c r="H155" s="13" t="str">
        <f>VLOOKUP($A155,Table1[],12,TRUE)</f>
        <v>20</v>
      </c>
      <c r="I155" s="20">
        <v>75</v>
      </c>
      <c r="J155" s="15">
        <f>VLOOKUP($A155,Table1[],18,TRUE)</f>
        <v>1.1000000000000001</v>
      </c>
      <c r="K155" s="12" t="str">
        <f>VLOOKUP($A155,Table1[],22,TRUE)</f>
        <v>FALSE</v>
      </c>
      <c r="L155" s="13">
        <f>VLOOKUP($A155,Table1[],25,TRUE)</f>
        <v>0.71</v>
      </c>
    </row>
    <row r="156" spans="1:12" x14ac:dyDescent="0.25">
      <c r="A156" t="s">
        <v>393</v>
      </c>
      <c r="B156" s="18" t="str">
        <f>VLOOKUP(A156,Table1[],3,TRUE)</f>
        <v>Mitchell Martin</v>
      </c>
      <c r="C156" s="18" t="str">
        <f>VLOOKUP($A156,Table1[],5,TRUE)</f>
        <v>Male</v>
      </c>
      <c r="D156" s="3" t="str">
        <f>VLOOKUP($A156,Table1[],7,TRUE)</f>
        <v>47</v>
      </c>
      <c r="E156" s="3" t="str">
        <f>VLOOKUP($A156,Table1[],8,TRUE)</f>
        <v>South Korea</v>
      </c>
      <c r="F156" s="3" t="str">
        <f>VLOOKUP($A156,Table1[],9,TRUE)</f>
        <v>Korean</v>
      </c>
      <c r="G156" s="3" t="str">
        <f>VLOOKUP($A156,Table1[],10,TRUE)</f>
        <v>DevOps</v>
      </c>
      <c r="H156" s="13" t="str">
        <f>VLOOKUP($A156,Table1[],12,TRUE)</f>
        <v>29</v>
      </c>
      <c r="I156" s="20">
        <v>40</v>
      </c>
      <c r="J156" s="15">
        <f>VLOOKUP($A156,Table1[],18,TRUE)</f>
        <v>4.3</v>
      </c>
      <c r="K156" s="12" t="str">
        <f>VLOOKUP($A156,Table1[],22,TRUE)</f>
        <v>TRUE</v>
      </c>
      <c r="L156" s="13">
        <f>VLOOKUP($A156,Table1[],25,TRUE)</f>
        <v>0.95</v>
      </c>
    </row>
    <row r="157" spans="1:12" x14ac:dyDescent="0.25">
      <c r="A157" t="s">
        <v>395</v>
      </c>
      <c r="B157" s="18" t="str">
        <f>VLOOKUP(A157,Table1[],3,TRUE)</f>
        <v>Mitchell Patrick</v>
      </c>
      <c r="C157" s="18" t="str">
        <f>VLOOKUP($A157,Table1[],5,TRUE)</f>
        <v>Male</v>
      </c>
      <c r="D157" s="3" t="str">
        <f>VLOOKUP($A157,Table1[],7,TRUE)</f>
        <v>60</v>
      </c>
      <c r="E157" s="3" t="str">
        <f>VLOOKUP($A157,Table1[],8,TRUE)</f>
        <v>Brazil</v>
      </c>
      <c r="F157" s="3" t="str">
        <f>VLOOKUP($A157,Table1[],9,TRUE)</f>
        <v>Portuguese</v>
      </c>
      <c r="G157" s="3" t="str">
        <f>VLOOKUP($A157,Table1[],10,TRUE)</f>
        <v>Web Development</v>
      </c>
      <c r="H157" s="13" t="str">
        <f>VLOOKUP($A157,Table1[],12,TRUE)</f>
        <v>15</v>
      </c>
      <c r="I157" s="20">
        <v>100</v>
      </c>
      <c r="J157" s="15">
        <f>VLOOKUP($A157,Table1[],18,TRUE)</f>
        <v>1.5</v>
      </c>
      <c r="K157" s="12" t="str">
        <f>VLOOKUP($A157,Table1[],22,TRUE)</f>
        <v>FALSE</v>
      </c>
      <c r="L157" s="13">
        <f>VLOOKUP($A157,Table1[],25,TRUE)</f>
        <v>0.8</v>
      </c>
    </row>
    <row r="158" spans="1:12" x14ac:dyDescent="0.25">
      <c r="A158" t="s">
        <v>397</v>
      </c>
      <c r="B158" s="18" t="str">
        <f>VLOOKUP(A158,Table1[],3,TRUE)</f>
        <v>Rebecca Lyons</v>
      </c>
      <c r="C158" s="18" t="str">
        <f>VLOOKUP($A158,Table1[],5,TRUE)</f>
        <v>Female</v>
      </c>
      <c r="D158" s="3" t="str">
        <f>VLOOKUP($A158,Table1[],7,TRUE)</f>
        <v>43</v>
      </c>
      <c r="E158" s="3" t="str">
        <f>VLOOKUP($A158,Table1[],8,TRUE)</f>
        <v>Italy</v>
      </c>
      <c r="F158" s="3" t="str">
        <f>VLOOKUP($A158,Table1[],9,TRUE)</f>
        <v>Italian</v>
      </c>
      <c r="G158" s="3" t="str">
        <f>VLOOKUP($A158,Table1[],10,TRUE)</f>
        <v>Data Analysis</v>
      </c>
      <c r="H158" s="13" t="str">
        <f>VLOOKUP($A158,Table1[],12,TRUE)</f>
        <v>9</v>
      </c>
      <c r="I158" s="20">
        <v>20</v>
      </c>
      <c r="J158" s="15">
        <f>VLOOKUP($A158,Table1[],18,TRUE)</f>
        <v>2.2000000000000002</v>
      </c>
      <c r="K158" s="12" t="str">
        <f>VLOOKUP($A158,Table1[],22,TRUE)</f>
        <v>FALSE</v>
      </c>
      <c r="L158" s="13">
        <f>VLOOKUP($A158,Table1[],25,TRUE)</f>
        <v>0.75</v>
      </c>
    </row>
    <row r="159" spans="1:12" x14ac:dyDescent="0.25">
      <c r="A159" t="s">
        <v>399</v>
      </c>
      <c r="B159" s="18" t="str">
        <f>VLOOKUP(A159,Table1[],3,TRUE)</f>
        <v>Christian Lopez</v>
      </c>
      <c r="C159" s="18" t="str">
        <f>VLOOKUP($A159,Table1[],5,TRUE)</f>
        <v>Male</v>
      </c>
      <c r="D159" s="3" t="str">
        <f>VLOOKUP($A159,Table1[],7,TRUE)</f>
        <v>56</v>
      </c>
      <c r="E159" s="3" t="str">
        <f>VLOOKUP($A159,Table1[],8,TRUE)</f>
        <v>South Africa</v>
      </c>
      <c r="F159" s="3" t="str">
        <f>VLOOKUP($A159,Table1[],9,TRUE)</f>
        <v>Afrikaans</v>
      </c>
      <c r="G159" s="3" t="str">
        <f>VLOOKUP($A159,Table1[],10,TRUE)</f>
        <v>Data Analysis</v>
      </c>
      <c r="H159" s="13" t="str">
        <f>VLOOKUP($A159,Table1[],12,TRUE)</f>
        <v>Unknown</v>
      </c>
      <c r="I159" s="20">
        <v>100</v>
      </c>
      <c r="J159" s="15">
        <f>VLOOKUP($A159,Table1[],18,TRUE)</f>
        <v>3.2</v>
      </c>
      <c r="K159" s="12" t="str">
        <f>VLOOKUP($A159,Table1[],22,TRUE)</f>
        <v>FALSE</v>
      </c>
      <c r="L159" s="13">
        <f>VLOOKUP($A159,Table1[],25,TRUE)</f>
        <v>0.62</v>
      </c>
    </row>
    <row r="160" spans="1:12" x14ac:dyDescent="0.25">
      <c r="A160" t="s">
        <v>401</v>
      </c>
      <c r="B160" s="18" t="str">
        <f>VLOOKUP(A160,Table1[],3,TRUE)</f>
        <v>Nathan Blair</v>
      </c>
      <c r="C160" s="18" t="str">
        <f>VLOOKUP($A160,Table1[],5,TRUE)</f>
        <v>Male</v>
      </c>
      <c r="D160" s="3" t="str">
        <f>VLOOKUP($A160,Table1[],7,TRUE)</f>
        <v>42</v>
      </c>
      <c r="E160" s="3" t="str">
        <f>VLOOKUP($A160,Table1[],8,TRUE)</f>
        <v>Russia</v>
      </c>
      <c r="F160" s="3" t="str">
        <f>VLOOKUP($A160,Table1[],9,TRUE)</f>
        <v>Russian</v>
      </c>
      <c r="G160" s="3" t="str">
        <f>VLOOKUP($A160,Table1[],10,TRUE)</f>
        <v>DevOps</v>
      </c>
      <c r="H160" s="13" t="str">
        <f>VLOOKUP($A160,Table1[],12,TRUE)</f>
        <v>2</v>
      </c>
      <c r="I160" s="20">
        <v>50</v>
      </c>
      <c r="J160" s="15">
        <f>VLOOKUP($A160,Table1[],18,TRUE)</f>
        <v>1.9</v>
      </c>
      <c r="K160" s="12" t="str">
        <f>VLOOKUP($A160,Table1[],22,TRUE)</f>
        <v>TRUE</v>
      </c>
      <c r="L160" s="13">
        <f>VLOOKUP($A160,Table1[],25,TRUE)</f>
        <v>0.95</v>
      </c>
    </row>
    <row r="161" spans="1:12" x14ac:dyDescent="0.25">
      <c r="A161" t="s">
        <v>403</v>
      </c>
      <c r="B161" s="18" t="str">
        <f>VLOOKUP(A161,Table1[],3,TRUE)</f>
        <v>Patricia Lopez</v>
      </c>
      <c r="C161" s="18" t="str">
        <f>VLOOKUP($A161,Table1[],5,TRUE)</f>
        <v>Female</v>
      </c>
      <c r="D161" s="3" t="str">
        <f>VLOOKUP($A161,Table1[],7,TRUE)</f>
        <v>20</v>
      </c>
      <c r="E161" s="3" t="str">
        <f>VLOOKUP($A161,Table1[],8,TRUE)</f>
        <v>Spain</v>
      </c>
      <c r="F161" s="3" t="str">
        <f>VLOOKUP($A161,Table1[],9,TRUE)</f>
        <v>Spanish</v>
      </c>
      <c r="G161" s="3" t="str">
        <f>VLOOKUP($A161,Table1[],10,TRUE)</f>
        <v>Graphic Design</v>
      </c>
      <c r="H161" s="13" t="str">
        <f>VLOOKUP($A161,Table1[],12,TRUE)</f>
        <v>0</v>
      </c>
      <c r="I161" s="20">
        <v>40</v>
      </c>
      <c r="J161" s="15">
        <f>VLOOKUP($A161,Table1[],18,TRUE)</f>
        <v>2.5</v>
      </c>
      <c r="K161" s="12" t="str">
        <f>VLOOKUP($A161,Table1[],22,TRUE)</f>
        <v>FALSE</v>
      </c>
      <c r="L161" s="13">
        <f>VLOOKUP($A161,Table1[],25,TRUE)</f>
        <v>0.79</v>
      </c>
    </row>
    <row r="162" spans="1:12" x14ac:dyDescent="0.25">
      <c r="A162" t="s">
        <v>405</v>
      </c>
      <c r="B162" s="18" t="str">
        <f>VLOOKUP(A162,Table1[],3,TRUE)</f>
        <v>Michelle Wu</v>
      </c>
      <c r="C162" s="18" t="str">
        <f>VLOOKUP($A162,Table1[],5,TRUE)</f>
        <v>Female</v>
      </c>
      <c r="D162" s="3" t="str">
        <f>VLOOKUP($A162,Table1[],7,TRUE)</f>
        <v>47</v>
      </c>
      <c r="E162" s="3" t="str">
        <f>VLOOKUP($A162,Table1[],8,TRUE)</f>
        <v>Indonesia</v>
      </c>
      <c r="F162" s="3" t="str">
        <f>VLOOKUP($A162,Table1[],9,TRUE)</f>
        <v>Indonesian</v>
      </c>
      <c r="G162" s="3" t="str">
        <f>VLOOKUP($A162,Table1[],10,TRUE)</f>
        <v>UI/UX Design</v>
      </c>
      <c r="H162" s="13" t="str">
        <f>VLOOKUP($A162,Table1[],12,TRUE)</f>
        <v>12</v>
      </c>
      <c r="I162" s="20">
        <v>40</v>
      </c>
      <c r="J162" s="15">
        <f>VLOOKUP($A162,Table1[],18,TRUE)</f>
        <v>4.5</v>
      </c>
      <c r="K162" s="12" t="str">
        <f>VLOOKUP($A162,Table1[],22,TRUE)</f>
        <v>FALSE</v>
      </c>
      <c r="L162" s="13">
        <f>VLOOKUP($A162,Table1[],25,TRUE)</f>
        <v>0.62</v>
      </c>
    </row>
    <row r="163" spans="1:12" x14ac:dyDescent="0.25">
      <c r="A163" t="s">
        <v>407</v>
      </c>
      <c r="B163" s="18" t="str">
        <f>VLOOKUP(A163,Table1[],3,TRUE)</f>
        <v>Donald Mitchell</v>
      </c>
      <c r="C163" s="18" t="str">
        <f>VLOOKUP($A163,Table1[],5,TRUE)</f>
        <v>Male</v>
      </c>
      <c r="D163" s="3" t="str">
        <f>VLOOKUP($A163,Table1[],7,TRUE)</f>
        <v>Unknown</v>
      </c>
      <c r="E163" s="3" t="str">
        <f>VLOOKUP($A163,Table1[],8,TRUE)</f>
        <v>Argentina</v>
      </c>
      <c r="F163" s="3" t="str">
        <f>VLOOKUP($A163,Table1[],9,TRUE)</f>
        <v>Spanish</v>
      </c>
      <c r="G163" s="3" t="str">
        <f>VLOOKUP($A163,Table1[],10,TRUE)</f>
        <v>Data Analysis</v>
      </c>
      <c r="H163" s="13" t="str">
        <f>VLOOKUP($A163,Table1[],12,TRUE)</f>
        <v>12</v>
      </c>
      <c r="I163" s="20">
        <v>30</v>
      </c>
      <c r="J163" s="15">
        <f>VLOOKUP($A163,Table1[],18,TRUE)</f>
        <v>4.0999999999999996</v>
      </c>
      <c r="K163" s="12" t="str">
        <f>VLOOKUP($A163,Table1[],22,TRUE)</f>
        <v>FALSE</v>
      </c>
      <c r="L163" s="13">
        <f>VLOOKUP($A163,Table1[],25,TRUE)</f>
        <v>0.68</v>
      </c>
    </row>
    <row r="164" spans="1:12" x14ac:dyDescent="0.25">
      <c r="A164" t="s">
        <v>409</v>
      </c>
      <c r="B164" s="18" t="str">
        <f>VLOOKUP(A164,Table1[],3,TRUE)</f>
        <v>Sean Gordon</v>
      </c>
      <c r="C164" s="18" t="str">
        <f>VLOOKUP($A164,Table1[],5,TRUE)</f>
        <v>Male</v>
      </c>
      <c r="D164" s="3" t="str">
        <f>VLOOKUP($A164,Table1[],7,TRUE)</f>
        <v>56</v>
      </c>
      <c r="E164" s="3" t="str">
        <f>VLOOKUP($A164,Table1[],8,TRUE)</f>
        <v>Indonesia</v>
      </c>
      <c r="F164" s="3" t="str">
        <f>VLOOKUP($A164,Table1[],9,TRUE)</f>
        <v>Indonesian</v>
      </c>
      <c r="G164" s="3" t="str">
        <f>VLOOKUP($A164,Table1[],10,TRUE)</f>
        <v>DevOps</v>
      </c>
      <c r="H164" s="13" t="str">
        <f>VLOOKUP($A164,Table1[],12,TRUE)</f>
        <v>15</v>
      </c>
      <c r="I164" s="20">
        <v>75</v>
      </c>
      <c r="J164" s="15">
        <f>VLOOKUP($A164,Table1[],18,TRUE)</f>
        <v>0</v>
      </c>
      <c r="K164" s="12" t="str">
        <f>VLOOKUP($A164,Table1[],22,TRUE)</f>
        <v>FALSE</v>
      </c>
      <c r="L164" s="13">
        <f>VLOOKUP($A164,Table1[],25,TRUE)</f>
        <v>0.75</v>
      </c>
    </row>
    <row r="165" spans="1:12" x14ac:dyDescent="0.25">
      <c r="A165" t="s">
        <v>411</v>
      </c>
      <c r="B165" s="18" t="str">
        <f>VLOOKUP(A165,Table1[],3,TRUE)</f>
        <v>Gregory Clarke</v>
      </c>
      <c r="C165" s="18" t="str">
        <f>VLOOKUP($A165,Table1[],5,TRUE)</f>
        <v>Male</v>
      </c>
      <c r="D165" s="3" t="str">
        <f>VLOOKUP($A165,Table1[],7,TRUE)</f>
        <v>59</v>
      </c>
      <c r="E165" s="3" t="str">
        <f>VLOOKUP($A165,Table1[],8,TRUE)</f>
        <v>United Kingdom</v>
      </c>
      <c r="F165" s="3" t="str">
        <f>VLOOKUP($A165,Table1[],9,TRUE)</f>
        <v>English</v>
      </c>
      <c r="G165" s="3" t="str">
        <f>VLOOKUP($A165,Table1[],10,TRUE)</f>
        <v>DevOps</v>
      </c>
      <c r="H165" s="13" t="str">
        <f>VLOOKUP($A165,Table1[],12,TRUE)</f>
        <v>29</v>
      </c>
      <c r="I165" s="20">
        <v>75</v>
      </c>
      <c r="J165" s="15">
        <f>VLOOKUP($A165,Table1[],18,TRUE)</f>
        <v>2.6</v>
      </c>
      <c r="K165" s="12" t="str">
        <f>VLOOKUP($A165,Table1[],22,TRUE)</f>
        <v>FALSE</v>
      </c>
      <c r="L165" s="13">
        <f>VLOOKUP($A165,Table1[],25,TRUE)</f>
        <v>0.8</v>
      </c>
    </row>
    <row r="166" spans="1:12" x14ac:dyDescent="0.25">
      <c r="A166" t="s">
        <v>413</v>
      </c>
      <c r="B166" s="18" t="str">
        <f>VLOOKUP(A166,Table1[],3,TRUE)</f>
        <v>Steven Whitney</v>
      </c>
      <c r="C166" s="18" t="str">
        <f>VLOOKUP($A166,Table1[],5,TRUE)</f>
        <v>Male</v>
      </c>
      <c r="D166" s="3" t="str">
        <f>VLOOKUP($A166,Table1[],7,TRUE)</f>
        <v>56</v>
      </c>
      <c r="E166" s="3" t="str">
        <f>VLOOKUP($A166,Table1[],8,TRUE)</f>
        <v>Japan</v>
      </c>
      <c r="F166" s="3" t="str">
        <f>VLOOKUP($A166,Table1[],9,TRUE)</f>
        <v>Japanese</v>
      </c>
      <c r="G166" s="3" t="str">
        <f>VLOOKUP($A166,Table1[],10,TRUE)</f>
        <v>Cybersecurity</v>
      </c>
      <c r="H166" s="13" t="str">
        <f>VLOOKUP($A166,Table1[],12,TRUE)</f>
        <v>15</v>
      </c>
      <c r="I166" s="20">
        <v>40</v>
      </c>
      <c r="J166" s="15">
        <f>VLOOKUP($A166,Table1[],18,TRUE)</f>
        <v>3.7</v>
      </c>
      <c r="K166" s="12" t="str">
        <f>VLOOKUP($A166,Table1[],22,TRUE)</f>
        <v>TRUE</v>
      </c>
      <c r="L166" s="13">
        <f>VLOOKUP($A166,Table1[],25,TRUE)</f>
        <v>0.92</v>
      </c>
    </row>
    <row r="167" spans="1:12" x14ac:dyDescent="0.25">
      <c r="A167" t="s">
        <v>415</v>
      </c>
      <c r="B167" s="18" t="str">
        <f>VLOOKUP(A167,Table1[],3,TRUE)</f>
        <v>Robin Acosta</v>
      </c>
      <c r="C167" s="18" t="str">
        <f>VLOOKUP($A167,Table1[],5,TRUE)</f>
        <v>Female</v>
      </c>
      <c r="D167" s="3" t="str">
        <f>VLOOKUP($A167,Table1[],7,TRUE)</f>
        <v>31</v>
      </c>
      <c r="E167" s="3" t="str">
        <f>VLOOKUP($A167,Table1[],8,TRUE)</f>
        <v>South Africa</v>
      </c>
      <c r="F167" s="3" t="str">
        <f>VLOOKUP($A167,Table1[],9,TRUE)</f>
        <v>Afrikaans</v>
      </c>
      <c r="G167" s="3" t="str">
        <f>VLOOKUP($A167,Table1[],10,TRUE)</f>
        <v>Web Development</v>
      </c>
      <c r="H167" s="13" t="str">
        <f>VLOOKUP($A167,Table1[],12,TRUE)</f>
        <v>Unknown</v>
      </c>
      <c r="I167" s="20">
        <v>75</v>
      </c>
      <c r="J167" s="15">
        <f>VLOOKUP($A167,Table1[],18,TRUE)</f>
        <v>1.3</v>
      </c>
      <c r="K167" s="12" t="str">
        <f>VLOOKUP($A167,Table1[],22,TRUE)</f>
        <v>TRUE</v>
      </c>
      <c r="L167" s="13">
        <f>VLOOKUP($A167,Table1[],25,TRUE)</f>
        <v>0.65</v>
      </c>
    </row>
    <row r="168" spans="1:12" x14ac:dyDescent="0.25">
      <c r="A168" t="s">
        <v>417</v>
      </c>
      <c r="B168" s="18" t="str">
        <f>VLOOKUP(A168,Table1[],3,TRUE)</f>
        <v>John Smith</v>
      </c>
      <c r="C168" s="18" t="str">
        <f>VLOOKUP($A168,Table1[],5,TRUE)</f>
        <v>Male</v>
      </c>
      <c r="D168" s="3" t="str">
        <f>VLOOKUP($A168,Table1[],7,TRUE)</f>
        <v>60</v>
      </c>
      <c r="E168" s="3" t="str">
        <f>VLOOKUP($A168,Table1[],8,TRUE)</f>
        <v>South Korea</v>
      </c>
      <c r="F168" s="3" t="str">
        <f>VLOOKUP($A168,Table1[],9,TRUE)</f>
        <v>Korean</v>
      </c>
      <c r="G168" s="3" t="str">
        <f>VLOOKUP($A168,Table1[],10,TRUE)</f>
        <v>Mobile Apps</v>
      </c>
      <c r="H168" s="13" t="str">
        <f>VLOOKUP($A168,Table1[],12,TRUE)</f>
        <v>33</v>
      </c>
      <c r="I168" s="20">
        <v>40</v>
      </c>
      <c r="J168" s="15">
        <f>VLOOKUP($A168,Table1[],18,TRUE)</f>
        <v>3.6</v>
      </c>
      <c r="K168" s="12" t="str">
        <f>VLOOKUP($A168,Table1[],22,TRUE)</f>
        <v>TRUE</v>
      </c>
      <c r="L168" s="13">
        <f>VLOOKUP($A168,Table1[],25,TRUE)</f>
        <v>0.87</v>
      </c>
    </row>
    <row r="169" spans="1:12" x14ac:dyDescent="0.25">
      <c r="A169" t="s">
        <v>419</v>
      </c>
      <c r="B169" s="18" t="str">
        <f>VLOOKUP(A169,Table1[],3,TRUE)</f>
        <v>Susan Baker</v>
      </c>
      <c r="C169" s="18" t="str">
        <f>VLOOKUP($A169,Table1[],5,TRUE)</f>
        <v>Female</v>
      </c>
      <c r="D169" s="3" t="str">
        <f>VLOOKUP($A169,Table1[],7,TRUE)</f>
        <v>31</v>
      </c>
      <c r="E169" s="3" t="str">
        <f>VLOOKUP($A169,Table1[],8,TRUE)</f>
        <v>Canada</v>
      </c>
      <c r="F169" s="3" t="str">
        <f>VLOOKUP($A169,Table1[],9,TRUE)</f>
        <v>English</v>
      </c>
      <c r="G169" s="3" t="str">
        <f>VLOOKUP($A169,Table1[],10,TRUE)</f>
        <v>Web Development</v>
      </c>
      <c r="H169" s="13" t="str">
        <f>VLOOKUP($A169,Table1[],12,TRUE)</f>
        <v>10</v>
      </c>
      <c r="I169" s="20">
        <v>75</v>
      </c>
      <c r="J169" s="15">
        <f>VLOOKUP($A169,Table1[],18,TRUE)</f>
        <v>0</v>
      </c>
      <c r="K169" s="12" t="str">
        <f>VLOOKUP($A169,Table1[],22,TRUE)</f>
        <v>FALSE</v>
      </c>
      <c r="L169" s="13">
        <f>VLOOKUP($A169,Table1[],25,TRUE)</f>
        <v>0.7</v>
      </c>
    </row>
    <row r="170" spans="1:12" x14ac:dyDescent="0.25">
      <c r="A170" t="s">
        <v>421</v>
      </c>
      <c r="B170" s="18" t="str">
        <f>VLOOKUP(A170,Table1[],3,TRUE)</f>
        <v>Anthony Larsen</v>
      </c>
      <c r="C170" s="18" t="str">
        <f>VLOOKUP($A170,Table1[],5,TRUE)</f>
        <v>Male</v>
      </c>
      <c r="D170" s="3" t="str">
        <f>VLOOKUP($A170,Table1[],7,TRUE)</f>
        <v>60</v>
      </c>
      <c r="E170" s="3" t="str">
        <f>VLOOKUP($A170,Table1[],8,TRUE)</f>
        <v>Argentina</v>
      </c>
      <c r="F170" s="3" t="str">
        <f>VLOOKUP($A170,Table1[],9,TRUE)</f>
        <v>Spanish</v>
      </c>
      <c r="G170" s="3" t="str">
        <f>VLOOKUP($A170,Table1[],10,TRUE)</f>
        <v>Cybersecurity</v>
      </c>
      <c r="H170" s="13" t="str">
        <f>VLOOKUP($A170,Table1[],12,TRUE)</f>
        <v>20</v>
      </c>
      <c r="I170" s="20">
        <v>40</v>
      </c>
      <c r="J170" s="15">
        <f>VLOOKUP($A170,Table1[],18,TRUE)</f>
        <v>1.4</v>
      </c>
      <c r="K170" s="12" t="str">
        <f>VLOOKUP($A170,Table1[],22,TRUE)</f>
        <v>FALSE</v>
      </c>
      <c r="L170" s="13">
        <f>VLOOKUP($A170,Table1[],25,TRUE)</f>
        <v>0.87</v>
      </c>
    </row>
    <row r="171" spans="1:12" x14ac:dyDescent="0.25">
      <c r="A171" t="s">
        <v>423</v>
      </c>
      <c r="B171" s="18" t="str">
        <f>VLOOKUP(A171,Table1[],3,TRUE)</f>
        <v>Nicholas Carpenter</v>
      </c>
      <c r="C171" s="18" t="str">
        <f>VLOOKUP($A171,Table1[],5,TRUE)</f>
        <v>Male</v>
      </c>
      <c r="D171" s="3" t="str">
        <f>VLOOKUP($A171,Table1[],7,TRUE)</f>
        <v>46</v>
      </c>
      <c r="E171" s="3" t="str">
        <f>VLOOKUP($A171,Table1[],8,TRUE)</f>
        <v>France</v>
      </c>
      <c r="F171" s="3" t="str">
        <f>VLOOKUP($A171,Table1[],9,TRUE)</f>
        <v>French</v>
      </c>
      <c r="G171" s="3" t="str">
        <f>VLOOKUP($A171,Table1[],10,TRUE)</f>
        <v>DevOps</v>
      </c>
      <c r="H171" s="13" t="str">
        <f>VLOOKUP($A171,Table1[],12,TRUE)</f>
        <v>23</v>
      </c>
      <c r="I171" s="20">
        <v>20</v>
      </c>
      <c r="J171" s="15">
        <f>VLOOKUP($A171,Table1[],18,TRUE)</f>
        <v>2.9</v>
      </c>
      <c r="K171" s="12" t="str">
        <f>VLOOKUP($A171,Table1[],22,TRUE)</f>
        <v>FALSE</v>
      </c>
      <c r="L171" s="13">
        <f>VLOOKUP($A171,Table1[],25,TRUE)</f>
        <v>0.72</v>
      </c>
    </row>
    <row r="172" spans="1:12" x14ac:dyDescent="0.25">
      <c r="A172" t="s">
        <v>425</v>
      </c>
      <c r="B172" s="18" t="str">
        <f>VLOOKUP(A172,Table1[],3,TRUE)</f>
        <v>Debra Salazar</v>
      </c>
      <c r="C172" s="18" t="str">
        <f>VLOOKUP($A172,Table1[],5,TRUE)</f>
        <v>Female</v>
      </c>
      <c r="D172" s="3" t="str">
        <f>VLOOKUP($A172,Table1[],7,TRUE)</f>
        <v>Unknown</v>
      </c>
      <c r="E172" s="3" t="str">
        <f>VLOOKUP($A172,Table1[],8,TRUE)</f>
        <v>Netherlands</v>
      </c>
      <c r="F172" s="3" t="str">
        <f>VLOOKUP($A172,Table1[],9,TRUE)</f>
        <v>Dutch</v>
      </c>
      <c r="G172" s="3" t="str">
        <f>VLOOKUP($A172,Table1[],10,TRUE)</f>
        <v>Blockchain Development</v>
      </c>
      <c r="H172" s="13" t="str">
        <f>VLOOKUP($A172,Table1[],12,TRUE)</f>
        <v>Unknown</v>
      </c>
      <c r="I172" s="20">
        <v>40</v>
      </c>
      <c r="J172" s="15">
        <f>VLOOKUP($A172,Table1[],18,TRUE)</f>
        <v>2.8</v>
      </c>
      <c r="K172" s="12" t="str">
        <f>VLOOKUP($A172,Table1[],22,TRUE)</f>
        <v>FALSE</v>
      </c>
      <c r="L172" s="13">
        <f>VLOOKUP($A172,Table1[],25,TRUE)</f>
        <v>0.8</v>
      </c>
    </row>
    <row r="173" spans="1:12" x14ac:dyDescent="0.25">
      <c r="A173" t="s">
        <v>427</v>
      </c>
      <c r="B173" s="18" t="str">
        <f>VLOOKUP(A173,Table1[],3,TRUE)</f>
        <v>William Smith</v>
      </c>
      <c r="C173" s="18" t="str">
        <f>VLOOKUP($A173,Table1[],5,TRUE)</f>
        <v>Male</v>
      </c>
      <c r="D173" s="3" t="str">
        <f>VLOOKUP($A173,Table1[],7,TRUE)</f>
        <v>34</v>
      </c>
      <c r="E173" s="3" t="str">
        <f>VLOOKUP($A173,Table1[],8,TRUE)</f>
        <v>Japan</v>
      </c>
      <c r="F173" s="3" t="str">
        <f>VLOOKUP($A173,Table1[],9,TRUE)</f>
        <v>Japanese</v>
      </c>
      <c r="G173" s="3" t="str">
        <f>VLOOKUP($A173,Table1[],10,TRUE)</f>
        <v>UI/UX Design</v>
      </c>
      <c r="H173" s="13" t="str">
        <f>VLOOKUP($A173,Table1[],12,TRUE)</f>
        <v>0</v>
      </c>
      <c r="I173" s="20">
        <v>20</v>
      </c>
      <c r="J173" s="15">
        <f>VLOOKUP($A173,Table1[],18,TRUE)</f>
        <v>1.7</v>
      </c>
      <c r="K173" s="12" t="str">
        <f>VLOOKUP($A173,Table1[],22,TRUE)</f>
        <v>FALSE</v>
      </c>
      <c r="L173" s="13">
        <f>VLOOKUP($A173,Table1[],25,TRUE)</f>
        <v>0.66</v>
      </c>
    </row>
    <row r="174" spans="1:12" x14ac:dyDescent="0.25">
      <c r="A174" t="s">
        <v>429</v>
      </c>
      <c r="B174" s="18" t="str">
        <f>VLOOKUP(A174,Table1[],3,TRUE)</f>
        <v>Caroline Gross</v>
      </c>
      <c r="C174" s="18" t="str">
        <f>VLOOKUP($A174,Table1[],5,TRUE)</f>
        <v>Female</v>
      </c>
      <c r="D174" s="3" t="str">
        <f>VLOOKUP($A174,Table1[],7,TRUE)</f>
        <v>42</v>
      </c>
      <c r="E174" s="3" t="str">
        <f>VLOOKUP($A174,Table1[],8,TRUE)</f>
        <v>Netherlands</v>
      </c>
      <c r="F174" s="3" t="str">
        <f>VLOOKUP($A174,Table1[],9,TRUE)</f>
        <v>Dutch</v>
      </c>
      <c r="G174" s="3" t="str">
        <f>VLOOKUP($A174,Table1[],10,TRUE)</f>
        <v>Graphic Design</v>
      </c>
      <c r="H174" s="13" t="str">
        <f>VLOOKUP($A174,Table1[],12,TRUE)</f>
        <v>7</v>
      </c>
      <c r="I174" s="20">
        <v>40</v>
      </c>
      <c r="J174" s="15">
        <f>VLOOKUP($A174,Table1[],18,TRUE)</f>
        <v>0</v>
      </c>
      <c r="K174" s="12" t="str">
        <f>VLOOKUP($A174,Table1[],22,TRUE)</f>
        <v>TRUE</v>
      </c>
      <c r="L174" s="13">
        <f>VLOOKUP($A174,Table1[],25,TRUE)</f>
        <v>0.75</v>
      </c>
    </row>
    <row r="175" spans="1:12" x14ac:dyDescent="0.25">
      <c r="A175" t="s">
        <v>431</v>
      </c>
      <c r="B175" s="18" t="str">
        <f>VLOOKUP(A175,Table1[],3,TRUE)</f>
        <v>Jeremy Sawyer</v>
      </c>
      <c r="C175" s="18" t="str">
        <f>VLOOKUP($A175,Table1[],5,TRUE)</f>
        <v>Male</v>
      </c>
      <c r="D175" s="3" t="str">
        <f>VLOOKUP($A175,Table1[],7,TRUE)</f>
        <v>31</v>
      </c>
      <c r="E175" s="3" t="str">
        <f>VLOOKUP($A175,Table1[],8,TRUE)</f>
        <v>United Kingdom</v>
      </c>
      <c r="F175" s="3" t="str">
        <f>VLOOKUP($A175,Table1[],9,TRUE)</f>
        <v>English</v>
      </c>
      <c r="G175" s="3" t="str">
        <f>VLOOKUP($A175,Table1[],10,TRUE)</f>
        <v>Data Analysis</v>
      </c>
      <c r="H175" s="13" t="str">
        <f>VLOOKUP($A175,Table1[],12,TRUE)</f>
        <v>4</v>
      </c>
      <c r="I175" s="20">
        <v>75</v>
      </c>
      <c r="J175" s="15">
        <f>VLOOKUP($A175,Table1[],18,TRUE)</f>
        <v>1.1000000000000001</v>
      </c>
      <c r="K175" s="12" t="str">
        <f>VLOOKUP($A175,Table1[],22,TRUE)</f>
        <v>TRUE</v>
      </c>
      <c r="L175" s="13">
        <f>VLOOKUP($A175,Table1[],25,TRUE)</f>
        <v>0.64</v>
      </c>
    </row>
    <row r="176" spans="1:12" x14ac:dyDescent="0.25">
      <c r="A176" t="s">
        <v>433</v>
      </c>
      <c r="B176" s="18" t="str">
        <f>VLOOKUP(A176,Table1[],3,TRUE)</f>
        <v>Eduardo Burns</v>
      </c>
      <c r="C176" s="18" t="str">
        <f>VLOOKUP($A176,Table1[],5,TRUE)</f>
        <v>Male</v>
      </c>
      <c r="D176" s="3" t="str">
        <f>VLOOKUP($A176,Table1[],7,TRUE)</f>
        <v>29</v>
      </c>
      <c r="E176" s="3" t="str">
        <f>VLOOKUP($A176,Table1[],8,TRUE)</f>
        <v>Brazil</v>
      </c>
      <c r="F176" s="3" t="str">
        <f>VLOOKUP($A176,Table1[],9,TRUE)</f>
        <v>Portuguese</v>
      </c>
      <c r="G176" s="3" t="str">
        <f>VLOOKUP($A176,Table1[],10,TRUE)</f>
        <v>UI/UX Design</v>
      </c>
      <c r="H176" s="13" t="str">
        <f>VLOOKUP($A176,Table1[],12,TRUE)</f>
        <v>9</v>
      </c>
      <c r="I176" s="20">
        <v>20</v>
      </c>
      <c r="J176" s="15">
        <f>VLOOKUP($A176,Table1[],18,TRUE)</f>
        <v>2.6</v>
      </c>
      <c r="K176" s="12" t="str">
        <f>VLOOKUP($A176,Table1[],22,TRUE)</f>
        <v>TRUE</v>
      </c>
      <c r="L176" s="13">
        <f>VLOOKUP($A176,Table1[],25,TRUE)</f>
        <v>0.68</v>
      </c>
    </row>
    <row r="177" spans="1:12" x14ac:dyDescent="0.25">
      <c r="A177" t="s">
        <v>435</v>
      </c>
      <c r="B177" s="18" t="str">
        <f>VLOOKUP(A177,Table1[],3,TRUE)</f>
        <v>Amanda Jones</v>
      </c>
      <c r="C177" s="18" t="str">
        <f>VLOOKUP($A177,Table1[],5,TRUE)</f>
        <v>Female</v>
      </c>
      <c r="D177" s="3" t="str">
        <f>VLOOKUP($A177,Table1[],7,TRUE)</f>
        <v>57</v>
      </c>
      <c r="E177" s="3" t="str">
        <f>VLOOKUP($A177,Table1[],8,TRUE)</f>
        <v>Australia</v>
      </c>
      <c r="F177" s="3" t="str">
        <f>VLOOKUP($A177,Table1[],9,TRUE)</f>
        <v>English</v>
      </c>
      <c r="G177" s="3" t="str">
        <f>VLOOKUP($A177,Table1[],10,TRUE)</f>
        <v>Graphic Design</v>
      </c>
      <c r="H177" s="13" t="str">
        <f>VLOOKUP($A177,Table1[],12,TRUE)</f>
        <v>17</v>
      </c>
      <c r="I177" s="20">
        <v>20</v>
      </c>
      <c r="J177" s="15">
        <f>VLOOKUP($A177,Table1[],18,TRUE)</f>
        <v>3.6</v>
      </c>
      <c r="K177" s="12" t="str">
        <f>VLOOKUP($A177,Table1[],22,TRUE)</f>
        <v>FALSE</v>
      </c>
      <c r="L177" s="13">
        <f>VLOOKUP($A177,Table1[],25,TRUE)</f>
        <v>0.63</v>
      </c>
    </row>
    <row r="178" spans="1:12" x14ac:dyDescent="0.25">
      <c r="A178" t="s">
        <v>437</v>
      </c>
      <c r="B178" s="18" t="str">
        <f>VLOOKUP(A178,Table1[],3,TRUE)</f>
        <v>Frederick Ware</v>
      </c>
      <c r="C178" s="18" t="str">
        <f>VLOOKUP($A178,Table1[],5,TRUE)</f>
        <v>Male</v>
      </c>
      <c r="D178" s="3" t="str">
        <f>VLOOKUP($A178,Table1[],7,TRUE)</f>
        <v>47</v>
      </c>
      <c r="E178" s="3" t="str">
        <f>VLOOKUP($A178,Table1[],8,TRUE)</f>
        <v>India</v>
      </c>
      <c r="F178" s="3" t="str">
        <f>VLOOKUP($A178,Table1[],9,TRUE)</f>
        <v>Hindi</v>
      </c>
      <c r="G178" s="3" t="str">
        <f>VLOOKUP($A178,Table1[],10,TRUE)</f>
        <v>DevOps</v>
      </c>
      <c r="H178" s="13" t="str">
        <f>VLOOKUP($A178,Table1[],12,TRUE)</f>
        <v>8</v>
      </c>
      <c r="I178" s="20">
        <v>20</v>
      </c>
      <c r="J178" s="15">
        <f>VLOOKUP($A178,Table1[],18,TRUE)</f>
        <v>4.5</v>
      </c>
      <c r="K178" s="12" t="str">
        <f>VLOOKUP($A178,Table1[],22,TRUE)</f>
        <v>TRUE</v>
      </c>
      <c r="L178" s="13">
        <f>VLOOKUP($A178,Table1[],25,TRUE)</f>
        <v>0.72</v>
      </c>
    </row>
    <row r="179" spans="1:12" x14ac:dyDescent="0.25">
      <c r="A179" t="s">
        <v>439</v>
      </c>
      <c r="B179" s="18" t="str">
        <f>VLOOKUP(A179,Table1[],3,TRUE)</f>
        <v>Michael Black</v>
      </c>
      <c r="C179" s="18" t="str">
        <f>VLOOKUP($A179,Table1[],5,TRUE)</f>
        <v>Male</v>
      </c>
      <c r="D179" s="3" t="str">
        <f>VLOOKUP($A179,Table1[],7,TRUE)</f>
        <v>47</v>
      </c>
      <c r="E179" s="3" t="str">
        <f>VLOOKUP($A179,Table1[],8,TRUE)</f>
        <v>South Africa</v>
      </c>
      <c r="F179" s="3" t="str">
        <f>VLOOKUP($A179,Table1[],9,TRUE)</f>
        <v>Afrikaans</v>
      </c>
      <c r="G179" s="3" t="str">
        <f>VLOOKUP($A179,Table1[],10,TRUE)</f>
        <v>AI</v>
      </c>
      <c r="H179" s="13" t="str">
        <f>VLOOKUP($A179,Table1[],12,TRUE)</f>
        <v>14</v>
      </c>
      <c r="I179" s="20">
        <v>30</v>
      </c>
      <c r="J179" s="15">
        <f>VLOOKUP($A179,Table1[],18,TRUE)</f>
        <v>0</v>
      </c>
      <c r="K179" s="12" t="str">
        <f>VLOOKUP($A179,Table1[],22,TRUE)</f>
        <v>TRUE</v>
      </c>
      <c r="L179" s="13">
        <f>VLOOKUP($A179,Table1[],25,TRUE)</f>
        <v>0.86</v>
      </c>
    </row>
    <row r="180" spans="1:12" x14ac:dyDescent="0.25">
      <c r="A180" t="s">
        <v>441</v>
      </c>
      <c r="B180" s="18" t="str">
        <f>VLOOKUP(A180,Table1[],3,TRUE)</f>
        <v>Patricia Sanders</v>
      </c>
      <c r="C180" s="18" t="str">
        <f>VLOOKUP($A180,Table1[],5,TRUE)</f>
        <v>Female</v>
      </c>
      <c r="D180" s="3" t="str">
        <f>VLOOKUP($A180,Table1[],7,TRUE)</f>
        <v>45</v>
      </c>
      <c r="E180" s="3" t="str">
        <f>VLOOKUP($A180,Table1[],8,TRUE)</f>
        <v>France</v>
      </c>
      <c r="F180" s="3" t="str">
        <f>VLOOKUP($A180,Table1[],9,TRUE)</f>
        <v>French</v>
      </c>
      <c r="G180" s="3" t="str">
        <f>VLOOKUP($A180,Table1[],10,TRUE)</f>
        <v>Graphic Design</v>
      </c>
      <c r="H180" s="13" t="str">
        <f>VLOOKUP($A180,Table1[],12,TRUE)</f>
        <v>21</v>
      </c>
      <c r="I180" s="20">
        <v>30</v>
      </c>
      <c r="J180" s="15">
        <f>VLOOKUP($A180,Table1[],18,TRUE)</f>
        <v>1.5</v>
      </c>
      <c r="K180" s="12" t="str">
        <f>VLOOKUP($A180,Table1[],22,TRUE)</f>
        <v>TRUE</v>
      </c>
      <c r="L180" s="13">
        <f>VLOOKUP($A180,Table1[],25,TRUE)</f>
        <v>0.73</v>
      </c>
    </row>
    <row r="181" spans="1:12" x14ac:dyDescent="0.25">
      <c r="A181" t="s">
        <v>443</v>
      </c>
      <c r="B181" s="18" t="str">
        <f>VLOOKUP(A181,Table1[],3,TRUE)</f>
        <v>Marc Joseph</v>
      </c>
      <c r="C181" s="18" t="str">
        <f>VLOOKUP($A181,Table1[],5,TRUE)</f>
        <v>Male</v>
      </c>
      <c r="D181" s="3" t="str">
        <f>VLOOKUP($A181,Table1[],7,TRUE)</f>
        <v>24</v>
      </c>
      <c r="E181" s="3" t="str">
        <f>VLOOKUP($A181,Table1[],8,TRUE)</f>
        <v>Turkey</v>
      </c>
      <c r="F181" s="3" t="str">
        <f>VLOOKUP($A181,Table1[],9,TRUE)</f>
        <v>Turkish</v>
      </c>
      <c r="G181" s="3" t="str">
        <f>VLOOKUP($A181,Table1[],10,TRUE)</f>
        <v>Machine Learning</v>
      </c>
      <c r="H181" s="13" t="str">
        <f>VLOOKUP($A181,Table1[],12,TRUE)</f>
        <v>1</v>
      </c>
      <c r="I181" s="20">
        <v>30</v>
      </c>
      <c r="J181" s="15">
        <f>VLOOKUP($A181,Table1[],18,TRUE)</f>
        <v>3.7</v>
      </c>
      <c r="K181" s="12" t="str">
        <f>VLOOKUP($A181,Table1[],22,TRUE)</f>
        <v>FALSE</v>
      </c>
      <c r="L181" s="13">
        <f>VLOOKUP($A181,Table1[],25,TRUE)</f>
        <v>0.95</v>
      </c>
    </row>
    <row r="182" spans="1:12" x14ac:dyDescent="0.25">
      <c r="A182" t="s">
        <v>445</v>
      </c>
      <c r="B182" s="18" t="str">
        <f>VLOOKUP(A182,Table1[],3,TRUE)</f>
        <v>Vanessa White</v>
      </c>
      <c r="C182" s="18" t="str">
        <f>VLOOKUP($A182,Table1[],5,TRUE)</f>
        <v>Female</v>
      </c>
      <c r="D182" s="3" t="str">
        <f>VLOOKUP($A182,Table1[],7,TRUE)</f>
        <v>31</v>
      </c>
      <c r="E182" s="3" t="str">
        <f>VLOOKUP($A182,Table1[],8,TRUE)</f>
        <v>Argentina</v>
      </c>
      <c r="F182" s="3" t="str">
        <f>VLOOKUP($A182,Table1[],9,TRUE)</f>
        <v>Spanish</v>
      </c>
      <c r="G182" s="3" t="str">
        <f>VLOOKUP($A182,Table1[],10,TRUE)</f>
        <v>Mobile Apps</v>
      </c>
      <c r="H182" s="13" t="str">
        <f>VLOOKUP($A182,Table1[],12,TRUE)</f>
        <v>12</v>
      </c>
      <c r="I182" s="20">
        <v>20</v>
      </c>
      <c r="J182" s="15">
        <f>VLOOKUP($A182,Table1[],18,TRUE)</f>
        <v>2.2999999999999998</v>
      </c>
      <c r="K182" s="12" t="str">
        <f>VLOOKUP($A182,Table1[],22,TRUE)</f>
        <v>TRUE</v>
      </c>
      <c r="L182" s="13">
        <f>VLOOKUP($A182,Table1[],25,TRUE)</f>
        <v>0.9</v>
      </c>
    </row>
    <row r="183" spans="1:12" x14ac:dyDescent="0.25">
      <c r="A183" t="s">
        <v>447</v>
      </c>
      <c r="B183" s="18" t="str">
        <f>VLOOKUP(A183,Table1[],3,TRUE)</f>
        <v>Jennifer Garcia</v>
      </c>
      <c r="C183" s="18" t="str">
        <f>VLOOKUP($A183,Table1[],5,TRUE)</f>
        <v>Female</v>
      </c>
      <c r="D183" s="3" t="str">
        <f>VLOOKUP($A183,Table1[],7,TRUE)</f>
        <v>20</v>
      </c>
      <c r="E183" s="3" t="str">
        <f>VLOOKUP($A183,Table1[],8,TRUE)</f>
        <v>Mexico</v>
      </c>
      <c r="F183" s="3" t="str">
        <f>VLOOKUP($A183,Table1[],9,TRUE)</f>
        <v>Spanish</v>
      </c>
      <c r="G183" s="3" t="str">
        <f>VLOOKUP($A183,Table1[],10,TRUE)</f>
        <v>Graphic Design</v>
      </c>
      <c r="H183" s="13" t="str">
        <f>VLOOKUP($A183,Table1[],12,TRUE)</f>
        <v>2</v>
      </c>
      <c r="I183" s="20">
        <v>20</v>
      </c>
      <c r="J183" s="15">
        <f>VLOOKUP($A183,Table1[],18,TRUE)</f>
        <v>2.8</v>
      </c>
      <c r="K183" s="12" t="str">
        <f>VLOOKUP($A183,Table1[],22,TRUE)</f>
        <v>FALSE</v>
      </c>
      <c r="L183" s="13">
        <f>VLOOKUP($A183,Table1[],25,TRUE)</f>
        <v>0.78</v>
      </c>
    </row>
    <row r="184" spans="1:12" x14ac:dyDescent="0.25">
      <c r="A184" t="s">
        <v>449</v>
      </c>
      <c r="B184" s="18" t="str">
        <f>VLOOKUP(A184,Table1[],3,TRUE)</f>
        <v>Michael Zavala</v>
      </c>
      <c r="C184" s="18" t="str">
        <f>VLOOKUP($A184,Table1[],5,TRUE)</f>
        <v>Male</v>
      </c>
      <c r="D184" s="3" t="str">
        <f>VLOOKUP($A184,Table1[],7,TRUE)</f>
        <v>38</v>
      </c>
      <c r="E184" s="3" t="str">
        <f>VLOOKUP($A184,Table1[],8,TRUE)</f>
        <v>Japan</v>
      </c>
      <c r="F184" s="3" t="str">
        <f>VLOOKUP($A184,Table1[],9,TRUE)</f>
        <v>Japanese</v>
      </c>
      <c r="G184" s="3" t="str">
        <f>VLOOKUP($A184,Table1[],10,TRUE)</f>
        <v>Web Development</v>
      </c>
      <c r="H184" s="13" t="str">
        <f>VLOOKUP($A184,Table1[],12,TRUE)</f>
        <v>3</v>
      </c>
      <c r="I184" s="20">
        <v>30</v>
      </c>
      <c r="J184" s="15">
        <f>VLOOKUP($A184,Table1[],18,TRUE)</f>
        <v>3.5</v>
      </c>
      <c r="K184" s="12" t="str">
        <f>VLOOKUP($A184,Table1[],22,TRUE)</f>
        <v>FALSE</v>
      </c>
      <c r="L184" s="13">
        <f>VLOOKUP($A184,Table1[],25,TRUE)</f>
        <v>0.97</v>
      </c>
    </row>
    <row r="185" spans="1:12" x14ac:dyDescent="0.25">
      <c r="A185" t="s">
        <v>451</v>
      </c>
      <c r="B185" s="18" t="str">
        <f>VLOOKUP(A185,Table1[],3,TRUE)</f>
        <v>Kimberly Williams</v>
      </c>
      <c r="C185" s="18" t="str">
        <f>VLOOKUP($A185,Table1[],5,TRUE)</f>
        <v>Female</v>
      </c>
      <c r="D185" s="3" t="str">
        <f>VLOOKUP($A185,Table1[],7,TRUE)</f>
        <v>33</v>
      </c>
      <c r="E185" s="3" t="str">
        <f>VLOOKUP($A185,Table1[],8,TRUE)</f>
        <v>Germany</v>
      </c>
      <c r="F185" s="3" t="str">
        <f>VLOOKUP($A185,Table1[],9,TRUE)</f>
        <v>German</v>
      </c>
      <c r="G185" s="3" t="str">
        <f>VLOOKUP($A185,Table1[],10,TRUE)</f>
        <v>UI/UX Design</v>
      </c>
      <c r="H185" s="13" t="str">
        <f>VLOOKUP($A185,Table1[],12,TRUE)</f>
        <v>11</v>
      </c>
      <c r="I185" s="20">
        <v>50</v>
      </c>
      <c r="J185" s="15">
        <f>VLOOKUP($A185,Table1[],18,TRUE)</f>
        <v>0</v>
      </c>
      <c r="K185" s="12" t="str">
        <f>VLOOKUP($A185,Table1[],22,TRUE)</f>
        <v>TRUE</v>
      </c>
      <c r="L185" s="13">
        <f>VLOOKUP($A185,Table1[],25,TRUE)</f>
        <v>0.65</v>
      </c>
    </row>
    <row r="186" spans="1:12" x14ac:dyDescent="0.25">
      <c r="A186" t="s">
        <v>453</v>
      </c>
      <c r="B186" s="18" t="str">
        <f>VLOOKUP(A186,Table1[],3,TRUE)</f>
        <v>Elizabeth Jenkins</v>
      </c>
      <c r="C186" s="18" t="str">
        <f>VLOOKUP($A186,Table1[],5,TRUE)</f>
        <v>Female</v>
      </c>
      <c r="D186" s="3" t="str">
        <f>VLOOKUP($A186,Table1[],7,TRUE)</f>
        <v>31</v>
      </c>
      <c r="E186" s="3" t="str">
        <f>VLOOKUP($A186,Table1[],8,TRUE)</f>
        <v>Australia</v>
      </c>
      <c r="F186" s="3" t="str">
        <f>VLOOKUP($A186,Table1[],9,TRUE)</f>
        <v>English</v>
      </c>
      <c r="G186" s="3" t="str">
        <f>VLOOKUP($A186,Table1[],10,TRUE)</f>
        <v>Web Development</v>
      </c>
      <c r="H186" s="13" t="str">
        <f>VLOOKUP($A186,Table1[],12,TRUE)</f>
        <v>4</v>
      </c>
      <c r="I186" s="20">
        <v>40</v>
      </c>
      <c r="J186" s="15">
        <f>VLOOKUP($A186,Table1[],18,TRUE)</f>
        <v>3.2</v>
      </c>
      <c r="K186" s="12" t="str">
        <f>VLOOKUP($A186,Table1[],22,TRUE)</f>
        <v>TRUE</v>
      </c>
      <c r="L186" s="13">
        <f>VLOOKUP($A186,Table1[],25,TRUE)</f>
        <v>0.78</v>
      </c>
    </row>
    <row r="187" spans="1:12" x14ac:dyDescent="0.25">
      <c r="A187" t="s">
        <v>455</v>
      </c>
      <c r="B187" s="18" t="str">
        <f>VLOOKUP(A187,Table1[],3,TRUE)</f>
        <v>Brandon Ford</v>
      </c>
      <c r="C187" s="18" t="str">
        <f>VLOOKUP($A187,Table1[],5,TRUE)</f>
        <v>Male</v>
      </c>
      <c r="D187" s="3" t="str">
        <f>VLOOKUP($A187,Table1[],7,TRUE)</f>
        <v>41</v>
      </c>
      <c r="E187" s="3" t="str">
        <f>VLOOKUP($A187,Table1[],8,TRUE)</f>
        <v>Spain</v>
      </c>
      <c r="F187" s="3" t="str">
        <f>VLOOKUP($A187,Table1[],9,TRUE)</f>
        <v>Spanish</v>
      </c>
      <c r="G187" s="3" t="str">
        <f>VLOOKUP($A187,Table1[],10,TRUE)</f>
        <v>Machine Learning</v>
      </c>
      <c r="H187" s="13" t="str">
        <f>VLOOKUP($A187,Table1[],12,TRUE)</f>
        <v>21</v>
      </c>
      <c r="I187" s="20">
        <v>50</v>
      </c>
      <c r="J187" s="15">
        <f>VLOOKUP($A187,Table1[],18,TRUE)</f>
        <v>3.3</v>
      </c>
      <c r="K187" s="12" t="str">
        <f>VLOOKUP($A187,Table1[],22,TRUE)</f>
        <v>TRUE</v>
      </c>
      <c r="L187" s="13">
        <f>VLOOKUP($A187,Table1[],25,TRUE)</f>
        <v>0.65</v>
      </c>
    </row>
    <row r="188" spans="1:12" x14ac:dyDescent="0.25">
      <c r="A188" t="s">
        <v>457</v>
      </c>
      <c r="B188" s="18" t="str">
        <f>VLOOKUP(A188,Table1[],3,TRUE)</f>
        <v>Justin House</v>
      </c>
      <c r="C188" s="18" t="str">
        <f>VLOOKUP($A188,Table1[],5,TRUE)</f>
        <v>Male</v>
      </c>
      <c r="D188" s="3" t="str">
        <f>VLOOKUP($A188,Table1[],7,TRUE)</f>
        <v>54</v>
      </c>
      <c r="E188" s="3" t="str">
        <f>VLOOKUP($A188,Table1[],8,TRUE)</f>
        <v>Turkey</v>
      </c>
      <c r="F188" s="3" t="str">
        <f>VLOOKUP($A188,Table1[],9,TRUE)</f>
        <v>Turkish</v>
      </c>
      <c r="G188" s="3" t="str">
        <f>VLOOKUP($A188,Table1[],10,TRUE)</f>
        <v>Web Development</v>
      </c>
      <c r="H188" s="13" t="str">
        <f>VLOOKUP($A188,Table1[],12,TRUE)</f>
        <v>0</v>
      </c>
      <c r="I188" s="20">
        <v>20</v>
      </c>
      <c r="J188" s="15">
        <f>VLOOKUP($A188,Table1[],18,TRUE)</f>
        <v>4.9000000000000004</v>
      </c>
      <c r="K188" s="12" t="str">
        <f>VLOOKUP($A188,Table1[],22,TRUE)</f>
        <v>TRUE</v>
      </c>
      <c r="L188" s="13">
        <f>VLOOKUP($A188,Table1[],25,TRUE)</f>
        <v>0.75</v>
      </c>
    </row>
    <row r="189" spans="1:12" x14ac:dyDescent="0.25">
      <c r="A189" t="s">
        <v>459</v>
      </c>
      <c r="B189" s="18" t="str">
        <f>VLOOKUP(A189,Table1[],3,TRUE)</f>
        <v>Henry Mullen</v>
      </c>
      <c r="C189" s="18" t="str">
        <f>VLOOKUP($A189,Table1[],5,TRUE)</f>
        <v>Male</v>
      </c>
      <c r="D189" s="3" t="str">
        <f>VLOOKUP($A189,Table1[],7,TRUE)</f>
        <v>50</v>
      </c>
      <c r="E189" s="3" t="str">
        <f>VLOOKUP($A189,Table1[],8,TRUE)</f>
        <v>Mexico</v>
      </c>
      <c r="F189" s="3" t="str">
        <f>VLOOKUP($A189,Table1[],9,TRUE)</f>
        <v>Spanish</v>
      </c>
      <c r="G189" s="3" t="str">
        <f>VLOOKUP($A189,Table1[],10,TRUE)</f>
        <v>Data Analysis</v>
      </c>
      <c r="H189" s="13" t="str">
        <f>VLOOKUP($A189,Table1[],12,TRUE)</f>
        <v>6</v>
      </c>
      <c r="I189" s="20">
        <v>30</v>
      </c>
      <c r="J189" s="15">
        <f>VLOOKUP($A189,Table1[],18,TRUE)</f>
        <v>2.2000000000000002</v>
      </c>
      <c r="K189" s="12" t="str">
        <f>VLOOKUP($A189,Table1[],22,TRUE)</f>
        <v>TRUE</v>
      </c>
      <c r="L189" s="13">
        <f>VLOOKUP($A189,Table1[],25,TRUE)</f>
        <v>0.95</v>
      </c>
    </row>
    <row r="190" spans="1:12" x14ac:dyDescent="0.25">
      <c r="A190" t="s">
        <v>461</v>
      </c>
      <c r="B190" s="18" t="str">
        <f>VLOOKUP(A190,Table1[],3,TRUE)</f>
        <v>Jesse Cochran</v>
      </c>
      <c r="C190" s="18" t="str">
        <f>VLOOKUP($A190,Table1[],5,TRUE)</f>
        <v>Male</v>
      </c>
      <c r="D190" s="3" t="str">
        <f>VLOOKUP($A190,Table1[],7,TRUE)</f>
        <v>48</v>
      </c>
      <c r="E190" s="3" t="str">
        <f>VLOOKUP($A190,Table1[],8,TRUE)</f>
        <v>Brazil</v>
      </c>
      <c r="F190" s="3" t="str">
        <f>VLOOKUP($A190,Table1[],9,TRUE)</f>
        <v>Portuguese</v>
      </c>
      <c r="G190" s="3" t="str">
        <f>VLOOKUP($A190,Table1[],10,TRUE)</f>
        <v>Machine Learning</v>
      </c>
      <c r="H190" s="13" t="str">
        <f>VLOOKUP($A190,Table1[],12,TRUE)</f>
        <v>18</v>
      </c>
      <c r="I190" s="20">
        <v>40</v>
      </c>
      <c r="J190" s="15">
        <f>VLOOKUP($A190,Table1[],18,TRUE)</f>
        <v>2.6</v>
      </c>
      <c r="K190" s="12" t="str">
        <f>VLOOKUP($A190,Table1[],22,TRUE)</f>
        <v>TRUE</v>
      </c>
      <c r="L190" s="13">
        <f>VLOOKUP($A190,Table1[],25,TRUE)</f>
        <v>0.88</v>
      </c>
    </row>
    <row r="191" spans="1:12" x14ac:dyDescent="0.25">
      <c r="A191" t="s">
        <v>463</v>
      </c>
      <c r="B191" s="18" t="str">
        <f>VLOOKUP(A191,Table1[],3,TRUE)</f>
        <v>Melissa Rich</v>
      </c>
      <c r="C191" s="18" t="str">
        <f>VLOOKUP($A191,Table1[],5,TRUE)</f>
        <v>Female</v>
      </c>
      <c r="D191" s="3" t="str">
        <f>VLOOKUP($A191,Table1[],7,TRUE)</f>
        <v>49</v>
      </c>
      <c r="E191" s="3" t="str">
        <f>VLOOKUP($A191,Table1[],8,TRUE)</f>
        <v>Mexico</v>
      </c>
      <c r="F191" s="3" t="str">
        <f>VLOOKUP($A191,Table1[],9,TRUE)</f>
        <v>Spanish</v>
      </c>
      <c r="G191" s="3" t="str">
        <f>VLOOKUP($A191,Table1[],10,TRUE)</f>
        <v>Graphic Design</v>
      </c>
      <c r="H191" s="13" t="str">
        <f>VLOOKUP($A191,Table1[],12,TRUE)</f>
        <v>Unknown</v>
      </c>
      <c r="I191" s="20">
        <v>50</v>
      </c>
      <c r="J191" s="15">
        <f>VLOOKUP($A191,Table1[],18,TRUE)</f>
        <v>1.8</v>
      </c>
      <c r="K191" s="12" t="str">
        <f>VLOOKUP($A191,Table1[],22,TRUE)</f>
        <v>FALSE</v>
      </c>
      <c r="L191" s="13">
        <f>VLOOKUP($A191,Table1[],25,TRUE)</f>
        <v>0.75</v>
      </c>
    </row>
    <row r="192" spans="1:12" x14ac:dyDescent="0.25">
      <c r="A192" t="s">
        <v>465</v>
      </c>
      <c r="B192" s="18" t="str">
        <f>VLOOKUP(A192,Table1[],3,TRUE)</f>
        <v>Patrick Dunlap</v>
      </c>
      <c r="C192" s="18" t="str">
        <f>VLOOKUP($A192,Table1[],5,TRUE)</f>
        <v>Male</v>
      </c>
      <c r="D192" s="3" t="str">
        <f>VLOOKUP($A192,Table1[],7,TRUE)</f>
        <v>21</v>
      </c>
      <c r="E192" s="3" t="str">
        <f>VLOOKUP($A192,Table1[],8,TRUE)</f>
        <v>South Korea</v>
      </c>
      <c r="F192" s="3" t="str">
        <f>VLOOKUP($A192,Table1[],9,TRUE)</f>
        <v>Korean</v>
      </c>
      <c r="G192" s="3" t="str">
        <f>VLOOKUP($A192,Table1[],10,TRUE)</f>
        <v>Graphic Design</v>
      </c>
      <c r="H192" s="13" t="str">
        <f>VLOOKUP($A192,Table1[],12,TRUE)</f>
        <v>1</v>
      </c>
      <c r="I192" s="20">
        <v>75</v>
      </c>
      <c r="J192" s="15">
        <f>VLOOKUP($A192,Table1[],18,TRUE)</f>
        <v>4.5999999999999996</v>
      </c>
      <c r="K192" s="12" t="str">
        <f>VLOOKUP($A192,Table1[],22,TRUE)</f>
        <v>FALSE</v>
      </c>
      <c r="L192" s="13">
        <f>VLOOKUP($A192,Table1[],25,TRUE)</f>
        <v>0.92</v>
      </c>
    </row>
    <row r="193" spans="1:12" x14ac:dyDescent="0.25">
      <c r="A193" t="s">
        <v>467</v>
      </c>
      <c r="B193" s="18" t="str">
        <f>VLOOKUP(A193,Table1[],3,TRUE)</f>
        <v>Troy Carson</v>
      </c>
      <c r="C193" s="18" t="str">
        <f>VLOOKUP($A193,Table1[],5,TRUE)</f>
        <v>Male</v>
      </c>
      <c r="D193" s="3" t="str">
        <f>VLOOKUP($A193,Table1[],7,TRUE)</f>
        <v>58</v>
      </c>
      <c r="E193" s="3" t="str">
        <f>VLOOKUP($A193,Table1[],8,TRUE)</f>
        <v>Australia</v>
      </c>
      <c r="F193" s="3" t="str">
        <f>VLOOKUP($A193,Table1[],9,TRUE)</f>
        <v>English</v>
      </c>
      <c r="G193" s="3" t="str">
        <f>VLOOKUP($A193,Table1[],10,TRUE)</f>
        <v>Graphic Design</v>
      </c>
      <c r="H193" s="13" t="str">
        <f>VLOOKUP($A193,Table1[],12,TRUE)</f>
        <v>20</v>
      </c>
      <c r="I193" s="20">
        <v>75</v>
      </c>
      <c r="J193" s="15">
        <f>VLOOKUP($A193,Table1[],18,TRUE)</f>
        <v>2.8</v>
      </c>
      <c r="K193" s="12" t="str">
        <f>VLOOKUP($A193,Table1[],22,TRUE)</f>
        <v>FALSE</v>
      </c>
      <c r="L193" s="13">
        <f>VLOOKUP($A193,Table1[],25,TRUE)</f>
        <v>0.75</v>
      </c>
    </row>
    <row r="194" spans="1:12" x14ac:dyDescent="0.25">
      <c r="A194" t="s">
        <v>469</v>
      </c>
      <c r="B194" s="18" t="str">
        <f>VLOOKUP(A194,Table1[],3,TRUE)</f>
        <v>Matthew Smith</v>
      </c>
      <c r="C194" s="18" t="str">
        <f>VLOOKUP($A194,Table1[],5,TRUE)</f>
        <v>Male</v>
      </c>
      <c r="D194" s="3" t="str">
        <f>VLOOKUP($A194,Table1[],7,TRUE)</f>
        <v>41</v>
      </c>
      <c r="E194" s="3" t="str">
        <f>VLOOKUP($A194,Table1[],8,TRUE)</f>
        <v>Italy</v>
      </c>
      <c r="F194" s="3" t="str">
        <f>VLOOKUP($A194,Table1[],9,TRUE)</f>
        <v>Italian</v>
      </c>
      <c r="G194" s="3" t="str">
        <f>VLOOKUP($A194,Table1[],10,TRUE)</f>
        <v>DevOps</v>
      </c>
      <c r="H194" s="13" t="str">
        <f>VLOOKUP($A194,Table1[],12,TRUE)</f>
        <v>Unknown</v>
      </c>
      <c r="I194" s="20">
        <v>30</v>
      </c>
      <c r="J194" s="15">
        <f>VLOOKUP($A194,Table1[],18,TRUE)</f>
        <v>1.4</v>
      </c>
      <c r="K194" s="12" t="str">
        <f>VLOOKUP($A194,Table1[],22,TRUE)</f>
        <v>TRUE</v>
      </c>
      <c r="L194" s="13">
        <f>VLOOKUP($A194,Table1[],25,TRUE)</f>
        <v>0.74</v>
      </c>
    </row>
    <row r="195" spans="1:12" x14ac:dyDescent="0.25">
      <c r="A195" t="s">
        <v>470</v>
      </c>
      <c r="B195" s="18" t="str">
        <f>VLOOKUP(A195,Table1[],3,TRUE)</f>
        <v>Jennifer Cherry</v>
      </c>
      <c r="C195" s="18" t="str">
        <f>VLOOKUP($A195,Table1[],5,TRUE)</f>
        <v>Female</v>
      </c>
      <c r="D195" s="3" t="str">
        <f>VLOOKUP($A195,Table1[],7,TRUE)</f>
        <v>58</v>
      </c>
      <c r="E195" s="3" t="str">
        <f>VLOOKUP($A195,Table1[],8,TRUE)</f>
        <v>Russia</v>
      </c>
      <c r="F195" s="3" t="str">
        <f>VLOOKUP($A195,Table1[],9,TRUE)</f>
        <v>Russian</v>
      </c>
      <c r="G195" s="3" t="str">
        <f>VLOOKUP($A195,Table1[],10,TRUE)</f>
        <v>Blockchain Development</v>
      </c>
      <c r="H195" s="13" t="str">
        <f>VLOOKUP($A195,Table1[],12,TRUE)</f>
        <v>25</v>
      </c>
      <c r="I195" s="20">
        <v>30</v>
      </c>
      <c r="J195" s="15">
        <f>VLOOKUP($A195,Table1[],18,TRUE)</f>
        <v>4.2</v>
      </c>
      <c r="K195" s="12" t="str">
        <f>VLOOKUP($A195,Table1[],22,TRUE)</f>
        <v>TRUE</v>
      </c>
      <c r="L195" s="13">
        <f>VLOOKUP($A195,Table1[],25,TRUE)</f>
        <v>0.71</v>
      </c>
    </row>
    <row r="196" spans="1:12" x14ac:dyDescent="0.25">
      <c r="A196" t="s">
        <v>472</v>
      </c>
      <c r="B196" s="18" t="str">
        <f>VLOOKUP(A196,Table1[],3,TRUE)</f>
        <v>Brandi Tucker</v>
      </c>
      <c r="C196" s="18" t="str">
        <f>VLOOKUP($A196,Table1[],5,TRUE)</f>
        <v>Female</v>
      </c>
      <c r="D196" s="3" t="str">
        <f>VLOOKUP($A196,Table1[],7,TRUE)</f>
        <v>50</v>
      </c>
      <c r="E196" s="3" t="str">
        <f>VLOOKUP($A196,Table1[],8,TRUE)</f>
        <v>South Africa</v>
      </c>
      <c r="F196" s="3" t="str">
        <f>VLOOKUP($A196,Table1[],9,TRUE)</f>
        <v>Afrikaans</v>
      </c>
      <c r="G196" s="3" t="str">
        <f>VLOOKUP($A196,Table1[],10,TRUE)</f>
        <v>Graphic Design</v>
      </c>
      <c r="H196" s="13" t="str">
        <f>VLOOKUP($A196,Table1[],12,TRUE)</f>
        <v>20</v>
      </c>
      <c r="I196" s="20">
        <v>40</v>
      </c>
      <c r="J196" s="15">
        <f>VLOOKUP($A196,Table1[],18,TRUE)</f>
        <v>3.6</v>
      </c>
      <c r="K196" s="12" t="str">
        <f>VLOOKUP($A196,Table1[],22,TRUE)</f>
        <v>TRUE</v>
      </c>
      <c r="L196" s="13">
        <f>VLOOKUP($A196,Table1[],25,TRUE)</f>
        <v>0.89</v>
      </c>
    </row>
    <row r="197" spans="1:12" x14ac:dyDescent="0.25">
      <c r="A197" t="s">
        <v>474</v>
      </c>
      <c r="B197" s="18" t="str">
        <f>VLOOKUP(A197,Table1[],3,TRUE)</f>
        <v>Zachary Burke</v>
      </c>
      <c r="C197" s="18" t="str">
        <f>VLOOKUP($A197,Table1[],5,TRUE)</f>
        <v>Male</v>
      </c>
      <c r="D197" s="3" t="str">
        <f>VLOOKUP($A197,Table1[],7,TRUE)</f>
        <v>52</v>
      </c>
      <c r="E197" s="3" t="str">
        <f>VLOOKUP($A197,Table1[],8,TRUE)</f>
        <v>Indonesia</v>
      </c>
      <c r="F197" s="3" t="str">
        <f>VLOOKUP($A197,Table1[],9,TRUE)</f>
        <v>Indonesian</v>
      </c>
      <c r="G197" s="3" t="str">
        <f>VLOOKUP($A197,Table1[],10,TRUE)</f>
        <v>Web Development</v>
      </c>
      <c r="H197" s="13" t="str">
        <f>VLOOKUP($A197,Table1[],12,TRUE)</f>
        <v>33</v>
      </c>
      <c r="I197" s="20">
        <v>100</v>
      </c>
      <c r="J197" s="15">
        <f>VLOOKUP($A197,Table1[],18,TRUE)</f>
        <v>1.6</v>
      </c>
      <c r="K197" s="12" t="str">
        <f>VLOOKUP($A197,Table1[],22,TRUE)</f>
        <v>TRUE</v>
      </c>
      <c r="L197" s="13">
        <f>VLOOKUP($A197,Table1[],25,TRUE)</f>
        <v>0.66</v>
      </c>
    </row>
    <row r="198" spans="1:12" x14ac:dyDescent="0.25">
      <c r="A198" t="s">
        <v>476</v>
      </c>
      <c r="B198" s="18" t="str">
        <f>VLOOKUP(A198,Table1[],3,TRUE)</f>
        <v>Thomas Jones</v>
      </c>
      <c r="C198" s="18" t="str">
        <f>VLOOKUP($A198,Table1[],5,TRUE)</f>
        <v>Male</v>
      </c>
      <c r="D198" s="3" t="str">
        <f>VLOOKUP($A198,Table1[],7,TRUE)</f>
        <v>34</v>
      </c>
      <c r="E198" s="3" t="str">
        <f>VLOOKUP($A198,Table1[],8,TRUE)</f>
        <v>Netherlands</v>
      </c>
      <c r="F198" s="3" t="str">
        <f>VLOOKUP($A198,Table1[],9,TRUE)</f>
        <v>Dutch</v>
      </c>
      <c r="G198" s="3" t="str">
        <f>VLOOKUP($A198,Table1[],10,TRUE)</f>
        <v>Data Analysis</v>
      </c>
      <c r="H198" s="13" t="str">
        <f>VLOOKUP($A198,Table1[],12,TRUE)</f>
        <v>6</v>
      </c>
      <c r="I198" s="20">
        <v>100</v>
      </c>
      <c r="J198" s="15">
        <f>VLOOKUP($A198,Table1[],18,TRUE)</f>
        <v>2</v>
      </c>
      <c r="K198" s="12" t="str">
        <f>VLOOKUP($A198,Table1[],22,TRUE)</f>
        <v>FALSE</v>
      </c>
      <c r="L198" s="13">
        <f>VLOOKUP($A198,Table1[],25,TRUE)</f>
        <v>0.75</v>
      </c>
    </row>
    <row r="199" spans="1:12" x14ac:dyDescent="0.25">
      <c r="A199" t="s">
        <v>478</v>
      </c>
      <c r="B199" s="18" t="str">
        <f>VLOOKUP(A199,Table1[],3,TRUE)</f>
        <v>Brian Dunn</v>
      </c>
      <c r="C199" s="18" t="str">
        <f>VLOOKUP($A199,Table1[],5,TRUE)</f>
        <v>Male</v>
      </c>
      <c r="D199" s="3" t="str">
        <f>VLOOKUP($A199,Table1[],7,TRUE)</f>
        <v>32</v>
      </c>
      <c r="E199" s="3" t="str">
        <f>VLOOKUP($A199,Table1[],8,TRUE)</f>
        <v>France</v>
      </c>
      <c r="F199" s="3" t="str">
        <f>VLOOKUP($A199,Table1[],9,TRUE)</f>
        <v>French</v>
      </c>
      <c r="G199" s="3" t="str">
        <f>VLOOKUP($A199,Table1[],10,TRUE)</f>
        <v>Machine Learning</v>
      </c>
      <c r="H199" s="13" t="str">
        <f>VLOOKUP($A199,Table1[],12,TRUE)</f>
        <v>11</v>
      </c>
      <c r="I199" s="20">
        <v>40</v>
      </c>
      <c r="J199" s="15">
        <f>VLOOKUP($A199,Table1[],18,TRUE)</f>
        <v>4.3</v>
      </c>
      <c r="K199" s="12" t="str">
        <f>VLOOKUP($A199,Table1[],22,TRUE)</f>
        <v>TRUE</v>
      </c>
      <c r="L199" s="13">
        <f>VLOOKUP($A199,Table1[],25,TRUE)</f>
        <v>0.86</v>
      </c>
    </row>
    <row r="200" spans="1:12" x14ac:dyDescent="0.25">
      <c r="A200" t="s">
        <v>480</v>
      </c>
      <c r="B200" s="18" t="str">
        <f>VLOOKUP(A200,Table1[],3,TRUE)</f>
        <v>Shirley Strickland</v>
      </c>
      <c r="C200" s="18" t="str">
        <f>VLOOKUP($A200,Table1[],5,TRUE)</f>
        <v>Female</v>
      </c>
      <c r="D200" s="3" t="str">
        <f>VLOOKUP($A200,Table1[],7,TRUE)</f>
        <v>50</v>
      </c>
      <c r="E200" s="3" t="str">
        <f>VLOOKUP($A200,Table1[],8,TRUE)</f>
        <v>India</v>
      </c>
      <c r="F200" s="3" t="str">
        <f>VLOOKUP($A200,Table1[],9,TRUE)</f>
        <v>Hindi</v>
      </c>
      <c r="G200" s="3" t="str">
        <f>VLOOKUP($A200,Table1[],10,TRUE)</f>
        <v>Graphic Design</v>
      </c>
      <c r="H200" s="13" t="str">
        <f>VLOOKUP($A200,Table1[],12,TRUE)</f>
        <v>28</v>
      </c>
      <c r="I200" s="20">
        <v>100</v>
      </c>
      <c r="J200" s="15">
        <f>VLOOKUP($A200,Table1[],18,TRUE)</f>
        <v>4.9000000000000004</v>
      </c>
      <c r="K200" s="12" t="str">
        <f>VLOOKUP($A200,Table1[],22,TRUE)</f>
        <v>TRUE</v>
      </c>
      <c r="L200" s="13">
        <f>VLOOKUP($A200,Table1[],25,TRUE)</f>
        <v>0.86</v>
      </c>
    </row>
    <row r="201" spans="1:12" x14ac:dyDescent="0.25">
      <c r="A201" t="s">
        <v>482</v>
      </c>
      <c r="B201" s="18" t="str">
        <f>VLOOKUP(A201,Table1[],3,TRUE)</f>
        <v>Nicole Meyers</v>
      </c>
      <c r="C201" s="18" t="str">
        <f>VLOOKUP($A201,Table1[],5,TRUE)</f>
        <v>Female</v>
      </c>
      <c r="D201" s="3" t="str">
        <f>VLOOKUP($A201,Table1[],7,TRUE)</f>
        <v>39</v>
      </c>
      <c r="E201" s="3" t="str">
        <f>VLOOKUP($A201,Table1[],8,TRUE)</f>
        <v>Argentina</v>
      </c>
      <c r="F201" s="3" t="str">
        <f>VLOOKUP($A201,Table1[],9,TRUE)</f>
        <v>Spanish</v>
      </c>
      <c r="G201" s="3" t="str">
        <f>VLOOKUP($A201,Table1[],10,TRUE)</f>
        <v>Data Analysis</v>
      </c>
      <c r="H201" s="13" t="str">
        <f>VLOOKUP($A201,Table1[],12,TRUE)</f>
        <v>11</v>
      </c>
      <c r="I201" s="20">
        <v>100</v>
      </c>
      <c r="J201" s="15">
        <f>VLOOKUP($A201,Table1[],18,TRUE)</f>
        <v>3.5</v>
      </c>
      <c r="K201" s="12" t="str">
        <f>VLOOKUP($A201,Table1[],22,TRUE)</f>
        <v>TRUE</v>
      </c>
      <c r="L201" s="13">
        <f>VLOOKUP($A201,Table1[],25,TRUE)</f>
        <v>0.82</v>
      </c>
    </row>
    <row r="202" spans="1:12" x14ac:dyDescent="0.25">
      <c r="A202" t="s">
        <v>484</v>
      </c>
      <c r="B202" s="18" t="str">
        <f>VLOOKUP(A202,Table1[],3,TRUE)</f>
        <v>Jill Stephens</v>
      </c>
      <c r="C202" s="18" t="str">
        <f>VLOOKUP($A202,Table1[],5,TRUE)</f>
        <v>Female</v>
      </c>
      <c r="D202" s="3" t="str">
        <f>VLOOKUP($A202,Table1[],7,TRUE)</f>
        <v>25</v>
      </c>
      <c r="E202" s="3" t="str">
        <f>VLOOKUP($A202,Table1[],8,TRUE)</f>
        <v>Spain</v>
      </c>
      <c r="F202" s="3" t="str">
        <f>VLOOKUP($A202,Table1[],9,TRUE)</f>
        <v>Spanish</v>
      </c>
      <c r="G202" s="3" t="str">
        <f>VLOOKUP($A202,Table1[],10,TRUE)</f>
        <v>AI</v>
      </c>
      <c r="H202" s="13" t="str">
        <f>VLOOKUP($A202,Table1[],12,TRUE)</f>
        <v>2</v>
      </c>
      <c r="I202" s="20">
        <v>100</v>
      </c>
      <c r="J202" s="15">
        <f>VLOOKUP($A202,Table1[],18,TRUE)</f>
        <v>2.5</v>
      </c>
      <c r="K202" s="12" t="str">
        <f>VLOOKUP($A202,Table1[],22,TRUE)</f>
        <v>FALSE</v>
      </c>
      <c r="L202" s="13">
        <f>VLOOKUP($A202,Table1[],25,TRUE)</f>
        <v>0.87</v>
      </c>
    </row>
    <row r="203" spans="1:12" x14ac:dyDescent="0.25">
      <c r="A203" t="s">
        <v>486</v>
      </c>
      <c r="B203" s="18" t="str">
        <f>VLOOKUP(A203,Table1[],3,TRUE)</f>
        <v>Heidi Miranda</v>
      </c>
      <c r="C203" s="18" t="str">
        <f>VLOOKUP($A203,Table1[],5,TRUE)</f>
        <v>Female</v>
      </c>
      <c r="D203" s="3" t="str">
        <f>VLOOKUP($A203,Table1[],7,TRUE)</f>
        <v>55</v>
      </c>
      <c r="E203" s="3" t="str">
        <f>VLOOKUP($A203,Table1[],8,TRUE)</f>
        <v>China</v>
      </c>
      <c r="F203" s="3" t="str">
        <f>VLOOKUP($A203,Table1[],9,TRUE)</f>
        <v>Mandarin</v>
      </c>
      <c r="G203" s="3" t="str">
        <f>VLOOKUP($A203,Table1[],10,TRUE)</f>
        <v>Machine Learning</v>
      </c>
      <c r="H203" s="13" t="str">
        <f>VLOOKUP($A203,Table1[],12,TRUE)</f>
        <v>7</v>
      </c>
      <c r="I203" s="20">
        <v>100</v>
      </c>
      <c r="J203" s="15">
        <f>VLOOKUP($A203,Table1[],18,TRUE)</f>
        <v>1.7</v>
      </c>
      <c r="K203" s="12" t="str">
        <f>VLOOKUP($A203,Table1[],22,TRUE)</f>
        <v>TRUE</v>
      </c>
      <c r="L203" s="13">
        <f>VLOOKUP($A203,Table1[],25,TRUE)</f>
        <v>0.8</v>
      </c>
    </row>
    <row r="204" spans="1:12" x14ac:dyDescent="0.25">
      <c r="A204" t="s">
        <v>488</v>
      </c>
      <c r="B204" s="18" t="str">
        <f>VLOOKUP(A204,Table1[],3,TRUE)</f>
        <v>Jesus Martinez</v>
      </c>
      <c r="C204" s="18" t="str">
        <f>VLOOKUP($A204,Table1[],5,TRUE)</f>
        <v>Male</v>
      </c>
      <c r="D204" s="3" t="str">
        <f>VLOOKUP($A204,Table1[],7,TRUE)</f>
        <v>42</v>
      </c>
      <c r="E204" s="3" t="str">
        <f>VLOOKUP($A204,Table1[],8,TRUE)</f>
        <v>Italy</v>
      </c>
      <c r="F204" s="3" t="str">
        <f>VLOOKUP($A204,Table1[],9,TRUE)</f>
        <v>Italian</v>
      </c>
      <c r="G204" s="3" t="str">
        <f>VLOOKUP($A204,Table1[],10,TRUE)</f>
        <v>DevOps</v>
      </c>
      <c r="H204" s="13" t="str">
        <f>VLOOKUP($A204,Table1[],12,TRUE)</f>
        <v>10</v>
      </c>
      <c r="I204" s="20">
        <v>100</v>
      </c>
      <c r="J204" s="15">
        <f>VLOOKUP($A204,Table1[],18,TRUE)</f>
        <v>4.5999999999999996</v>
      </c>
      <c r="K204" s="12" t="str">
        <f>VLOOKUP($A204,Table1[],22,TRUE)</f>
        <v>TRUE</v>
      </c>
      <c r="L204" s="13">
        <f>VLOOKUP($A204,Table1[],25,TRUE)</f>
        <v>0.71</v>
      </c>
    </row>
    <row r="205" spans="1:12" x14ac:dyDescent="0.25">
      <c r="A205" t="s">
        <v>490</v>
      </c>
      <c r="B205" s="18" t="str">
        <f>VLOOKUP(A205,Table1[],3,TRUE)</f>
        <v>Adam Payne</v>
      </c>
      <c r="C205" s="18" t="str">
        <f>VLOOKUP($A205,Table1[],5,TRUE)</f>
        <v>Male</v>
      </c>
      <c r="D205" s="3" t="str">
        <f>VLOOKUP($A205,Table1[],7,TRUE)</f>
        <v>43</v>
      </c>
      <c r="E205" s="3" t="str">
        <f>VLOOKUP($A205,Table1[],8,TRUE)</f>
        <v>Russia</v>
      </c>
      <c r="F205" s="3" t="str">
        <f>VLOOKUP($A205,Table1[],9,TRUE)</f>
        <v>Russian</v>
      </c>
      <c r="G205" s="3" t="str">
        <f>VLOOKUP($A205,Table1[],10,TRUE)</f>
        <v>Mobile Apps</v>
      </c>
      <c r="H205" s="13" t="str">
        <f>VLOOKUP($A205,Table1[],12,TRUE)</f>
        <v>6</v>
      </c>
      <c r="I205" s="20">
        <v>50</v>
      </c>
      <c r="J205" s="15">
        <f>VLOOKUP($A205,Table1[],18,TRUE)</f>
        <v>2.6</v>
      </c>
      <c r="K205" s="12" t="str">
        <f>VLOOKUP($A205,Table1[],22,TRUE)</f>
        <v>FALSE</v>
      </c>
      <c r="L205" s="13">
        <f>VLOOKUP($A205,Table1[],25,TRUE)</f>
        <v>0.77</v>
      </c>
    </row>
    <row r="206" spans="1:12" x14ac:dyDescent="0.25">
      <c r="A206" t="s">
        <v>492</v>
      </c>
      <c r="B206" s="18" t="str">
        <f>VLOOKUP(A206,Table1[],3,TRUE)</f>
        <v>Walter Williams</v>
      </c>
      <c r="C206" s="18" t="str">
        <f>VLOOKUP($A206,Table1[],5,TRUE)</f>
        <v>Male</v>
      </c>
      <c r="D206" s="3" t="str">
        <f>VLOOKUP($A206,Table1[],7,TRUE)</f>
        <v>54</v>
      </c>
      <c r="E206" s="3" t="str">
        <f>VLOOKUP($A206,Table1[],8,TRUE)</f>
        <v>Italy</v>
      </c>
      <c r="F206" s="3" t="str">
        <f>VLOOKUP($A206,Table1[],9,TRUE)</f>
        <v>Italian</v>
      </c>
      <c r="G206" s="3" t="str">
        <f>VLOOKUP($A206,Table1[],10,TRUE)</f>
        <v>DevOps</v>
      </c>
      <c r="H206" s="13" t="str">
        <f>VLOOKUP($A206,Table1[],12,TRUE)</f>
        <v>29</v>
      </c>
      <c r="I206" s="20">
        <v>30</v>
      </c>
      <c r="J206" s="15">
        <f>VLOOKUP($A206,Table1[],18,TRUE)</f>
        <v>1.7</v>
      </c>
      <c r="K206" s="12" t="str">
        <f>VLOOKUP($A206,Table1[],22,TRUE)</f>
        <v>FALSE</v>
      </c>
      <c r="L206" s="13">
        <f>VLOOKUP($A206,Table1[],25,TRUE)</f>
        <v>0.68</v>
      </c>
    </row>
    <row r="207" spans="1:12" x14ac:dyDescent="0.25">
      <c r="A207" t="s">
        <v>494</v>
      </c>
      <c r="B207" s="18" t="str">
        <f>VLOOKUP(A207,Table1[],3,TRUE)</f>
        <v>Shannon Farmer</v>
      </c>
      <c r="C207" s="18" t="str">
        <f>VLOOKUP($A207,Table1[],5,TRUE)</f>
        <v>Female</v>
      </c>
      <c r="D207" s="3" t="str">
        <f>VLOOKUP($A207,Table1[],7,TRUE)</f>
        <v>21</v>
      </c>
      <c r="E207" s="3" t="str">
        <f>VLOOKUP($A207,Table1[],8,TRUE)</f>
        <v>Egypt</v>
      </c>
      <c r="F207" s="3" t="str">
        <f>VLOOKUP($A207,Table1[],9,TRUE)</f>
        <v>Arabic</v>
      </c>
      <c r="G207" s="3" t="str">
        <f>VLOOKUP($A207,Table1[],10,TRUE)</f>
        <v>Graphic Design</v>
      </c>
      <c r="H207" s="13" t="str">
        <f>VLOOKUP($A207,Table1[],12,TRUE)</f>
        <v>0</v>
      </c>
      <c r="I207" s="20">
        <v>20</v>
      </c>
      <c r="J207" s="15">
        <f>VLOOKUP($A207,Table1[],18,TRUE)</f>
        <v>1.8</v>
      </c>
      <c r="K207" s="12" t="str">
        <f>VLOOKUP($A207,Table1[],22,TRUE)</f>
        <v>FALSE</v>
      </c>
      <c r="L207" s="13">
        <f>VLOOKUP($A207,Table1[],25,TRUE)</f>
        <v>0.91</v>
      </c>
    </row>
    <row r="208" spans="1:12" x14ac:dyDescent="0.25">
      <c r="A208" t="s">
        <v>496</v>
      </c>
      <c r="B208" s="18" t="str">
        <f>VLOOKUP(A208,Table1[],3,TRUE)</f>
        <v>Peter Reyes</v>
      </c>
      <c r="C208" s="18" t="str">
        <f>VLOOKUP($A208,Table1[],5,TRUE)</f>
        <v>Male</v>
      </c>
      <c r="D208" s="3" t="str">
        <f>VLOOKUP($A208,Table1[],7,TRUE)</f>
        <v>46</v>
      </c>
      <c r="E208" s="3" t="str">
        <f>VLOOKUP($A208,Table1[],8,TRUE)</f>
        <v>Canada</v>
      </c>
      <c r="F208" s="3" t="str">
        <f>VLOOKUP($A208,Table1[],9,TRUE)</f>
        <v>English</v>
      </c>
      <c r="G208" s="3" t="str">
        <f>VLOOKUP($A208,Table1[],10,TRUE)</f>
        <v>UI/UX Design</v>
      </c>
      <c r="H208" s="13" t="str">
        <f>VLOOKUP($A208,Table1[],12,TRUE)</f>
        <v>5</v>
      </c>
      <c r="I208" s="20">
        <v>20</v>
      </c>
      <c r="J208" s="15">
        <f>VLOOKUP($A208,Table1[],18,TRUE)</f>
        <v>2.2000000000000002</v>
      </c>
      <c r="K208" s="12" t="str">
        <f>VLOOKUP($A208,Table1[],22,TRUE)</f>
        <v>TRUE</v>
      </c>
      <c r="L208" s="13">
        <f>VLOOKUP($A208,Table1[],25,TRUE)</f>
        <v>0.75</v>
      </c>
    </row>
    <row r="209" spans="1:12" x14ac:dyDescent="0.25">
      <c r="A209" t="s">
        <v>498</v>
      </c>
      <c r="B209" s="18" t="str">
        <f>VLOOKUP(A209,Table1[],3,TRUE)</f>
        <v>Kristen Knight</v>
      </c>
      <c r="C209" s="18" t="str">
        <f>VLOOKUP($A209,Table1[],5,TRUE)</f>
        <v>Female</v>
      </c>
      <c r="D209" s="3" t="str">
        <f>VLOOKUP($A209,Table1[],7,TRUE)</f>
        <v>30</v>
      </c>
      <c r="E209" s="3" t="str">
        <f>VLOOKUP($A209,Table1[],8,TRUE)</f>
        <v>Spain</v>
      </c>
      <c r="F209" s="3" t="str">
        <f>VLOOKUP($A209,Table1[],9,TRUE)</f>
        <v>Spanish</v>
      </c>
      <c r="G209" s="3" t="str">
        <f>VLOOKUP($A209,Table1[],10,TRUE)</f>
        <v>Blockchain Development</v>
      </c>
      <c r="H209" s="13" t="str">
        <f>VLOOKUP($A209,Table1[],12,TRUE)</f>
        <v>11</v>
      </c>
      <c r="I209" s="20">
        <v>40</v>
      </c>
      <c r="J209" s="15">
        <f>VLOOKUP($A209,Table1[],18,TRUE)</f>
        <v>1</v>
      </c>
      <c r="K209" s="12" t="str">
        <f>VLOOKUP($A209,Table1[],22,TRUE)</f>
        <v>FALSE</v>
      </c>
      <c r="L209" s="13">
        <f>VLOOKUP($A209,Table1[],25,TRUE)</f>
        <v>0.9</v>
      </c>
    </row>
    <row r="210" spans="1:12" x14ac:dyDescent="0.25">
      <c r="A210" t="s">
        <v>500</v>
      </c>
      <c r="B210" s="18" t="str">
        <f>VLOOKUP(A210,Table1[],3,TRUE)</f>
        <v>William Moore Jr.</v>
      </c>
      <c r="C210" s="18" t="str">
        <f>VLOOKUP($A210,Table1[],5,TRUE)</f>
        <v>Male</v>
      </c>
      <c r="D210" s="3" t="str">
        <f>VLOOKUP($A210,Table1[],7,TRUE)</f>
        <v>36</v>
      </c>
      <c r="E210" s="3" t="str">
        <f>VLOOKUP($A210,Table1[],8,TRUE)</f>
        <v>China</v>
      </c>
      <c r="F210" s="3" t="str">
        <f>VLOOKUP($A210,Table1[],9,TRUE)</f>
        <v>Mandarin</v>
      </c>
      <c r="G210" s="3" t="str">
        <f>VLOOKUP($A210,Table1[],10,TRUE)</f>
        <v>Machine Learning</v>
      </c>
      <c r="H210" s="13" t="str">
        <f>VLOOKUP($A210,Table1[],12,TRUE)</f>
        <v>11</v>
      </c>
      <c r="I210" s="20">
        <v>75</v>
      </c>
      <c r="J210" s="15">
        <f>VLOOKUP($A210,Table1[],18,TRUE)</f>
        <v>3.2</v>
      </c>
      <c r="K210" s="12" t="str">
        <f>VLOOKUP($A210,Table1[],22,TRUE)</f>
        <v>FALSE</v>
      </c>
      <c r="L210" s="13">
        <f>VLOOKUP($A210,Table1[],25,TRUE)</f>
        <v>0.93</v>
      </c>
    </row>
    <row r="211" spans="1:12" x14ac:dyDescent="0.25">
      <c r="A211" t="s">
        <v>502</v>
      </c>
      <c r="B211" s="18" t="str">
        <f>VLOOKUP(A211,Table1[],3,TRUE)</f>
        <v>Jennifer Rowe</v>
      </c>
      <c r="C211" s="18" t="str">
        <f>VLOOKUP($A211,Table1[],5,TRUE)</f>
        <v>Female</v>
      </c>
      <c r="D211" s="3" t="str">
        <f>VLOOKUP($A211,Table1[],7,TRUE)</f>
        <v>47</v>
      </c>
      <c r="E211" s="3" t="str">
        <f>VLOOKUP($A211,Table1[],8,TRUE)</f>
        <v>Germany</v>
      </c>
      <c r="F211" s="3" t="str">
        <f>VLOOKUP($A211,Table1[],9,TRUE)</f>
        <v>German</v>
      </c>
      <c r="G211" s="3" t="str">
        <f>VLOOKUP($A211,Table1[],10,TRUE)</f>
        <v>Data Analysis</v>
      </c>
      <c r="H211" s="13" t="str">
        <f>VLOOKUP($A211,Table1[],12,TRUE)</f>
        <v>15</v>
      </c>
      <c r="I211" s="20">
        <v>40</v>
      </c>
      <c r="J211" s="15">
        <f>VLOOKUP($A211,Table1[],18,TRUE)</f>
        <v>2.1</v>
      </c>
      <c r="K211" s="12" t="str">
        <f>VLOOKUP($A211,Table1[],22,TRUE)</f>
        <v>TRUE</v>
      </c>
      <c r="L211" s="13">
        <f>VLOOKUP($A211,Table1[],25,TRUE)</f>
        <v>0.94</v>
      </c>
    </row>
    <row r="212" spans="1:12" x14ac:dyDescent="0.25">
      <c r="A212" t="s">
        <v>504</v>
      </c>
      <c r="B212" s="18" t="str">
        <f>VLOOKUP(A212,Table1[],3,TRUE)</f>
        <v>Mikayla Henry</v>
      </c>
      <c r="C212" s="18" t="str">
        <f>VLOOKUP($A212,Table1[],5,TRUE)</f>
        <v>Female</v>
      </c>
      <c r="D212" s="3" t="str">
        <f>VLOOKUP($A212,Table1[],7,TRUE)</f>
        <v>43</v>
      </c>
      <c r="E212" s="3" t="str">
        <f>VLOOKUP($A212,Table1[],8,TRUE)</f>
        <v>Canada</v>
      </c>
      <c r="F212" s="3" t="str">
        <f>VLOOKUP($A212,Table1[],9,TRUE)</f>
        <v>English</v>
      </c>
      <c r="G212" s="3" t="str">
        <f>VLOOKUP($A212,Table1[],10,TRUE)</f>
        <v>Mobile Apps</v>
      </c>
      <c r="H212" s="13" t="str">
        <f>VLOOKUP($A212,Table1[],12,TRUE)</f>
        <v>1</v>
      </c>
      <c r="I212" s="20">
        <v>50</v>
      </c>
      <c r="J212" s="15">
        <f>VLOOKUP($A212,Table1[],18,TRUE)</f>
        <v>4.5999999999999996</v>
      </c>
      <c r="K212" s="12" t="str">
        <f>VLOOKUP($A212,Table1[],22,TRUE)</f>
        <v>TRUE</v>
      </c>
      <c r="L212" s="13">
        <f>VLOOKUP($A212,Table1[],25,TRUE)</f>
        <v>0.64</v>
      </c>
    </row>
    <row r="213" spans="1:12" x14ac:dyDescent="0.25">
      <c r="A213" t="s">
        <v>506</v>
      </c>
      <c r="B213" s="18" t="str">
        <f>VLOOKUP(A213,Table1[],3,TRUE)</f>
        <v>Jacob Kerr</v>
      </c>
      <c r="C213" s="18" t="str">
        <f>VLOOKUP($A213,Table1[],5,TRUE)</f>
        <v>Male</v>
      </c>
      <c r="D213" s="3" t="str">
        <f>VLOOKUP($A213,Table1[],7,TRUE)</f>
        <v>57</v>
      </c>
      <c r="E213" s="3" t="str">
        <f>VLOOKUP($A213,Table1[],8,TRUE)</f>
        <v>South Korea</v>
      </c>
      <c r="F213" s="3" t="str">
        <f>VLOOKUP($A213,Table1[],9,TRUE)</f>
        <v>Korean</v>
      </c>
      <c r="G213" s="3" t="str">
        <f>VLOOKUP($A213,Table1[],10,TRUE)</f>
        <v>Cybersecurity</v>
      </c>
      <c r="H213" s="13" t="str">
        <f>VLOOKUP($A213,Table1[],12,TRUE)</f>
        <v>8</v>
      </c>
      <c r="I213" s="20">
        <v>20</v>
      </c>
      <c r="J213" s="15">
        <f>VLOOKUP($A213,Table1[],18,TRUE)</f>
        <v>0</v>
      </c>
      <c r="K213" s="12" t="str">
        <f>VLOOKUP($A213,Table1[],22,TRUE)</f>
        <v>TRUE</v>
      </c>
      <c r="L213" s="13">
        <f>VLOOKUP($A213,Table1[],25,TRUE)</f>
        <v>0.84</v>
      </c>
    </row>
    <row r="214" spans="1:12" x14ac:dyDescent="0.25">
      <c r="A214" t="s">
        <v>508</v>
      </c>
      <c r="B214" s="18" t="str">
        <f>VLOOKUP(A214,Table1[],3,TRUE)</f>
        <v>Ryan Johnson</v>
      </c>
      <c r="C214" s="18" t="str">
        <f>VLOOKUP($A214,Table1[],5,TRUE)</f>
        <v>Male</v>
      </c>
      <c r="D214" s="3" t="str">
        <f>VLOOKUP($A214,Table1[],7,TRUE)</f>
        <v>52</v>
      </c>
      <c r="E214" s="3" t="str">
        <f>VLOOKUP($A214,Table1[],8,TRUE)</f>
        <v>Italy</v>
      </c>
      <c r="F214" s="3" t="str">
        <f>VLOOKUP($A214,Table1[],9,TRUE)</f>
        <v>Italian</v>
      </c>
      <c r="G214" s="3" t="str">
        <f>VLOOKUP($A214,Table1[],10,TRUE)</f>
        <v>Machine Learning</v>
      </c>
      <c r="H214" s="13" t="str">
        <f>VLOOKUP($A214,Table1[],12,TRUE)</f>
        <v>30</v>
      </c>
      <c r="I214" s="20">
        <v>20</v>
      </c>
      <c r="J214" s="15">
        <f>VLOOKUP($A214,Table1[],18,TRUE)</f>
        <v>2.8</v>
      </c>
      <c r="K214" s="12" t="str">
        <f>VLOOKUP($A214,Table1[],22,TRUE)</f>
        <v>FALSE</v>
      </c>
      <c r="L214" s="13">
        <f>VLOOKUP($A214,Table1[],25,TRUE)</f>
        <v>0.87</v>
      </c>
    </row>
    <row r="215" spans="1:12" x14ac:dyDescent="0.25">
      <c r="A215" t="s">
        <v>510</v>
      </c>
      <c r="B215" s="18" t="str">
        <f>VLOOKUP(A215,Table1[],3,TRUE)</f>
        <v>Michael Ruiz</v>
      </c>
      <c r="C215" s="18" t="str">
        <f>VLOOKUP($A215,Table1[],5,TRUE)</f>
        <v>Male</v>
      </c>
      <c r="D215" s="3" t="str">
        <f>VLOOKUP($A215,Table1[],7,TRUE)</f>
        <v>Unknown</v>
      </c>
      <c r="E215" s="3" t="str">
        <f>VLOOKUP($A215,Table1[],8,TRUE)</f>
        <v>Germany</v>
      </c>
      <c r="F215" s="3" t="str">
        <f>VLOOKUP($A215,Table1[],9,TRUE)</f>
        <v>German</v>
      </c>
      <c r="G215" s="3" t="str">
        <f>VLOOKUP($A215,Table1[],10,TRUE)</f>
        <v>Blockchain Development</v>
      </c>
      <c r="H215" s="13" t="str">
        <f>VLOOKUP($A215,Table1[],12,TRUE)</f>
        <v>8</v>
      </c>
      <c r="I215" s="20">
        <v>40</v>
      </c>
      <c r="J215" s="15">
        <f>VLOOKUP($A215,Table1[],18,TRUE)</f>
        <v>0</v>
      </c>
      <c r="K215" s="12" t="str">
        <f>VLOOKUP($A215,Table1[],22,TRUE)</f>
        <v>FALSE</v>
      </c>
      <c r="L215" s="13">
        <f>VLOOKUP($A215,Table1[],25,TRUE)</f>
        <v>0.64</v>
      </c>
    </row>
    <row r="216" spans="1:12" x14ac:dyDescent="0.25">
      <c r="A216" t="s">
        <v>512</v>
      </c>
      <c r="B216" s="18" t="str">
        <f>VLOOKUP(A216,Table1[],3,TRUE)</f>
        <v>Monica Roberts</v>
      </c>
      <c r="C216" s="18" t="str">
        <f>VLOOKUP($A216,Table1[],5,TRUE)</f>
        <v>Female</v>
      </c>
      <c r="D216" s="3" t="str">
        <f>VLOOKUP($A216,Table1[],7,TRUE)</f>
        <v>22</v>
      </c>
      <c r="E216" s="3" t="str">
        <f>VLOOKUP($A216,Table1[],8,TRUE)</f>
        <v>Indonesia</v>
      </c>
      <c r="F216" s="3" t="str">
        <f>VLOOKUP($A216,Table1[],9,TRUE)</f>
        <v>Indonesian</v>
      </c>
      <c r="G216" s="3" t="str">
        <f>VLOOKUP($A216,Table1[],10,TRUE)</f>
        <v>Machine Learning</v>
      </c>
      <c r="H216" s="13" t="str">
        <f>VLOOKUP($A216,Table1[],12,TRUE)</f>
        <v>0</v>
      </c>
      <c r="I216" s="20">
        <v>100</v>
      </c>
      <c r="J216" s="15">
        <f>VLOOKUP($A216,Table1[],18,TRUE)</f>
        <v>2.7</v>
      </c>
      <c r="K216" s="12" t="str">
        <f>VLOOKUP($A216,Table1[],22,TRUE)</f>
        <v>TRUE</v>
      </c>
      <c r="L216" s="13">
        <f>VLOOKUP($A216,Table1[],25,TRUE)</f>
        <v>0.64</v>
      </c>
    </row>
    <row r="217" spans="1:12" x14ac:dyDescent="0.25">
      <c r="A217" t="s">
        <v>514</v>
      </c>
      <c r="B217" s="18" t="str">
        <f>VLOOKUP(A217,Table1[],3,TRUE)</f>
        <v>Danny Brown</v>
      </c>
      <c r="C217" s="18" t="str">
        <f>VLOOKUP($A217,Table1[],5,TRUE)</f>
        <v>Male</v>
      </c>
      <c r="D217" s="3" t="str">
        <f>VLOOKUP($A217,Table1[],7,TRUE)</f>
        <v>Unknown</v>
      </c>
      <c r="E217" s="3" t="str">
        <f>VLOOKUP($A217,Table1[],8,TRUE)</f>
        <v>India</v>
      </c>
      <c r="F217" s="3" t="str">
        <f>VLOOKUP($A217,Table1[],9,TRUE)</f>
        <v>Hindi</v>
      </c>
      <c r="G217" s="3" t="str">
        <f>VLOOKUP($A217,Table1[],10,TRUE)</f>
        <v>Machine Learning</v>
      </c>
      <c r="H217" s="13" t="str">
        <f>VLOOKUP($A217,Table1[],12,TRUE)</f>
        <v>12</v>
      </c>
      <c r="I217" s="20">
        <v>20</v>
      </c>
      <c r="J217" s="15">
        <f>VLOOKUP($A217,Table1[],18,TRUE)</f>
        <v>0</v>
      </c>
      <c r="K217" s="12" t="str">
        <f>VLOOKUP($A217,Table1[],22,TRUE)</f>
        <v>TRUE</v>
      </c>
      <c r="L217" s="13">
        <f>VLOOKUP($A217,Table1[],25,TRUE)</f>
        <v>0.8</v>
      </c>
    </row>
    <row r="218" spans="1:12" x14ac:dyDescent="0.25">
      <c r="A218" t="s">
        <v>516</v>
      </c>
      <c r="B218" s="18" t="str">
        <f>VLOOKUP(A218,Table1[],3,TRUE)</f>
        <v>Karen Larsen</v>
      </c>
      <c r="C218" s="18" t="str">
        <f>VLOOKUP($A218,Table1[],5,TRUE)</f>
        <v>Female</v>
      </c>
      <c r="D218" s="3" t="str">
        <f>VLOOKUP($A218,Table1[],7,TRUE)</f>
        <v>58</v>
      </c>
      <c r="E218" s="3" t="str">
        <f>VLOOKUP($A218,Table1[],8,TRUE)</f>
        <v>Spain</v>
      </c>
      <c r="F218" s="3" t="str">
        <f>VLOOKUP($A218,Table1[],9,TRUE)</f>
        <v>Spanish</v>
      </c>
      <c r="G218" s="3" t="str">
        <f>VLOOKUP($A218,Table1[],10,TRUE)</f>
        <v>Mobile Apps</v>
      </c>
      <c r="H218" s="13" t="str">
        <f>VLOOKUP($A218,Table1[],12,TRUE)</f>
        <v>4</v>
      </c>
      <c r="I218" s="20">
        <v>50</v>
      </c>
      <c r="J218" s="15">
        <f>VLOOKUP($A218,Table1[],18,TRUE)</f>
        <v>3.1</v>
      </c>
      <c r="K218" s="12" t="str">
        <f>VLOOKUP($A218,Table1[],22,TRUE)</f>
        <v>FALSE</v>
      </c>
      <c r="L218" s="13">
        <f>VLOOKUP($A218,Table1[],25,TRUE)</f>
        <v>0.9</v>
      </c>
    </row>
    <row r="219" spans="1:12" x14ac:dyDescent="0.25">
      <c r="A219" t="s">
        <v>518</v>
      </c>
      <c r="B219" s="18" t="str">
        <f>VLOOKUP(A219,Table1[],3,TRUE)</f>
        <v>Robert Evans</v>
      </c>
      <c r="C219" s="18" t="str">
        <f>VLOOKUP($A219,Table1[],5,TRUE)</f>
        <v>Male</v>
      </c>
      <c r="D219" s="3" t="str">
        <f>VLOOKUP($A219,Table1[],7,TRUE)</f>
        <v>39</v>
      </c>
      <c r="E219" s="3" t="str">
        <f>VLOOKUP($A219,Table1[],8,TRUE)</f>
        <v>South Korea</v>
      </c>
      <c r="F219" s="3" t="str">
        <f>VLOOKUP($A219,Table1[],9,TRUE)</f>
        <v>Korean</v>
      </c>
      <c r="G219" s="3" t="str">
        <f>VLOOKUP($A219,Table1[],10,TRUE)</f>
        <v>Web Development</v>
      </c>
      <c r="H219" s="13" t="str">
        <f>VLOOKUP($A219,Table1[],12,TRUE)</f>
        <v>14</v>
      </c>
      <c r="I219" s="20">
        <v>100</v>
      </c>
      <c r="J219" s="15">
        <f>VLOOKUP($A219,Table1[],18,TRUE)</f>
        <v>0</v>
      </c>
      <c r="K219" s="12" t="str">
        <f>VLOOKUP($A219,Table1[],22,TRUE)</f>
        <v>TRUE</v>
      </c>
      <c r="L219" s="13">
        <f>VLOOKUP($A219,Table1[],25,TRUE)</f>
        <v>0.92</v>
      </c>
    </row>
    <row r="220" spans="1:12" x14ac:dyDescent="0.25">
      <c r="A220" t="s">
        <v>520</v>
      </c>
      <c r="B220" s="18" t="str">
        <f>VLOOKUP(A220,Table1[],3,TRUE)</f>
        <v>Sean Poole</v>
      </c>
      <c r="C220" s="18" t="str">
        <f>VLOOKUP($A220,Table1[],5,TRUE)</f>
        <v>Male</v>
      </c>
      <c r="D220" s="3" t="str">
        <f>VLOOKUP($A220,Table1[],7,TRUE)</f>
        <v>32</v>
      </c>
      <c r="E220" s="3" t="str">
        <f>VLOOKUP($A220,Table1[],8,TRUE)</f>
        <v>Indonesia</v>
      </c>
      <c r="F220" s="3" t="str">
        <f>VLOOKUP($A220,Table1[],9,TRUE)</f>
        <v>Indonesian</v>
      </c>
      <c r="G220" s="3" t="str">
        <f>VLOOKUP($A220,Table1[],10,TRUE)</f>
        <v>Graphic Design</v>
      </c>
      <c r="H220" s="13" t="str">
        <f>VLOOKUP($A220,Table1[],12,TRUE)</f>
        <v>14</v>
      </c>
      <c r="I220" s="20">
        <v>50</v>
      </c>
      <c r="J220" s="15">
        <f>VLOOKUP($A220,Table1[],18,TRUE)</f>
        <v>2.6</v>
      </c>
      <c r="K220" s="12" t="str">
        <f>VLOOKUP($A220,Table1[],22,TRUE)</f>
        <v>FALSE</v>
      </c>
      <c r="L220" s="13">
        <f>VLOOKUP($A220,Table1[],25,TRUE)</f>
        <v>0.96</v>
      </c>
    </row>
    <row r="221" spans="1:12" x14ac:dyDescent="0.25">
      <c r="A221" t="s">
        <v>522</v>
      </c>
      <c r="B221" s="18" t="str">
        <f>VLOOKUP(A221,Table1[],3,TRUE)</f>
        <v>Richard Quinn</v>
      </c>
      <c r="C221" s="18" t="str">
        <f>VLOOKUP($A221,Table1[],5,TRUE)</f>
        <v>Male</v>
      </c>
      <c r="D221" s="3" t="str">
        <f>VLOOKUP($A221,Table1[],7,TRUE)</f>
        <v>37</v>
      </c>
      <c r="E221" s="3" t="str">
        <f>VLOOKUP($A221,Table1[],8,TRUE)</f>
        <v>Canada</v>
      </c>
      <c r="F221" s="3" t="str">
        <f>VLOOKUP($A221,Table1[],9,TRUE)</f>
        <v>English</v>
      </c>
      <c r="G221" s="3" t="str">
        <f>VLOOKUP($A221,Table1[],10,TRUE)</f>
        <v>UI/UX Design</v>
      </c>
      <c r="H221" s="13" t="str">
        <f>VLOOKUP($A221,Table1[],12,TRUE)</f>
        <v>2</v>
      </c>
      <c r="I221" s="20">
        <v>30</v>
      </c>
      <c r="J221" s="15">
        <f>VLOOKUP($A221,Table1[],18,TRUE)</f>
        <v>2.2999999999999998</v>
      </c>
      <c r="K221" s="12" t="str">
        <f>VLOOKUP($A221,Table1[],22,TRUE)</f>
        <v>TRUE</v>
      </c>
      <c r="L221" s="13">
        <f>VLOOKUP($A221,Table1[],25,TRUE)</f>
        <v>0.75</v>
      </c>
    </row>
    <row r="222" spans="1:12" x14ac:dyDescent="0.25">
      <c r="A222" t="s">
        <v>524</v>
      </c>
      <c r="B222" s="18" t="str">
        <f>VLOOKUP(A222,Table1[],3,TRUE)</f>
        <v>Jennifer Gonzalez</v>
      </c>
      <c r="C222" s="18" t="str">
        <f>VLOOKUP($A222,Table1[],5,TRUE)</f>
        <v>Female</v>
      </c>
      <c r="D222" s="3" t="str">
        <f>VLOOKUP($A222,Table1[],7,TRUE)</f>
        <v>21</v>
      </c>
      <c r="E222" s="3" t="str">
        <f>VLOOKUP($A222,Table1[],8,TRUE)</f>
        <v>China</v>
      </c>
      <c r="F222" s="3" t="str">
        <f>VLOOKUP($A222,Table1[],9,TRUE)</f>
        <v>Mandarin</v>
      </c>
      <c r="G222" s="3" t="str">
        <f>VLOOKUP($A222,Table1[],10,TRUE)</f>
        <v>Cybersecurity</v>
      </c>
      <c r="H222" s="13" t="str">
        <f>VLOOKUP($A222,Table1[],12,TRUE)</f>
        <v>2</v>
      </c>
      <c r="I222" s="20">
        <v>100</v>
      </c>
      <c r="J222" s="15">
        <f>VLOOKUP($A222,Table1[],18,TRUE)</f>
        <v>2.4</v>
      </c>
      <c r="K222" s="12" t="str">
        <f>VLOOKUP($A222,Table1[],22,TRUE)</f>
        <v>TRUE</v>
      </c>
      <c r="L222" s="13">
        <f>VLOOKUP($A222,Table1[],25,TRUE)</f>
        <v>0.75</v>
      </c>
    </row>
    <row r="223" spans="1:12" x14ac:dyDescent="0.25">
      <c r="A223" t="s">
        <v>526</v>
      </c>
      <c r="B223" s="18" t="str">
        <f>VLOOKUP(A223,Table1[],3,TRUE)</f>
        <v>James Skinner</v>
      </c>
      <c r="C223" s="18" t="str">
        <f>VLOOKUP($A223,Table1[],5,TRUE)</f>
        <v>Male</v>
      </c>
      <c r="D223" s="3" t="str">
        <f>VLOOKUP($A223,Table1[],7,TRUE)</f>
        <v>41</v>
      </c>
      <c r="E223" s="3" t="str">
        <f>VLOOKUP($A223,Table1[],8,TRUE)</f>
        <v>South Korea</v>
      </c>
      <c r="F223" s="3" t="str">
        <f>VLOOKUP($A223,Table1[],9,TRUE)</f>
        <v>Korean</v>
      </c>
      <c r="G223" s="3" t="str">
        <f>VLOOKUP($A223,Table1[],10,TRUE)</f>
        <v>Machine Learning</v>
      </c>
      <c r="H223" s="13" t="str">
        <f>VLOOKUP($A223,Table1[],12,TRUE)</f>
        <v>4</v>
      </c>
      <c r="I223" s="20">
        <v>75</v>
      </c>
      <c r="J223" s="15">
        <f>VLOOKUP($A223,Table1[],18,TRUE)</f>
        <v>2.6</v>
      </c>
      <c r="K223" s="12" t="str">
        <f>VLOOKUP($A223,Table1[],22,TRUE)</f>
        <v>TRUE</v>
      </c>
      <c r="L223" s="13">
        <f>VLOOKUP($A223,Table1[],25,TRUE)</f>
        <v>0.85</v>
      </c>
    </row>
    <row r="224" spans="1:12" x14ac:dyDescent="0.25">
      <c r="A224" t="s">
        <v>528</v>
      </c>
      <c r="B224" s="18" t="str">
        <f>VLOOKUP(A224,Table1[],3,TRUE)</f>
        <v>Michelle Hill</v>
      </c>
      <c r="C224" s="18" t="str">
        <f>VLOOKUP($A224,Table1[],5,TRUE)</f>
        <v>Female</v>
      </c>
      <c r="D224" s="3" t="str">
        <f>VLOOKUP($A224,Table1[],7,TRUE)</f>
        <v>21</v>
      </c>
      <c r="E224" s="3" t="str">
        <f>VLOOKUP($A224,Table1[],8,TRUE)</f>
        <v>Canada</v>
      </c>
      <c r="F224" s="3" t="str">
        <f>VLOOKUP($A224,Table1[],9,TRUE)</f>
        <v>English</v>
      </c>
      <c r="G224" s="3" t="str">
        <f>VLOOKUP($A224,Table1[],10,TRUE)</f>
        <v>AI</v>
      </c>
      <c r="H224" s="13" t="str">
        <f>VLOOKUP($A224,Table1[],12,TRUE)</f>
        <v>0</v>
      </c>
      <c r="I224" s="20">
        <v>40</v>
      </c>
      <c r="J224" s="15">
        <f>VLOOKUP($A224,Table1[],18,TRUE)</f>
        <v>1.1000000000000001</v>
      </c>
      <c r="K224" s="12" t="str">
        <f>VLOOKUP($A224,Table1[],22,TRUE)</f>
        <v>FALSE</v>
      </c>
      <c r="L224" s="13">
        <f>VLOOKUP($A224,Table1[],25,TRUE)</f>
        <v>0.79</v>
      </c>
    </row>
    <row r="225" spans="1:12" x14ac:dyDescent="0.25">
      <c r="A225" t="s">
        <v>530</v>
      </c>
      <c r="B225" s="18" t="str">
        <f>VLOOKUP(A225,Table1[],3,TRUE)</f>
        <v>Jacqueline Williams</v>
      </c>
      <c r="C225" s="18" t="str">
        <f>VLOOKUP($A225,Table1[],5,TRUE)</f>
        <v>Female</v>
      </c>
      <c r="D225" s="3" t="str">
        <f>VLOOKUP($A225,Table1[],7,TRUE)</f>
        <v>58</v>
      </c>
      <c r="E225" s="3" t="str">
        <f>VLOOKUP($A225,Table1[],8,TRUE)</f>
        <v>China</v>
      </c>
      <c r="F225" s="3" t="str">
        <f>VLOOKUP($A225,Table1[],9,TRUE)</f>
        <v>Mandarin</v>
      </c>
      <c r="G225" s="3" t="str">
        <f>VLOOKUP($A225,Table1[],10,TRUE)</f>
        <v>Machine Learning</v>
      </c>
      <c r="H225" s="13" t="str">
        <f>VLOOKUP($A225,Table1[],12,TRUE)</f>
        <v>9</v>
      </c>
      <c r="I225" s="20">
        <v>30</v>
      </c>
      <c r="J225" s="15">
        <f>VLOOKUP($A225,Table1[],18,TRUE)</f>
        <v>0</v>
      </c>
      <c r="K225" s="12" t="str">
        <f>VLOOKUP($A225,Table1[],22,TRUE)</f>
        <v>TRUE</v>
      </c>
      <c r="L225" s="13">
        <f>VLOOKUP($A225,Table1[],25,TRUE)</f>
        <v>0.65</v>
      </c>
    </row>
    <row r="226" spans="1:12" x14ac:dyDescent="0.25">
      <c r="A226" t="s">
        <v>532</v>
      </c>
      <c r="B226" s="18" t="str">
        <f>VLOOKUP(A226,Table1[],3,TRUE)</f>
        <v>Darrell Johnson</v>
      </c>
      <c r="C226" s="18" t="str">
        <f>VLOOKUP($A226,Table1[],5,TRUE)</f>
        <v>Male</v>
      </c>
      <c r="D226" s="3" t="str">
        <f>VLOOKUP($A226,Table1[],7,TRUE)</f>
        <v>60</v>
      </c>
      <c r="E226" s="3" t="str">
        <f>VLOOKUP($A226,Table1[],8,TRUE)</f>
        <v>Canada</v>
      </c>
      <c r="F226" s="3" t="str">
        <f>VLOOKUP($A226,Table1[],9,TRUE)</f>
        <v>English</v>
      </c>
      <c r="G226" s="3" t="str">
        <f>VLOOKUP($A226,Table1[],10,TRUE)</f>
        <v>Machine Learning</v>
      </c>
      <c r="H226" s="13" t="str">
        <f>VLOOKUP($A226,Table1[],12,TRUE)</f>
        <v>3</v>
      </c>
      <c r="I226" s="20">
        <v>40</v>
      </c>
      <c r="J226" s="15">
        <f>VLOOKUP($A226,Table1[],18,TRUE)</f>
        <v>4.7</v>
      </c>
      <c r="K226" s="12" t="str">
        <f>VLOOKUP($A226,Table1[],22,TRUE)</f>
        <v>TRUE</v>
      </c>
      <c r="L226" s="13">
        <f>VLOOKUP($A226,Table1[],25,TRUE)</f>
        <v>0.63</v>
      </c>
    </row>
    <row r="227" spans="1:12" x14ac:dyDescent="0.25">
      <c r="A227" t="s">
        <v>534</v>
      </c>
      <c r="B227" s="18" t="str">
        <f>VLOOKUP(A227,Table1[],3,TRUE)</f>
        <v>Ryan Crawford</v>
      </c>
      <c r="C227" s="18" t="str">
        <f>VLOOKUP($A227,Table1[],5,TRUE)</f>
        <v>Male</v>
      </c>
      <c r="D227" s="3" t="str">
        <f>VLOOKUP($A227,Table1[],7,TRUE)</f>
        <v>27</v>
      </c>
      <c r="E227" s="3" t="str">
        <f>VLOOKUP($A227,Table1[],8,TRUE)</f>
        <v>South Africa</v>
      </c>
      <c r="F227" s="3" t="str">
        <f>VLOOKUP($A227,Table1[],9,TRUE)</f>
        <v>Afrikaans</v>
      </c>
      <c r="G227" s="3" t="str">
        <f>VLOOKUP($A227,Table1[],10,TRUE)</f>
        <v>Web Development</v>
      </c>
      <c r="H227" s="13" t="str">
        <f>VLOOKUP($A227,Table1[],12,TRUE)</f>
        <v>2</v>
      </c>
      <c r="I227" s="20">
        <v>40</v>
      </c>
      <c r="J227" s="15">
        <f>VLOOKUP($A227,Table1[],18,TRUE)</f>
        <v>1.2</v>
      </c>
      <c r="K227" s="12" t="str">
        <f>VLOOKUP($A227,Table1[],22,TRUE)</f>
        <v>TRUE</v>
      </c>
      <c r="L227" s="13">
        <f>VLOOKUP($A227,Table1[],25,TRUE)</f>
        <v>0.75</v>
      </c>
    </row>
    <row r="228" spans="1:12" x14ac:dyDescent="0.25">
      <c r="A228" t="s">
        <v>536</v>
      </c>
      <c r="B228" s="18" t="str">
        <f>VLOOKUP(A228,Table1[],3,TRUE)</f>
        <v>Chelsea Barber</v>
      </c>
      <c r="C228" s="18" t="str">
        <f>VLOOKUP($A228,Table1[],5,TRUE)</f>
        <v>Female</v>
      </c>
      <c r="D228" s="3" t="str">
        <f>VLOOKUP($A228,Table1[],7,TRUE)</f>
        <v>29</v>
      </c>
      <c r="E228" s="3" t="str">
        <f>VLOOKUP($A228,Table1[],8,TRUE)</f>
        <v>Germany</v>
      </c>
      <c r="F228" s="3" t="str">
        <f>VLOOKUP($A228,Table1[],9,TRUE)</f>
        <v>German</v>
      </c>
      <c r="G228" s="3" t="str">
        <f>VLOOKUP($A228,Table1[],10,TRUE)</f>
        <v>Machine Learning</v>
      </c>
      <c r="H228" s="13" t="str">
        <f>VLOOKUP($A228,Table1[],12,TRUE)</f>
        <v>10</v>
      </c>
      <c r="I228" s="20">
        <v>40</v>
      </c>
      <c r="J228" s="15">
        <f>VLOOKUP($A228,Table1[],18,TRUE)</f>
        <v>1.2</v>
      </c>
      <c r="K228" s="12" t="str">
        <f>VLOOKUP($A228,Table1[],22,TRUE)</f>
        <v>TRUE</v>
      </c>
      <c r="L228" s="13">
        <f>VLOOKUP($A228,Table1[],25,TRUE)</f>
        <v>0.78</v>
      </c>
    </row>
    <row r="229" spans="1:12" x14ac:dyDescent="0.25">
      <c r="A229" t="s">
        <v>538</v>
      </c>
      <c r="B229" s="18" t="str">
        <f>VLOOKUP(A229,Table1[],3,TRUE)</f>
        <v>Elaine Martinez</v>
      </c>
      <c r="C229" s="18" t="str">
        <f>VLOOKUP($A229,Table1[],5,TRUE)</f>
        <v>Female</v>
      </c>
      <c r="D229" s="3" t="str">
        <f>VLOOKUP($A229,Table1[],7,TRUE)</f>
        <v>54</v>
      </c>
      <c r="E229" s="3" t="str">
        <f>VLOOKUP($A229,Table1[],8,TRUE)</f>
        <v>Canada</v>
      </c>
      <c r="F229" s="3" t="str">
        <f>VLOOKUP($A229,Table1[],9,TRUE)</f>
        <v>English</v>
      </c>
      <c r="G229" s="3" t="str">
        <f>VLOOKUP($A229,Table1[],10,TRUE)</f>
        <v>Graphic Design</v>
      </c>
      <c r="H229" s="13" t="str">
        <f>VLOOKUP($A229,Table1[],12,TRUE)</f>
        <v>33</v>
      </c>
      <c r="I229" s="20">
        <v>75</v>
      </c>
      <c r="J229" s="15">
        <f>VLOOKUP($A229,Table1[],18,TRUE)</f>
        <v>0</v>
      </c>
      <c r="K229" s="12" t="str">
        <f>VLOOKUP($A229,Table1[],22,TRUE)</f>
        <v>TRUE</v>
      </c>
      <c r="L229" s="13">
        <f>VLOOKUP($A229,Table1[],25,TRUE)</f>
        <v>0.62</v>
      </c>
    </row>
    <row r="230" spans="1:12" x14ac:dyDescent="0.25">
      <c r="A230" t="s">
        <v>540</v>
      </c>
      <c r="B230" s="18" t="str">
        <f>VLOOKUP(A230,Table1[],3,TRUE)</f>
        <v>Joseph Kent</v>
      </c>
      <c r="C230" s="18" t="str">
        <f>VLOOKUP($A230,Table1[],5,TRUE)</f>
        <v>Male</v>
      </c>
      <c r="D230" s="3" t="str">
        <f>VLOOKUP($A230,Table1[],7,TRUE)</f>
        <v>52</v>
      </c>
      <c r="E230" s="3" t="str">
        <f>VLOOKUP($A230,Table1[],8,TRUE)</f>
        <v>Mexico</v>
      </c>
      <c r="F230" s="3" t="str">
        <f>VLOOKUP($A230,Table1[],9,TRUE)</f>
        <v>Spanish</v>
      </c>
      <c r="G230" s="3" t="str">
        <f>VLOOKUP($A230,Table1[],10,TRUE)</f>
        <v>Machine Learning</v>
      </c>
      <c r="H230" s="13" t="str">
        <f>VLOOKUP($A230,Table1[],12,TRUE)</f>
        <v>12</v>
      </c>
      <c r="I230" s="20">
        <v>40</v>
      </c>
      <c r="J230" s="15">
        <f>VLOOKUP($A230,Table1[],18,TRUE)</f>
        <v>1.2</v>
      </c>
      <c r="K230" s="12" t="str">
        <f>VLOOKUP($A230,Table1[],22,TRUE)</f>
        <v>FALSE</v>
      </c>
      <c r="L230" s="13">
        <f>VLOOKUP($A230,Table1[],25,TRUE)</f>
        <v>0.76</v>
      </c>
    </row>
    <row r="231" spans="1:12" x14ac:dyDescent="0.25">
      <c r="A231" t="s">
        <v>542</v>
      </c>
      <c r="B231" s="18" t="str">
        <f>VLOOKUP(A231,Table1[],3,TRUE)</f>
        <v>Megan Welch</v>
      </c>
      <c r="C231" s="18" t="str">
        <f>VLOOKUP($A231,Table1[],5,TRUE)</f>
        <v>Female</v>
      </c>
      <c r="D231" s="3" t="str">
        <f>VLOOKUP($A231,Table1[],7,TRUE)</f>
        <v>55</v>
      </c>
      <c r="E231" s="3" t="str">
        <f>VLOOKUP($A231,Table1[],8,TRUE)</f>
        <v>Indonesia</v>
      </c>
      <c r="F231" s="3" t="str">
        <f>VLOOKUP($A231,Table1[],9,TRUE)</f>
        <v>Indonesian</v>
      </c>
      <c r="G231" s="3" t="str">
        <f>VLOOKUP($A231,Table1[],10,TRUE)</f>
        <v>Blockchain Development</v>
      </c>
      <c r="H231" s="13" t="str">
        <f>VLOOKUP($A231,Table1[],12,TRUE)</f>
        <v>18</v>
      </c>
      <c r="I231" s="20">
        <v>100</v>
      </c>
      <c r="J231" s="15">
        <f>VLOOKUP($A231,Table1[],18,TRUE)</f>
        <v>2.9</v>
      </c>
      <c r="K231" s="12" t="str">
        <f>VLOOKUP($A231,Table1[],22,TRUE)</f>
        <v>FALSE</v>
      </c>
      <c r="L231" s="13">
        <f>VLOOKUP($A231,Table1[],25,TRUE)</f>
        <v>0.97</v>
      </c>
    </row>
    <row r="232" spans="1:12" x14ac:dyDescent="0.25">
      <c r="A232" t="s">
        <v>544</v>
      </c>
      <c r="B232" s="18" t="str">
        <f>VLOOKUP(A232,Table1[],3,TRUE)</f>
        <v>Stephen Ramirez</v>
      </c>
      <c r="C232" s="18" t="str">
        <f>VLOOKUP($A232,Table1[],5,TRUE)</f>
        <v>Male</v>
      </c>
      <c r="D232" s="3" t="str">
        <f>VLOOKUP($A232,Table1[],7,TRUE)</f>
        <v>37</v>
      </c>
      <c r="E232" s="3" t="str">
        <f>VLOOKUP($A232,Table1[],8,TRUE)</f>
        <v>Brazil</v>
      </c>
      <c r="F232" s="3" t="str">
        <f>VLOOKUP($A232,Table1[],9,TRUE)</f>
        <v>Portuguese</v>
      </c>
      <c r="G232" s="3" t="str">
        <f>VLOOKUP($A232,Table1[],10,TRUE)</f>
        <v>Blockchain Development</v>
      </c>
      <c r="H232" s="13" t="str">
        <f>VLOOKUP($A232,Table1[],12,TRUE)</f>
        <v>4</v>
      </c>
      <c r="I232" s="20">
        <v>50</v>
      </c>
      <c r="J232" s="15">
        <f>VLOOKUP($A232,Table1[],18,TRUE)</f>
        <v>2.6</v>
      </c>
      <c r="K232" s="12" t="str">
        <f>VLOOKUP($A232,Table1[],22,TRUE)</f>
        <v>FALSE</v>
      </c>
      <c r="L232" s="13">
        <f>VLOOKUP($A232,Table1[],25,TRUE)</f>
        <v>0.75</v>
      </c>
    </row>
    <row r="233" spans="1:12" x14ac:dyDescent="0.25">
      <c r="A233" t="s">
        <v>546</v>
      </c>
      <c r="B233" s="18" t="str">
        <f>VLOOKUP(A233,Table1[],3,TRUE)</f>
        <v>Chloe Gray</v>
      </c>
      <c r="C233" s="18" t="str">
        <f>VLOOKUP($A233,Table1[],5,TRUE)</f>
        <v>Female</v>
      </c>
      <c r="D233" s="3" t="str">
        <f>VLOOKUP($A233,Table1[],7,TRUE)</f>
        <v>34</v>
      </c>
      <c r="E233" s="3" t="str">
        <f>VLOOKUP($A233,Table1[],8,TRUE)</f>
        <v>Egypt</v>
      </c>
      <c r="F233" s="3" t="str">
        <f>VLOOKUP($A233,Table1[],9,TRUE)</f>
        <v>Arabic</v>
      </c>
      <c r="G233" s="3" t="str">
        <f>VLOOKUP($A233,Table1[],10,TRUE)</f>
        <v>Data Analysis</v>
      </c>
      <c r="H233" s="13" t="str">
        <f>VLOOKUP($A233,Table1[],12,TRUE)</f>
        <v>11</v>
      </c>
      <c r="I233" s="20">
        <v>50</v>
      </c>
      <c r="J233" s="15">
        <f>VLOOKUP($A233,Table1[],18,TRUE)</f>
        <v>3.9</v>
      </c>
      <c r="K233" s="12" t="str">
        <f>VLOOKUP($A233,Table1[],22,TRUE)</f>
        <v>TRUE</v>
      </c>
      <c r="L233" s="13">
        <f>VLOOKUP($A233,Table1[],25,TRUE)</f>
        <v>0.82</v>
      </c>
    </row>
    <row r="234" spans="1:12" x14ac:dyDescent="0.25">
      <c r="A234" t="s">
        <v>548</v>
      </c>
      <c r="B234" s="18" t="str">
        <f>VLOOKUP(A234,Table1[],3,TRUE)</f>
        <v>Michael Williams Jr.</v>
      </c>
      <c r="C234" s="18" t="str">
        <f>VLOOKUP($A234,Table1[],5,TRUE)</f>
        <v>Male</v>
      </c>
      <c r="D234" s="3" t="str">
        <f>VLOOKUP($A234,Table1[],7,TRUE)</f>
        <v>20</v>
      </c>
      <c r="E234" s="3" t="str">
        <f>VLOOKUP($A234,Table1[],8,TRUE)</f>
        <v>France</v>
      </c>
      <c r="F234" s="3" t="str">
        <f>VLOOKUP($A234,Table1[],9,TRUE)</f>
        <v>French</v>
      </c>
      <c r="G234" s="3" t="str">
        <f>VLOOKUP($A234,Table1[],10,TRUE)</f>
        <v>Data Analysis</v>
      </c>
      <c r="H234" s="13" t="str">
        <f>VLOOKUP($A234,Table1[],12,TRUE)</f>
        <v>1</v>
      </c>
      <c r="I234" s="20">
        <v>50</v>
      </c>
      <c r="J234" s="15">
        <f>VLOOKUP($A234,Table1[],18,TRUE)</f>
        <v>3.1</v>
      </c>
      <c r="K234" s="12" t="str">
        <f>VLOOKUP($A234,Table1[],22,TRUE)</f>
        <v>TRUE</v>
      </c>
      <c r="L234" s="13">
        <f>VLOOKUP($A234,Table1[],25,TRUE)</f>
        <v>0.71</v>
      </c>
    </row>
    <row r="235" spans="1:12" x14ac:dyDescent="0.25">
      <c r="A235" t="s">
        <v>550</v>
      </c>
      <c r="B235" s="18" t="str">
        <f>VLOOKUP(A235,Table1[],3,TRUE)</f>
        <v>Matthew Martin</v>
      </c>
      <c r="C235" s="18" t="str">
        <f>VLOOKUP($A235,Table1[],5,TRUE)</f>
        <v>Male</v>
      </c>
      <c r="D235" s="3" t="str">
        <f>VLOOKUP($A235,Table1[],7,TRUE)</f>
        <v>22</v>
      </c>
      <c r="E235" s="3" t="str">
        <f>VLOOKUP($A235,Table1[],8,TRUE)</f>
        <v>Mexico</v>
      </c>
      <c r="F235" s="3" t="str">
        <f>VLOOKUP($A235,Table1[],9,TRUE)</f>
        <v>Spanish</v>
      </c>
      <c r="G235" s="3" t="str">
        <f>VLOOKUP($A235,Table1[],10,TRUE)</f>
        <v>UI/UX Design</v>
      </c>
      <c r="H235" s="13" t="str">
        <f>VLOOKUP($A235,Table1[],12,TRUE)</f>
        <v>2</v>
      </c>
      <c r="I235" s="20">
        <v>50</v>
      </c>
      <c r="J235" s="15">
        <f>VLOOKUP($A235,Table1[],18,TRUE)</f>
        <v>0</v>
      </c>
      <c r="K235" s="12" t="str">
        <f>VLOOKUP($A235,Table1[],22,TRUE)</f>
        <v>TRUE</v>
      </c>
      <c r="L235" s="13">
        <f>VLOOKUP($A235,Table1[],25,TRUE)</f>
        <v>0.75</v>
      </c>
    </row>
    <row r="236" spans="1:12" x14ac:dyDescent="0.25">
      <c r="A236" t="s">
        <v>552</v>
      </c>
      <c r="B236" s="18" t="str">
        <f>VLOOKUP(A236,Table1[],3,TRUE)</f>
        <v>Julia Murphy</v>
      </c>
      <c r="C236" s="18" t="str">
        <f>VLOOKUP($A236,Table1[],5,TRUE)</f>
        <v>Female</v>
      </c>
      <c r="D236" s="3" t="str">
        <f>VLOOKUP($A236,Table1[],7,TRUE)</f>
        <v>23</v>
      </c>
      <c r="E236" s="3" t="str">
        <f>VLOOKUP($A236,Table1[],8,TRUE)</f>
        <v>South Korea</v>
      </c>
      <c r="F236" s="3" t="str">
        <f>VLOOKUP($A236,Table1[],9,TRUE)</f>
        <v>Korean</v>
      </c>
      <c r="G236" s="3" t="str">
        <f>VLOOKUP($A236,Table1[],10,TRUE)</f>
        <v>Graphic Design</v>
      </c>
      <c r="H236" s="13" t="str">
        <f>VLOOKUP($A236,Table1[],12,TRUE)</f>
        <v>2</v>
      </c>
      <c r="I236" s="20">
        <v>50</v>
      </c>
      <c r="J236" s="15">
        <f>VLOOKUP($A236,Table1[],18,TRUE)</f>
        <v>3.2</v>
      </c>
      <c r="K236" s="12" t="str">
        <f>VLOOKUP($A236,Table1[],22,TRUE)</f>
        <v>TRUE</v>
      </c>
      <c r="L236" s="13">
        <f>VLOOKUP($A236,Table1[],25,TRUE)</f>
        <v>0.75</v>
      </c>
    </row>
    <row r="237" spans="1:12" x14ac:dyDescent="0.25">
      <c r="A237" t="s">
        <v>554</v>
      </c>
      <c r="B237" s="18" t="str">
        <f>VLOOKUP(A237,Table1[],3,TRUE)</f>
        <v>Anna Evans</v>
      </c>
      <c r="C237" s="18" t="str">
        <f>VLOOKUP($A237,Table1[],5,TRUE)</f>
        <v>Female</v>
      </c>
      <c r="D237" s="3" t="str">
        <f>VLOOKUP($A237,Table1[],7,TRUE)</f>
        <v>53</v>
      </c>
      <c r="E237" s="3" t="str">
        <f>VLOOKUP($A237,Table1[],8,TRUE)</f>
        <v>South Korea</v>
      </c>
      <c r="F237" s="3" t="str">
        <f>VLOOKUP($A237,Table1[],9,TRUE)</f>
        <v>Korean</v>
      </c>
      <c r="G237" s="3" t="str">
        <f>VLOOKUP($A237,Table1[],10,TRUE)</f>
        <v>Blockchain Development</v>
      </c>
      <c r="H237" s="13" t="str">
        <f>VLOOKUP($A237,Table1[],12,TRUE)</f>
        <v>34</v>
      </c>
      <c r="I237" s="20">
        <v>30</v>
      </c>
      <c r="J237" s="15">
        <f>VLOOKUP($A237,Table1[],18,TRUE)</f>
        <v>2.6</v>
      </c>
      <c r="K237" s="12" t="str">
        <f>VLOOKUP($A237,Table1[],22,TRUE)</f>
        <v>TRUE</v>
      </c>
      <c r="L237" s="13">
        <f>VLOOKUP($A237,Table1[],25,TRUE)</f>
        <v>0.75</v>
      </c>
    </row>
    <row r="238" spans="1:12" x14ac:dyDescent="0.25">
      <c r="A238" t="s">
        <v>556</v>
      </c>
      <c r="B238" s="18" t="str">
        <f>VLOOKUP(A238,Table1[],3,TRUE)</f>
        <v>Brenda Fleming</v>
      </c>
      <c r="C238" s="18" t="str">
        <f>VLOOKUP($A238,Table1[],5,TRUE)</f>
        <v>Female</v>
      </c>
      <c r="D238" s="3" t="str">
        <f>VLOOKUP($A238,Table1[],7,TRUE)</f>
        <v>56</v>
      </c>
      <c r="E238" s="3" t="str">
        <f>VLOOKUP($A238,Table1[],8,TRUE)</f>
        <v>South Korea</v>
      </c>
      <c r="F238" s="3" t="str">
        <f>VLOOKUP($A238,Table1[],9,TRUE)</f>
        <v>Korean</v>
      </c>
      <c r="G238" s="3" t="str">
        <f>VLOOKUP($A238,Table1[],10,TRUE)</f>
        <v>Graphic Design</v>
      </c>
      <c r="H238" s="13" t="str">
        <f>VLOOKUP($A238,Table1[],12,TRUE)</f>
        <v>27</v>
      </c>
      <c r="I238" s="20">
        <v>100</v>
      </c>
      <c r="J238" s="15">
        <f>VLOOKUP($A238,Table1[],18,TRUE)</f>
        <v>4.7</v>
      </c>
      <c r="K238" s="12" t="str">
        <f>VLOOKUP($A238,Table1[],22,TRUE)</f>
        <v>TRUE</v>
      </c>
      <c r="L238" s="13">
        <f>VLOOKUP($A238,Table1[],25,TRUE)</f>
        <v>0.69</v>
      </c>
    </row>
    <row r="239" spans="1:12" x14ac:dyDescent="0.25">
      <c r="A239" t="s">
        <v>558</v>
      </c>
      <c r="B239" s="18" t="str">
        <f>VLOOKUP(A239,Table1[],3,TRUE)</f>
        <v>Daniel Harrington</v>
      </c>
      <c r="C239" s="18" t="str">
        <f>VLOOKUP($A239,Table1[],5,TRUE)</f>
        <v>Male</v>
      </c>
      <c r="D239" s="3" t="str">
        <f>VLOOKUP($A239,Table1[],7,TRUE)</f>
        <v>27</v>
      </c>
      <c r="E239" s="3" t="str">
        <f>VLOOKUP($A239,Table1[],8,TRUE)</f>
        <v>Canada</v>
      </c>
      <c r="F239" s="3" t="str">
        <f>VLOOKUP($A239,Table1[],9,TRUE)</f>
        <v>English</v>
      </c>
      <c r="G239" s="3" t="str">
        <f>VLOOKUP($A239,Table1[],10,TRUE)</f>
        <v>AI</v>
      </c>
      <c r="H239" s="13" t="str">
        <f>VLOOKUP($A239,Table1[],12,TRUE)</f>
        <v>4</v>
      </c>
      <c r="I239" s="20">
        <v>75</v>
      </c>
      <c r="J239" s="15">
        <f>VLOOKUP($A239,Table1[],18,TRUE)</f>
        <v>5</v>
      </c>
      <c r="K239" s="12" t="str">
        <f>VLOOKUP($A239,Table1[],22,TRUE)</f>
        <v>FALSE</v>
      </c>
      <c r="L239" s="13">
        <f>VLOOKUP($A239,Table1[],25,TRUE)</f>
        <v>0.88</v>
      </c>
    </row>
    <row r="240" spans="1:12" x14ac:dyDescent="0.25">
      <c r="A240" t="s">
        <v>560</v>
      </c>
      <c r="B240" s="18" t="str">
        <f>VLOOKUP(A240,Table1[],3,TRUE)</f>
        <v>Daniel Barnett</v>
      </c>
      <c r="C240" s="18" t="str">
        <f>VLOOKUP($A240,Table1[],5,TRUE)</f>
        <v>Male</v>
      </c>
      <c r="D240" s="3" t="str">
        <f>VLOOKUP($A240,Table1[],7,TRUE)</f>
        <v>34</v>
      </c>
      <c r="E240" s="3" t="str">
        <f>VLOOKUP($A240,Table1[],8,TRUE)</f>
        <v>Italy</v>
      </c>
      <c r="F240" s="3" t="str">
        <f>VLOOKUP($A240,Table1[],9,TRUE)</f>
        <v>Italian</v>
      </c>
      <c r="G240" s="3" t="str">
        <f>VLOOKUP($A240,Table1[],10,TRUE)</f>
        <v>Mobile Apps</v>
      </c>
      <c r="H240" s="13" t="str">
        <f>VLOOKUP($A240,Table1[],12,TRUE)</f>
        <v>11</v>
      </c>
      <c r="I240" s="20">
        <v>40</v>
      </c>
      <c r="J240" s="15">
        <f>VLOOKUP($A240,Table1[],18,TRUE)</f>
        <v>2.6</v>
      </c>
      <c r="K240" s="12" t="str">
        <f>VLOOKUP($A240,Table1[],22,TRUE)</f>
        <v>TRUE</v>
      </c>
      <c r="L240" s="13">
        <f>VLOOKUP($A240,Table1[],25,TRUE)</f>
        <v>0.67</v>
      </c>
    </row>
    <row r="241" spans="1:12" x14ac:dyDescent="0.25">
      <c r="A241" t="s">
        <v>562</v>
      </c>
      <c r="B241" s="18" t="str">
        <f>VLOOKUP(A241,Table1[],3,TRUE)</f>
        <v>Mark Cummings</v>
      </c>
      <c r="C241" s="18" t="str">
        <f>VLOOKUP($A241,Table1[],5,TRUE)</f>
        <v>Male</v>
      </c>
      <c r="D241" s="3" t="str">
        <f>VLOOKUP($A241,Table1[],7,TRUE)</f>
        <v>29</v>
      </c>
      <c r="E241" s="3" t="str">
        <f>VLOOKUP($A241,Table1[],8,TRUE)</f>
        <v>United States</v>
      </c>
      <c r="F241" s="3" t="str">
        <f>VLOOKUP($A241,Table1[],9,TRUE)</f>
        <v>English</v>
      </c>
      <c r="G241" s="3" t="str">
        <f>VLOOKUP($A241,Table1[],10,TRUE)</f>
        <v>Web Development</v>
      </c>
      <c r="H241" s="13" t="str">
        <f>VLOOKUP($A241,Table1[],12,TRUE)</f>
        <v>4</v>
      </c>
      <c r="I241" s="20">
        <v>50</v>
      </c>
      <c r="J241" s="15">
        <f>VLOOKUP($A241,Table1[],18,TRUE)</f>
        <v>4</v>
      </c>
      <c r="K241" s="12" t="str">
        <f>VLOOKUP($A241,Table1[],22,TRUE)</f>
        <v>FALSE</v>
      </c>
      <c r="L241" s="13">
        <f>VLOOKUP($A241,Table1[],25,TRUE)</f>
        <v>0.75</v>
      </c>
    </row>
    <row r="242" spans="1:12" x14ac:dyDescent="0.25">
      <c r="A242" t="s">
        <v>564</v>
      </c>
      <c r="B242" s="18" t="str">
        <f>VLOOKUP(A242,Table1[],3,TRUE)</f>
        <v>Christopher Guerra</v>
      </c>
      <c r="C242" s="18" t="str">
        <f>VLOOKUP($A242,Table1[],5,TRUE)</f>
        <v>Male</v>
      </c>
      <c r="D242" s="3" t="str">
        <f>VLOOKUP($A242,Table1[],7,TRUE)</f>
        <v>34</v>
      </c>
      <c r="E242" s="3" t="str">
        <f>VLOOKUP($A242,Table1[],8,TRUE)</f>
        <v>India</v>
      </c>
      <c r="F242" s="3" t="str">
        <f>VLOOKUP($A242,Table1[],9,TRUE)</f>
        <v>Hindi</v>
      </c>
      <c r="G242" s="3" t="str">
        <f>VLOOKUP($A242,Table1[],10,TRUE)</f>
        <v>AI</v>
      </c>
      <c r="H242" s="13" t="str">
        <f>VLOOKUP($A242,Table1[],12,TRUE)</f>
        <v>11</v>
      </c>
      <c r="I242" s="20">
        <v>50</v>
      </c>
      <c r="J242" s="15">
        <f>VLOOKUP($A242,Table1[],18,TRUE)</f>
        <v>1.2</v>
      </c>
      <c r="K242" s="12" t="str">
        <f>VLOOKUP($A242,Table1[],22,TRUE)</f>
        <v>TRUE</v>
      </c>
      <c r="L242" s="13">
        <f>VLOOKUP($A242,Table1[],25,TRUE)</f>
        <v>0.75</v>
      </c>
    </row>
    <row r="243" spans="1:12" x14ac:dyDescent="0.25">
      <c r="A243" t="s">
        <v>566</v>
      </c>
      <c r="B243" s="18" t="str">
        <f>VLOOKUP(A243,Table1[],3,TRUE)</f>
        <v>Sarah Ho</v>
      </c>
      <c r="C243" s="18" t="str">
        <f>VLOOKUP($A243,Table1[],5,TRUE)</f>
        <v>Female</v>
      </c>
      <c r="D243" s="3" t="str">
        <f>VLOOKUP($A243,Table1[],7,TRUE)</f>
        <v>32</v>
      </c>
      <c r="E243" s="3" t="str">
        <f>VLOOKUP($A243,Table1[],8,TRUE)</f>
        <v>Mexico</v>
      </c>
      <c r="F243" s="3" t="str">
        <f>VLOOKUP($A243,Table1[],9,TRUE)</f>
        <v>Spanish</v>
      </c>
      <c r="G243" s="3" t="str">
        <f>VLOOKUP($A243,Table1[],10,TRUE)</f>
        <v>AI</v>
      </c>
      <c r="H243" s="13" t="str">
        <f>VLOOKUP($A243,Table1[],12,TRUE)</f>
        <v>1</v>
      </c>
      <c r="I243" s="20">
        <v>100</v>
      </c>
      <c r="J243" s="15">
        <f>VLOOKUP($A243,Table1[],18,TRUE)</f>
        <v>4.7</v>
      </c>
      <c r="K243" s="12" t="str">
        <f>VLOOKUP($A243,Table1[],22,TRUE)</f>
        <v>FALSE</v>
      </c>
      <c r="L243" s="13">
        <f>VLOOKUP($A243,Table1[],25,TRUE)</f>
        <v>0.67</v>
      </c>
    </row>
    <row r="244" spans="1:12" x14ac:dyDescent="0.25">
      <c r="A244" t="s">
        <v>568</v>
      </c>
      <c r="B244" s="18" t="str">
        <f>VLOOKUP(A244,Table1[],3,TRUE)</f>
        <v>Veronica Thomas</v>
      </c>
      <c r="C244" s="18" t="str">
        <f>VLOOKUP($A244,Table1[],5,TRUE)</f>
        <v>Female</v>
      </c>
      <c r="D244" s="3" t="str">
        <f>VLOOKUP($A244,Table1[],7,TRUE)</f>
        <v>21</v>
      </c>
      <c r="E244" s="3" t="str">
        <f>VLOOKUP($A244,Table1[],8,TRUE)</f>
        <v>South Africa</v>
      </c>
      <c r="F244" s="3" t="str">
        <f>VLOOKUP($A244,Table1[],9,TRUE)</f>
        <v>Afrikaans</v>
      </c>
      <c r="G244" s="3" t="str">
        <f>VLOOKUP($A244,Table1[],10,TRUE)</f>
        <v>Machine Learning</v>
      </c>
      <c r="H244" s="13" t="str">
        <f>VLOOKUP($A244,Table1[],12,TRUE)</f>
        <v>2</v>
      </c>
      <c r="I244" s="20">
        <v>20</v>
      </c>
      <c r="J244" s="15">
        <f>VLOOKUP($A244,Table1[],18,TRUE)</f>
        <v>2.4</v>
      </c>
      <c r="K244" s="12" t="str">
        <f>VLOOKUP($A244,Table1[],22,TRUE)</f>
        <v>TRUE</v>
      </c>
      <c r="L244" s="13">
        <f>VLOOKUP($A244,Table1[],25,TRUE)</f>
        <v>0.86</v>
      </c>
    </row>
    <row r="245" spans="1:12" x14ac:dyDescent="0.25">
      <c r="A245" t="s">
        <v>570</v>
      </c>
      <c r="B245" s="18" t="str">
        <f>VLOOKUP(A245,Table1[],3,TRUE)</f>
        <v>Mitchell Watson</v>
      </c>
      <c r="C245" s="18" t="str">
        <f>VLOOKUP($A245,Table1[],5,TRUE)</f>
        <v>Male</v>
      </c>
      <c r="D245" s="3" t="str">
        <f>VLOOKUP($A245,Table1[],7,TRUE)</f>
        <v>20</v>
      </c>
      <c r="E245" s="3" t="str">
        <f>VLOOKUP($A245,Table1[],8,TRUE)</f>
        <v>Mexico</v>
      </c>
      <c r="F245" s="3" t="str">
        <f>VLOOKUP($A245,Table1[],9,TRUE)</f>
        <v>Spanish</v>
      </c>
      <c r="G245" s="3" t="str">
        <f>VLOOKUP($A245,Table1[],10,TRUE)</f>
        <v>Graphic Design</v>
      </c>
      <c r="H245" s="13" t="str">
        <f>VLOOKUP($A245,Table1[],12,TRUE)</f>
        <v>2</v>
      </c>
      <c r="I245" s="20">
        <v>50</v>
      </c>
      <c r="J245" s="15">
        <f>VLOOKUP($A245,Table1[],18,TRUE)</f>
        <v>1.1000000000000001</v>
      </c>
      <c r="K245" s="12" t="str">
        <f>VLOOKUP($A245,Table1[],22,TRUE)</f>
        <v>TRUE</v>
      </c>
      <c r="L245" s="13">
        <f>VLOOKUP($A245,Table1[],25,TRUE)</f>
        <v>0.69</v>
      </c>
    </row>
    <row r="246" spans="1:12" x14ac:dyDescent="0.25">
      <c r="A246" t="s">
        <v>572</v>
      </c>
      <c r="B246" s="18" t="str">
        <f>VLOOKUP(A246,Table1[],3,TRUE)</f>
        <v>Monica Murphy</v>
      </c>
      <c r="C246" s="18" t="str">
        <f>VLOOKUP($A246,Table1[],5,TRUE)</f>
        <v>Female</v>
      </c>
      <c r="D246" s="3" t="str">
        <f>VLOOKUP($A246,Table1[],7,TRUE)</f>
        <v>35</v>
      </c>
      <c r="E246" s="3" t="str">
        <f>VLOOKUP($A246,Table1[],8,TRUE)</f>
        <v>United States</v>
      </c>
      <c r="F246" s="3" t="str">
        <f>VLOOKUP($A246,Table1[],9,TRUE)</f>
        <v>English</v>
      </c>
      <c r="G246" s="3" t="str">
        <f>VLOOKUP($A246,Table1[],10,TRUE)</f>
        <v>Mobile Apps</v>
      </c>
      <c r="H246" s="13" t="str">
        <f>VLOOKUP($A246,Table1[],12,TRUE)</f>
        <v>10</v>
      </c>
      <c r="I246" s="20">
        <v>50</v>
      </c>
      <c r="J246" s="15">
        <f>VLOOKUP($A246,Table1[],18,TRUE)</f>
        <v>1.4</v>
      </c>
      <c r="K246" s="12" t="str">
        <f>VLOOKUP($A246,Table1[],22,TRUE)</f>
        <v>TRUE</v>
      </c>
      <c r="L246" s="13">
        <f>VLOOKUP($A246,Table1[],25,TRUE)</f>
        <v>0.85</v>
      </c>
    </row>
    <row r="247" spans="1:12" x14ac:dyDescent="0.25">
      <c r="A247" t="s">
        <v>574</v>
      </c>
      <c r="B247" s="18" t="str">
        <f>VLOOKUP(A247,Table1[],3,TRUE)</f>
        <v>Kristen Williams</v>
      </c>
      <c r="C247" s="18" t="str">
        <f>VLOOKUP($A247,Table1[],5,TRUE)</f>
        <v>Female</v>
      </c>
      <c r="D247" s="3" t="str">
        <f>VLOOKUP($A247,Table1[],7,TRUE)</f>
        <v>47</v>
      </c>
      <c r="E247" s="3" t="str">
        <f>VLOOKUP($A247,Table1[],8,TRUE)</f>
        <v>United States</v>
      </c>
      <c r="F247" s="3" t="str">
        <f>VLOOKUP($A247,Table1[],9,TRUE)</f>
        <v>English</v>
      </c>
      <c r="G247" s="3" t="str">
        <f>VLOOKUP($A247,Table1[],10,TRUE)</f>
        <v>UI/UX Design</v>
      </c>
      <c r="H247" s="13" t="str">
        <f>VLOOKUP($A247,Table1[],12,TRUE)</f>
        <v>18</v>
      </c>
      <c r="I247" s="20">
        <v>40</v>
      </c>
      <c r="J247" s="15">
        <f>VLOOKUP($A247,Table1[],18,TRUE)</f>
        <v>3.4</v>
      </c>
      <c r="K247" s="12" t="str">
        <f>VLOOKUP($A247,Table1[],22,TRUE)</f>
        <v>FALSE</v>
      </c>
      <c r="L247" s="13">
        <f>VLOOKUP($A247,Table1[],25,TRUE)</f>
        <v>0.6</v>
      </c>
    </row>
    <row r="248" spans="1:12" x14ac:dyDescent="0.25">
      <c r="A248" t="s">
        <v>576</v>
      </c>
      <c r="B248" s="18" t="str">
        <f>VLOOKUP(A248,Table1[],3,TRUE)</f>
        <v>Nicole Wright</v>
      </c>
      <c r="C248" s="18" t="str">
        <f>VLOOKUP($A248,Table1[],5,TRUE)</f>
        <v>Female</v>
      </c>
      <c r="D248" s="3" t="str">
        <f>VLOOKUP($A248,Table1[],7,TRUE)</f>
        <v>41</v>
      </c>
      <c r="E248" s="3" t="str">
        <f>VLOOKUP($A248,Table1[],8,TRUE)</f>
        <v>Turkey</v>
      </c>
      <c r="F248" s="3" t="str">
        <f>VLOOKUP($A248,Table1[],9,TRUE)</f>
        <v>Turkish</v>
      </c>
      <c r="G248" s="3" t="str">
        <f>VLOOKUP($A248,Table1[],10,TRUE)</f>
        <v>Blockchain Development</v>
      </c>
      <c r="H248" s="13" t="str">
        <f>VLOOKUP($A248,Table1[],12,TRUE)</f>
        <v>4</v>
      </c>
      <c r="I248" s="20">
        <v>40</v>
      </c>
      <c r="J248" s="15">
        <f>VLOOKUP($A248,Table1[],18,TRUE)</f>
        <v>2.7</v>
      </c>
      <c r="K248" s="12" t="str">
        <f>VLOOKUP($A248,Table1[],22,TRUE)</f>
        <v>TRUE</v>
      </c>
      <c r="L248" s="13">
        <f>VLOOKUP($A248,Table1[],25,TRUE)</f>
        <v>0.7</v>
      </c>
    </row>
    <row r="249" spans="1:12" x14ac:dyDescent="0.25">
      <c r="A249" t="s">
        <v>578</v>
      </c>
      <c r="B249" s="18" t="str">
        <f>VLOOKUP(A249,Table1[],3,TRUE)</f>
        <v>Andrew Ruiz</v>
      </c>
      <c r="C249" s="18" t="str">
        <f>VLOOKUP($A249,Table1[],5,TRUE)</f>
        <v>Male</v>
      </c>
      <c r="D249" s="3" t="str">
        <f>VLOOKUP($A249,Table1[],7,TRUE)</f>
        <v>58</v>
      </c>
      <c r="E249" s="3" t="str">
        <f>VLOOKUP($A249,Table1[],8,TRUE)</f>
        <v>Argentina</v>
      </c>
      <c r="F249" s="3" t="str">
        <f>VLOOKUP($A249,Table1[],9,TRUE)</f>
        <v>Spanish</v>
      </c>
      <c r="G249" s="3" t="str">
        <f>VLOOKUP($A249,Table1[],10,TRUE)</f>
        <v>Web Development</v>
      </c>
      <c r="H249" s="13" t="str">
        <f>VLOOKUP($A249,Table1[],12,TRUE)</f>
        <v>23</v>
      </c>
      <c r="I249" s="20">
        <v>50</v>
      </c>
      <c r="J249" s="15">
        <f>VLOOKUP($A249,Table1[],18,TRUE)</f>
        <v>4.9000000000000004</v>
      </c>
      <c r="K249" s="12" t="str">
        <f>VLOOKUP($A249,Table1[],22,TRUE)</f>
        <v>TRUE</v>
      </c>
      <c r="L249" s="13">
        <f>VLOOKUP($A249,Table1[],25,TRUE)</f>
        <v>0.75</v>
      </c>
    </row>
    <row r="250" spans="1:12" x14ac:dyDescent="0.25">
      <c r="A250" t="s">
        <v>580</v>
      </c>
      <c r="B250" s="18" t="str">
        <f>VLOOKUP(A250,Table1[],3,TRUE)</f>
        <v>Zachary Jackson</v>
      </c>
      <c r="C250" s="18" t="str">
        <f>VLOOKUP($A250,Table1[],5,TRUE)</f>
        <v>Male</v>
      </c>
      <c r="D250" s="3" t="str">
        <f>VLOOKUP($A250,Table1[],7,TRUE)</f>
        <v>34</v>
      </c>
      <c r="E250" s="3" t="str">
        <f>VLOOKUP($A250,Table1[],8,TRUE)</f>
        <v>China</v>
      </c>
      <c r="F250" s="3" t="str">
        <f>VLOOKUP($A250,Table1[],9,TRUE)</f>
        <v>Mandarin</v>
      </c>
      <c r="G250" s="3" t="str">
        <f>VLOOKUP($A250,Table1[],10,TRUE)</f>
        <v>Data Analysis</v>
      </c>
      <c r="H250" s="13" t="str">
        <f>VLOOKUP($A250,Table1[],12,TRUE)</f>
        <v>6</v>
      </c>
      <c r="I250" s="20">
        <v>75</v>
      </c>
      <c r="J250" s="15">
        <f>VLOOKUP($A250,Table1[],18,TRUE)</f>
        <v>1.9</v>
      </c>
      <c r="K250" s="12" t="str">
        <f>VLOOKUP($A250,Table1[],22,TRUE)</f>
        <v>TRUE</v>
      </c>
      <c r="L250" s="13">
        <f>VLOOKUP($A250,Table1[],25,TRUE)</f>
        <v>0.81</v>
      </c>
    </row>
    <row r="251" spans="1:12" x14ac:dyDescent="0.25">
      <c r="A251" t="s">
        <v>582</v>
      </c>
      <c r="B251" s="18" t="str">
        <f>VLOOKUP(A251,Table1[],3,TRUE)</f>
        <v>Stephanie Carter</v>
      </c>
      <c r="C251" s="18" t="str">
        <f>VLOOKUP($A251,Table1[],5,TRUE)</f>
        <v>Female</v>
      </c>
      <c r="D251" s="3" t="str">
        <f>VLOOKUP($A251,Table1[],7,TRUE)</f>
        <v>50</v>
      </c>
      <c r="E251" s="3" t="str">
        <f>VLOOKUP($A251,Table1[],8,TRUE)</f>
        <v>India</v>
      </c>
      <c r="F251" s="3" t="str">
        <f>VLOOKUP($A251,Table1[],9,TRUE)</f>
        <v>Hindi</v>
      </c>
      <c r="G251" s="3" t="str">
        <f>VLOOKUP($A251,Table1[],10,TRUE)</f>
        <v>Mobile Apps</v>
      </c>
      <c r="H251" s="13" t="str">
        <f>VLOOKUP($A251,Table1[],12,TRUE)</f>
        <v>5</v>
      </c>
      <c r="I251" s="20">
        <v>100</v>
      </c>
      <c r="J251" s="15">
        <f>VLOOKUP($A251,Table1[],18,TRUE)</f>
        <v>2.6</v>
      </c>
      <c r="K251" s="12" t="str">
        <f>VLOOKUP($A251,Table1[],22,TRUE)</f>
        <v>TRUE</v>
      </c>
      <c r="L251" s="13">
        <f>VLOOKUP($A251,Table1[],25,TRUE)</f>
        <v>0.75</v>
      </c>
    </row>
    <row r="252" spans="1:12" x14ac:dyDescent="0.25">
      <c r="A252" t="s">
        <v>584</v>
      </c>
      <c r="B252" s="18" t="str">
        <f>VLOOKUP(A252,Table1[],3,TRUE)</f>
        <v>Amy Olson</v>
      </c>
      <c r="C252" s="18" t="str">
        <f>VLOOKUP($A252,Table1[],5,TRUE)</f>
        <v>Female</v>
      </c>
      <c r="D252" s="3" t="str">
        <f>VLOOKUP($A252,Table1[],7,TRUE)</f>
        <v>42</v>
      </c>
      <c r="E252" s="3" t="str">
        <f>VLOOKUP($A252,Table1[],8,TRUE)</f>
        <v>Mexico</v>
      </c>
      <c r="F252" s="3" t="str">
        <f>VLOOKUP($A252,Table1[],9,TRUE)</f>
        <v>Spanish</v>
      </c>
      <c r="G252" s="3" t="str">
        <f>VLOOKUP($A252,Table1[],10,TRUE)</f>
        <v>DevOps</v>
      </c>
      <c r="H252" s="13" t="str">
        <f>VLOOKUP($A252,Table1[],12,TRUE)</f>
        <v>19</v>
      </c>
      <c r="I252" s="20">
        <v>75</v>
      </c>
      <c r="J252" s="15">
        <f>VLOOKUP($A252,Table1[],18,TRUE)</f>
        <v>4.5999999999999996</v>
      </c>
      <c r="K252" s="12" t="str">
        <f>VLOOKUP($A252,Table1[],22,TRUE)</f>
        <v>FALSE</v>
      </c>
      <c r="L252" s="13">
        <f>VLOOKUP($A252,Table1[],25,TRUE)</f>
        <v>0.78</v>
      </c>
    </row>
    <row r="253" spans="1:12" x14ac:dyDescent="0.25">
      <c r="A253" t="s">
        <v>586</v>
      </c>
      <c r="B253" s="18" t="str">
        <f>VLOOKUP(A253,Table1[],3,TRUE)</f>
        <v>Fred Stark</v>
      </c>
      <c r="C253" s="18" t="str">
        <f>VLOOKUP($A253,Table1[],5,TRUE)</f>
        <v>Male</v>
      </c>
      <c r="D253" s="3" t="str">
        <f>VLOOKUP($A253,Table1[],7,TRUE)</f>
        <v>43</v>
      </c>
      <c r="E253" s="3" t="str">
        <f>VLOOKUP($A253,Table1[],8,TRUE)</f>
        <v>Germany</v>
      </c>
      <c r="F253" s="3" t="str">
        <f>VLOOKUP($A253,Table1[],9,TRUE)</f>
        <v>German</v>
      </c>
      <c r="G253" s="3" t="str">
        <f>VLOOKUP($A253,Table1[],10,TRUE)</f>
        <v>UI/UX Design</v>
      </c>
      <c r="H253" s="13" t="str">
        <f>VLOOKUP($A253,Table1[],12,TRUE)</f>
        <v>6</v>
      </c>
      <c r="I253" s="20">
        <v>50</v>
      </c>
      <c r="J253" s="15">
        <f>VLOOKUP($A253,Table1[],18,TRUE)</f>
        <v>0</v>
      </c>
      <c r="K253" s="12" t="str">
        <f>VLOOKUP($A253,Table1[],22,TRUE)</f>
        <v>FALSE</v>
      </c>
      <c r="L253" s="13">
        <f>VLOOKUP($A253,Table1[],25,TRUE)</f>
        <v>0.81</v>
      </c>
    </row>
    <row r="254" spans="1:12" x14ac:dyDescent="0.25">
      <c r="A254" t="s">
        <v>588</v>
      </c>
      <c r="B254" s="18" t="str">
        <f>VLOOKUP(A254,Table1[],3,TRUE)</f>
        <v>Jacob Gill</v>
      </c>
      <c r="C254" s="18" t="str">
        <f>VLOOKUP($A254,Table1[],5,TRUE)</f>
        <v>Male</v>
      </c>
      <c r="D254" s="3" t="str">
        <f>VLOOKUP($A254,Table1[],7,TRUE)</f>
        <v>34</v>
      </c>
      <c r="E254" s="3" t="str">
        <f>VLOOKUP($A254,Table1[],8,TRUE)</f>
        <v>Germany</v>
      </c>
      <c r="F254" s="3" t="str">
        <f>VLOOKUP($A254,Table1[],9,TRUE)</f>
        <v>German</v>
      </c>
      <c r="G254" s="3" t="str">
        <f>VLOOKUP($A254,Table1[],10,TRUE)</f>
        <v>Data Analysis</v>
      </c>
      <c r="H254" s="13" t="str">
        <f>VLOOKUP($A254,Table1[],12,TRUE)</f>
        <v>8</v>
      </c>
      <c r="I254" s="20">
        <v>75</v>
      </c>
      <c r="J254" s="15">
        <f>VLOOKUP($A254,Table1[],18,TRUE)</f>
        <v>1.8</v>
      </c>
      <c r="K254" s="12" t="str">
        <f>VLOOKUP($A254,Table1[],22,TRUE)</f>
        <v>TRUE</v>
      </c>
      <c r="L254" s="13">
        <f>VLOOKUP($A254,Table1[],25,TRUE)</f>
        <v>0.71</v>
      </c>
    </row>
    <row r="255" spans="1:12" x14ac:dyDescent="0.25">
      <c r="A255" t="s">
        <v>590</v>
      </c>
      <c r="B255" s="18" t="str">
        <f>VLOOKUP(A255,Table1[],3,TRUE)</f>
        <v>Anthony Nichols</v>
      </c>
      <c r="C255" s="18" t="str">
        <f>VLOOKUP($A255,Table1[],5,TRUE)</f>
        <v>Male</v>
      </c>
      <c r="D255" s="3" t="str">
        <f>VLOOKUP($A255,Table1[],7,TRUE)</f>
        <v>24</v>
      </c>
      <c r="E255" s="3" t="str">
        <f>VLOOKUP($A255,Table1[],8,TRUE)</f>
        <v>Spain</v>
      </c>
      <c r="F255" s="3" t="str">
        <f>VLOOKUP($A255,Table1[],9,TRUE)</f>
        <v>Spanish</v>
      </c>
      <c r="G255" s="3" t="str">
        <f>VLOOKUP($A255,Table1[],10,TRUE)</f>
        <v>Mobile Apps</v>
      </c>
      <c r="H255" s="13" t="str">
        <f>VLOOKUP($A255,Table1[],12,TRUE)</f>
        <v>3</v>
      </c>
      <c r="I255" s="20">
        <v>75</v>
      </c>
      <c r="J255" s="15">
        <f>VLOOKUP($A255,Table1[],18,TRUE)</f>
        <v>2</v>
      </c>
      <c r="K255" s="12" t="str">
        <f>VLOOKUP($A255,Table1[],22,TRUE)</f>
        <v>TRUE</v>
      </c>
      <c r="L255" s="13">
        <f>VLOOKUP($A255,Table1[],25,TRUE)</f>
        <v>0.75</v>
      </c>
    </row>
    <row r="256" spans="1:12" x14ac:dyDescent="0.25">
      <c r="A256" t="s">
        <v>592</v>
      </c>
      <c r="B256" s="18" t="str">
        <f>VLOOKUP(A256,Table1[],3,TRUE)</f>
        <v>William Knapp</v>
      </c>
      <c r="C256" s="18" t="str">
        <f>VLOOKUP($A256,Table1[],5,TRUE)</f>
        <v>Male</v>
      </c>
      <c r="D256" s="3" t="str">
        <f>VLOOKUP($A256,Table1[],7,TRUE)</f>
        <v>48</v>
      </c>
      <c r="E256" s="3" t="str">
        <f>VLOOKUP($A256,Table1[],8,TRUE)</f>
        <v>South Africa</v>
      </c>
      <c r="F256" s="3" t="str">
        <f>VLOOKUP($A256,Table1[],9,TRUE)</f>
        <v>Afrikaans</v>
      </c>
      <c r="G256" s="3" t="str">
        <f>VLOOKUP($A256,Table1[],10,TRUE)</f>
        <v>UI/UX Design</v>
      </c>
      <c r="H256" s="13" t="str">
        <f>VLOOKUP($A256,Table1[],12,TRUE)</f>
        <v>8</v>
      </c>
      <c r="I256" s="20">
        <v>30</v>
      </c>
      <c r="J256" s="15">
        <f>VLOOKUP($A256,Table1[],18,TRUE)</f>
        <v>5</v>
      </c>
      <c r="K256" s="12" t="str">
        <f>VLOOKUP($A256,Table1[],22,TRUE)</f>
        <v>TRUE</v>
      </c>
      <c r="L256" s="13">
        <f>VLOOKUP($A256,Table1[],25,TRUE)</f>
        <v>0.99</v>
      </c>
    </row>
    <row r="257" spans="1:12" x14ac:dyDescent="0.25">
      <c r="A257" t="s">
        <v>594</v>
      </c>
      <c r="B257" s="18" t="str">
        <f>VLOOKUP(A257,Table1[],3,TRUE)</f>
        <v>Elizabeth Walker</v>
      </c>
      <c r="C257" s="18" t="str">
        <f>VLOOKUP($A257,Table1[],5,TRUE)</f>
        <v>Female</v>
      </c>
      <c r="D257" s="3" t="str">
        <f>VLOOKUP($A257,Table1[],7,TRUE)</f>
        <v>39</v>
      </c>
      <c r="E257" s="3" t="str">
        <f>VLOOKUP($A257,Table1[],8,TRUE)</f>
        <v>South Korea</v>
      </c>
      <c r="F257" s="3" t="str">
        <f>VLOOKUP($A257,Table1[],9,TRUE)</f>
        <v>Korean</v>
      </c>
      <c r="G257" s="3" t="str">
        <f>VLOOKUP($A257,Table1[],10,TRUE)</f>
        <v>Data Analysis</v>
      </c>
      <c r="H257" s="13" t="str">
        <f>VLOOKUP($A257,Table1[],12,TRUE)</f>
        <v>12</v>
      </c>
      <c r="I257" s="20">
        <v>20</v>
      </c>
      <c r="J257" s="15">
        <f>VLOOKUP($A257,Table1[],18,TRUE)</f>
        <v>3.2</v>
      </c>
      <c r="K257" s="12" t="str">
        <f>VLOOKUP($A257,Table1[],22,TRUE)</f>
        <v>TRUE</v>
      </c>
      <c r="L257" s="13">
        <f>VLOOKUP($A257,Table1[],25,TRUE)</f>
        <v>0.66</v>
      </c>
    </row>
    <row r="258" spans="1:12" x14ac:dyDescent="0.25">
      <c r="A258" t="s">
        <v>596</v>
      </c>
      <c r="B258" s="18" t="str">
        <f>VLOOKUP(A258,Table1[],3,TRUE)</f>
        <v>Brenda Reeves</v>
      </c>
      <c r="C258" s="18" t="str">
        <f>VLOOKUP($A258,Table1[],5,TRUE)</f>
        <v>Female</v>
      </c>
      <c r="D258" s="3" t="str">
        <f>VLOOKUP($A258,Table1[],7,TRUE)</f>
        <v>57</v>
      </c>
      <c r="E258" s="3" t="str">
        <f>VLOOKUP($A258,Table1[],8,TRUE)</f>
        <v>Australia</v>
      </c>
      <c r="F258" s="3" t="str">
        <f>VLOOKUP($A258,Table1[],9,TRUE)</f>
        <v>English</v>
      </c>
      <c r="G258" s="3" t="str">
        <f>VLOOKUP($A258,Table1[],10,TRUE)</f>
        <v>Blockchain Development</v>
      </c>
      <c r="H258" s="13" t="str">
        <f>VLOOKUP($A258,Table1[],12,TRUE)</f>
        <v>30</v>
      </c>
      <c r="I258" s="20">
        <v>30</v>
      </c>
      <c r="J258" s="15">
        <f>VLOOKUP($A258,Table1[],18,TRUE)</f>
        <v>2.4</v>
      </c>
      <c r="K258" s="12" t="str">
        <f>VLOOKUP($A258,Table1[],22,TRUE)</f>
        <v>TRUE</v>
      </c>
      <c r="L258" s="13">
        <f>VLOOKUP($A258,Table1[],25,TRUE)</f>
        <v>0.8</v>
      </c>
    </row>
    <row r="259" spans="1:12" x14ac:dyDescent="0.25">
      <c r="A259" t="s">
        <v>598</v>
      </c>
      <c r="B259" s="18" t="str">
        <f>VLOOKUP(A259,Table1[],3,TRUE)</f>
        <v>Carrie Little</v>
      </c>
      <c r="C259" s="18" t="str">
        <f>VLOOKUP($A259,Table1[],5,TRUE)</f>
        <v>Female</v>
      </c>
      <c r="D259" s="3" t="str">
        <f>VLOOKUP($A259,Table1[],7,TRUE)</f>
        <v>44</v>
      </c>
      <c r="E259" s="3" t="str">
        <f>VLOOKUP($A259,Table1[],8,TRUE)</f>
        <v>Canada</v>
      </c>
      <c r="F259" s="3" t="str">
        <f>VLOOKUP($A259,Table1[],9,TRUE)</f>
        <v>English</v>
      </c>
      <c r="G259" s="3" t="str">
        <f>VLOOKUP($A259,Table1[],10,TRUE)</f>
        <v>Web Development</v>
      </c>
      <c r="H259" s="13" t="str">
        <f>VLOOKUP($A259,Table1[],12,TRUE)</f>
        <v>21</v>
      </c>
      <c r="I259" s="20">
        <v>100</v>
      </c>
      <c r="J259" s="15">
        <f>VLOOKUP($A259,Table1[],18,TRUE)</f>
        <v>2.9</v>
      </c>
      <c r="K259" s="12" t="str">
        <f>VLOOKUP($A259,Table1[],22,TRUE)</f>
        <v>FALSE</v>
      </c>
      <c r="L259" s="13">
        <f>VLOOKUP($A259,Table1[],25,TRUE)</f>
        <v>0.83</v>
      </c>
    </row>
    <row r="260" spans="1:12" x14ac:dyDescent="0.25">
      <c r="A260" t="s">
        <v>600</v>
      </c>
      <c r="B260" s="18" t="str">
        <f>VLOOKUP(A260,Table1[],3,TRUE)</f>
        <v>Steven Jackson</v>
      </c>
      <c r="C260" s="18" t="str">
        <f>VLOOKUP($A260,Table1[],5,TRUE)</f>
        <v>Male</v>
      </c>
      <c r="D260" s="3" t="str">
        <f>VLOOKUP($A260,Table1[],7,TRUE)</f>
        <v>37</v>
      </c>
      <c r="E260" s="3" t="str">
        <f>VLOOKUP($A260,Table1[],8,TRUE)</f>
        <v>Brazil</v>
      </c>
      <c r="F260" s="3" t="str">
        <f>VLOOKUP($A260,Table1[],9,TRUE)</f>
        <v>Portuguese</v>
      </c>
      <c r="G260" s="3" t="str">
        <f>VLOOKUP($A260,Table1[],10,TRUE)</f>
        <v>UI/UX Design</v>
      </c>
      <c r="H260" s="13" t="str">
        <f>VLOOKUP($A260,Table1[],12,TRUE)</f>
        <v>17</v>
      </c>
      <c r="I260" s="20">
        <v>20</v>
      </c>
      <c r="J260" s="15">
        <f>VLOOKUP($A260,Table1[],18,TRUE)</f>
        <v>0</v>
      </c>
      <c r="K260" s="12" t="str">
        <f>VLOOKUP($A260,Table1[],22,TRUE)</f>
        <v>TRUE</v>
      </c>
      <c r="L260" s="13">
        <f>VLOOKUP($A260,Table1[],25,TRUE)</f>
        <v>0.87</v>
      </c>
    </row>
    <row r="261" spans="1:12" x14ac:dyDescent="0.25">
      <c r="A261" t="s">
        <v>602</v>
      </c>
      <c r="B261" s="18" t="str">
        <f>VLOOKUP(A261,Table1[],3,TRUE)</f>
        <v>Mark Perry</v>
      </c>
      <c r="C261" s="18" t="str">
        <f>VLOOKUP($A261,Table1[],5,TRUE)</f>
        <v>Male</v>
      </c>
      <c r="D261" s="3" t="str">
        <f>VLOOKUP($A261,Table1[],7,TRUE)</f>
        <v>50</v>
      </c>
      <c r="E261" s="3" t="str">
        <f>VLOOKUP($A261,Table1[],8,TRUE)</f>
        <v>Turkey</v>
      </c>
      <c r="F261" s="3" t="str">
        <f>VLOOKUP($A261,Table1[],9,TRUE)</f>
        <v>Turkish</v>
      </c>
      <c r="G261" s="3" t="str">
        <f>VLOOKUP($A261,Table1[],10,TRUE)</f>
        <v>Data Analysis</v>
      </c>
      <c r="H261" s="13" t="str">
        <f>VLOOKUP($A261,Table1[],12,TRUE)</f>
        <v>9</v>
      </c>
      <c r="I261" s="20">
        <v>30</v>
      </c>
      <c r="J261" s="15">
        <f>VLOOKUP($A261,Table1[],18,TRUE)</f>
        <v>3</v>
      </c>
      <c r="K261" s="12" t="str">
        <f>VLOOKUP($A261,Table1[],22,TRUE)</f>
        <v>FALSE</v>
      </c>
      <c r="L261" s="13">
        <f>VLOOKUP($A261,Table1[],25,TRUE)</f>
        <v>0.76</v>
      </c>
    </row>
    <row r="262" spans="1:12" x14ac:dyDescent="0.25">
      <c r="A262" t="s">
        <v>604</v>
      </c>
      <c r="B262" s="18" t="str">
        <f>VLOOKUP(A262,Table1[],3,TRUE)</f>
        <v>Cameron Spencer</v>
      </c>
      <c r="C262" s="18" t="str">
        <f>VLOOKUP($A262,Table1[],5,TRUE)</f>
        <v>Male</v>
      </c>
      <c r="D262" s="3" t="str">
        <f>VLOOKUP($A262,Table1[],7,TRUE)</f>
        <v>50</v>
      </c>
      <c r="E262" s="3" t="str">
        <f>VLOOKUP($A262,Table1[],8,TRUE)</f>
        <v>Spain</v>
      </c>
      <c r="F262" s="3" t="str">
        <f>VLOOKUP($A262,Table1[],9,TRUE)</f>
        <v>Spanish</v>
      </c>
      <c r="G262" s="3" t="str">
        <f>VLOOKUP($A262,Table1[],10,TRUE)</f>
        <v>UI/UX Design</v>
      </c>
      <c r="H262" s="13" t="str">
        <f>VLOOKUP($A262,Table1[],12,TRUE)</f>
        <v>2</v>
      </c>
      <c r="I262" s="20">
        <v>50</v>
      </c>
      <c r="J262" s="15">
        <f>VLOOKUP($A262,Table1[],18,TRUE)</f>
        <v>1.6</v>
      </c>
      <c r="K262" s="12" t="str">
        <f>VLOOKUP($A262,Table1[],22,TRUE)</f>
        <v>FALSE</v>
      </c>
      <c r="L262" s="13">
        <f>VLOOKUP($A262,Table1[],25,TRUE)</f>
        <v>0.89</v>
      </c>
    </row>
    <row r="263" spans="1:12" x14ac:dyDescent="0.25">
      <c r="A263" t="s">
        <v>606</v>
      </c>
      <c r="B263" s="18" t="str">
        <f>VLOOKUP(A263,Table1[],3,TRUE)</f>
        <v>Jennifer Holmes</v>
      </c>
      <c r="C263" s="18" t="str">
        <f>VLOOKUP($A263,Table1[],5,TRUE)</f>
        <v>Female</v>
      </c>
      <c r="D263" s="3" t="str">
        <f>VLOOKUP($A263,Table1[],7,TRUE)</f>
        <v>28</v>
      </c>
      <c r="E263" s="3" t="str">
        <f>VLOOKUP($A263,Table1[],8,TRUE)</f>
        <v>France</v>
      </c>
      <c r="F263" s="3" t="str">
        <f>VLOOKUP($A263,Table1[],9,TRUE)</f>
        <v>French</v>
      </c>
      <c r="G263" s="3" t="str">
        <f>VLOOKUP($A263,Table1[],10,TRUE)</f>
        <v>Graphic Design</v>
      </c>
      <c r="H263" s="13" t="str">
        <f>VLOOKUP($A263,Table1[],12,TRUE)</f>
        <v>1</v>
      </c>
      <c r="I263" s="20">
        <v>20</v>
      </c>
      <c r="J263" s="15">
        <f>VLOOKUP($A263,Table1[],18,TRUE)</f>
        <v>3.6</v>
      </c>
      <c r="K263" s="12" t="str">
        <f>VLOOKUP($A263,Table1[],22,TRUE)</f>
        <v>TRUE</v>
      </c>
      <c r="L263" s="13">
        <f>VLOOKUP($A263,Table1[],25,TRUE)</f>
        <v>0.94</v>
      </c>
    </row>
    <row r="264" spans="1:12" x14ac:dyDescent="0.25">
      <c r="A264" t="s">
        <v>608</v>
      </c>
      <c r="B264" s="18" t="str">
        <f>VLOOKUP(A264,Table1[],3,TRUE)</f>
        <v>Jacob Joseph</v>
      </c>
      <c r="C264" s="18" t="str">
        <f>VLOOKUP($A264,Table1[],5,TRUE)</f>
        <v>Male</v>
      </c>
      <c r="D264" s="3" t="str">
        <f>VLOOKUP($A264,Table1[],7,TRUE)</f>
        <v>48</v>
      </c>
      <c r="E264" s="3" t="str">
        <f>VLOOKUP($A264,Table1[],8,TRUE)</f>
        <v>Italy</v>
      </c>
      <c r="F264" s="3" t="str">
        <f>VLOOKUP($A264,Table1[],9,TRUE)</f>
        <v>Italian</v>
      </c>
      <c r="G264" s="3" t="str">
        <f>VLOOKUP($A264,Table1[],10,TRUE)</f>
        <v>Web Development</v>
      </c>
      <c r="H264" s="13" t="str">
        <f>VLOOKUP($A264,Table1[],12,TRUE)</f>
        <v>23</v>
      </c>
      <c r="I264" s="20">
        <v>50</v>
      </c>
      <c r="J264" s="15">
        <f>VLOOKUP($A264,Table1[],18,TRUE)</f>
        <v>2.1</v>
      </c>
      <c r="K264" s="12" t="str">
        <f>VLOOKUP($A264,Table1[],22,TRUE)</f>
        <v>FALSE</v>
      </c>
      <c r="L264" s="13">
        <f>VLOOKUP($A264,Table1[],25,TRUE)</f>
        <v>0.68</v>
      </c>
    </row>
    <row r="265" spans="1:12" x14ac:dyDescent="0.25">
      <c r="A265" t="s">
        <v>610</v>
      </c>
      <c r="B265" s="18" t="str">
        <f>VLOOKUP(A265,Table1[],3,TRUE)</f>
        <v>Jeffery Tucker</v>
      </c>
      <c r="C265" s="18" t="str">
        <f>VLOOKUP($A265,Table1[],5,TRUE)</f>
        <v>Male</v>
      </c>
      <c r="D265" s="3" t="str">
        <f>VLOOKUP($A265,Table1[],7,TRUE)</f>
        <v>42</v>
      </c>
      <c r="E265" s="3" t="str">
        <f>VLOOKUP($A265,Table1[],8,TRUE)</f>
        <v>Germany</v>
      </c>
      <c r="F265" s="3" t="str">
        <f>VLOOKUP($A265,Table1[],9,TRUE)</f>
        <v>German</v>
      </c>
      <c r="G265" s="3" t="str">
        <f>VLOOKUP($A265,Table1[],10,TRUE)</f>
        <v>DevOps</v>
      </c>
      <c r="H265" s="13" t="str">
        <f>VLOOKUP($A265,Table1[],12,TRUE)</f>
        <v>8</v>
      </c>
      <c r="I265" s="20">
        <v>30</v>
      </c>
      <c r="J265" s="15">
        <f>VLOOKUP($A265,Table1[],18,TRUE)</f>
        <v>3.6</v>
      </c>
      <c r="K265" s="12" t="str">
        <f>VLOOKUP($A265,Table1[],22,TRUE)</f>
        <v>TRUE</v>
      </c>
      <c r="L265" s="13">
        <f>VLOOKUP($A265,Table1[],25,TRUE)</f>
        <v>0.96</v>
      </c>
    </row>
    <row r="266" spans="1:12" x14ac:dyDescent="0.25">
      <c r="A266" t="s">
        <v>612</v>
      </c>
      <c r="B266" s="18" t="str">
        <f>VLOOKUP(A266,Table1[],3,TRUE)</f>
        <v>Jacqueline Drake</v>
      </c>
      <c r="C266" s="18" t="str">
        <f>VLOOKUP($A266,Table1[],5,TRUE)</f>
        <v>Female</v>
      </c>
      <c r="D266" s="3" t="str">
        <f>VLOOKUP($A266,Table1[],7,TRUE)</f>
        <v>37</v>
      </c>
      <c r="E266" s="3" t="str">
        <f>VLOOKUP($A266,Table1[],8,TRUE)</f>
        <v>Canada</v>
      </c>
      <c r="F266" s="3" t="str">
        <f>VLOOKUP($A266,Table1[],9,TRUE)</f>
        <v>English</v>
      </c>
      <c r="G266" s="3" t="str">
        <f>VLOOKUP($A266,Table1[],10,TRUE)</f>
        <v>Data Analysis</v>
      </c>
      <c r="H266" s="13" t="str">
        <f>VLOOKUP($A266,Table1[],12,TRUE)</f>
        <v>6</v>
      </c>
      <c r="I266" s="20">
        <v>20</v>
      </c>
      <c r="J266" s="15">
        <f>VLOOKUP($A266,Table1[],18,TRUE)</f>
        <v>2.7</v>
      </c>
      <c r="K266" s="12" t="str">
        <f>VLOOKUP($A266,Table1[],22,TRUE)</f>
        <v>TRUE</v>
      </c>
      <c r="L266" s="13">
        <f>VLOOKUP($A266,Table1[],25,TRUE)</f>
        <v>0.91</v>
      </c>
    </row>
    <row r="267" spans="1:12" x14ac:dyDescent="0.25">
      <c r="A267" t="s">
        <v>614</v>
      </c>
      <c r="B267" s="18" t="str">
        <f>VLOOKUP(A267,Table1[],3,TRUE)</f>
        <v>Brian Bautista</v>
      </c>
      <c r="C267" s="18" t="str">
        <f>VLOOKUP($A267,Table1[],5,TRUE)</f>
        <v>Male</v>
      </c>
      <c r="D267" s="3" t="str">
        <f>VLOOKUP($A267,Table1[],7,TRUE)</f>
        <v>21</v>
      </c>
      <c r="E267" s="3" t="str">
        <f>VLOOKUP($A267,Table1[],8,TRUE)</f>
        <v>India</v>
      </c>
      <c r="F267" s="3" t="str">
        <f>VLOOKUP($A267,Table1[],9,TRUE)</f>
        <v>Hindi</v>
      </c>
      <c r="G267" s="3" t="str">
        <f>VLOOKUP($A267,Table1[],10,TRUE)</f>
        <v>Blockchain Development</v>
      </c>
      <c r="H267" s="13" t="str">
        <f>VLOOKUP($A267,Table1[],12,TRUE)</f>
        <v>1</v>
      </c>
      <c r="I267" s="20">
        <v>100</v>
      </c>
      <c r="J267" s="15">
        <f>VLOOKUP($A267,Table1[],18,TRUE)</f>
        <v>2.1</v>
      </c>
      <c r="K267" s="12" t="str">
        <f>VLOOKUP($A267,Table1[],22,TRUE)</f>
        <v>TRUE</v>
      </c>
      <c r="L267" s="13">
        <f>VLOOKUP($A267,Table1[],25,TRUE)</f>
        <v>0.92</v>
      </c>
    </row>
    <row r="268" spans="1:12" x14ac:dyDescent="0.25">
      <c r="A268" t="s">
        <v>616</v>
      </c>
      <c r="B268" s="18" t="str">
        <f>VLOOKUP(A268,Table1[],3,TRUE)</f>
        <v>Dakota Wells</v>
      </c>
      <c r="C268" s="18" t="str">
        <f>VLOOKUP($A268,Table1[],5,TRUE)</f>
        <v>Male</v>
      </c>
      <c r="D268" s="3" t="str">
        <f>VLOOKUP($A268,Table1[],7,TRUE)</f>
        <v>50</v>
      </c>
      <c r="E268" s="3" t="str">
        <f>VLOOKUP($A268,Table1[],8,TRUE)</f>
        <v>South Korea</v>
      </c>
      <c r="F268" s="3" t="str">
        <f>VLOOKUP($A268,Table1[],9,TRUE)</f>
        <v>Korean</v>
      </c>
      <c r="G268" s="3" t="str">
        <f>VLOOKUP($A268,Table1[],10,TRUE)</f>
        <v>Web Development</v>
      </c>
      <c r="H268" s="13" t="str">
        <f>VLOOKUP($A268,Table1[],12,TRUE)</f>
        <v>19</v>
      </c>
      <c r="I268" s="20">
        <v>40</v>
      </c>
      <c r="J268" s="15">
        <f>VLOOKUP($A268,Table1[],18,TRUE)</f>
        <v>4.9000000000000004</v>
      </c>
      <c r="K268" s="12" t="str">
        <f>VLOOKUP($A268,Table1[],22,TRUE)</f>
        <v>TRUE</v>
      </c>
      <c r="L268" s="13">
        <f>VLOOKUP($A268,Table1[],25,TRUE)</f>
        <v>0.82</v>
      </c>
    </row>
    <row r="269" spans="1:12" x14ac:dyDescent="0.25">
      <c r="A269" t="s">
        <v>618</v>
      </c>
      <c r="B269" s="18" t="str">
        <f>VLOOKUP(A269,Table1[],3,TRUE)</f>
        <v>Julie White</v>
      </c>
      <c r="C269" s="18" t="str">
        <f>VLOOKUP($A269,Table1[],5,TRUE)</f>
        <v>Female</v>
      </c>
      <c r="D269" s="3" t="str">
        <f>VLOOKUP($A269,Table1[],7,TRUE)</f>
        <v>22</v>
      </c>
      <c r="E269" s="3" t="str">
        <f>VLOOKUP($A269,Table1[],8,TRUE)</f>
        <v>Argentina</v>
      </c>
      <c r="F269" s="3" t="str">
        <f>VLOOKUP($A269,Table1[],9,TRUE)</f>
        <v>Spanish</v>
      </c>
      <c r="G269" s="3" t="str">
        <f>VLOOKUP($A269,Table1[],10,TRUE)</f>
        <v>AI</v>
      </c>
      <c r="H269" s="13" t="str">
        <f>VLOOKUP($A269,Table1[],12,TRUE)</f>
        <v>2</v>
      </c>
      <c r="I269" s="20">
        <v>30</v>
      </c>
      <c r="J269" s="15">
        <f>VLOOKUP($A269,Table1[],18,TRUE)</f>
        <v>2.1</v>
      </c>
      <c r="K269" s="12" t="str">
        <f>VLOOKUP($A269,Table1[],22,TRUE)</f>
        <v>TRUE</v>
      </c>
      <c r="L269" s="13">
        <f>VLOOKUP($A269,Table1[],25,TRUE)</f>
        <v>0.75</v>
      </c>
    </row>
    <row r="270" spans="1:12" x14ac:dyDescent="0.25">
      <c r="A270" t="s">
        <v>620</v>
      </c>
      <c r="B270" s="18" t="str">
        <f>VLOOKUP(A270,Table1[],3,TRUE)</f>
        <v>Barbara Keith</v>
      </c>
      <c r="C270" s="18" t="str">
        <f>VLOOKUP($A270,Table1[],5,TRUE)</f>
        <v>Female</v>
      </c>
      <c r="D270" s="3" t="str">
        <f>VLOOKUP($A270,Table1[],7,TRUE)</f>
        <v>39</v>
      </c>
      <c r="E270" s="3" t="str">
        <f>VLOOKUP($A270,Table1[],8,TRUE)</f>
        <v>Japan</v>
      </c>
      <c r="F270" s="3" t="str">
        <f>VLOOKUP($A270,Table1[],9,TRUE)</f>
        <v>Japanese</v>
      </c>
      <c r="G270" s="3" t="str">
        <f>VLOOKUP($A270,Table1[],10,TRUE)</f>
        <v>Web Development</v>
      </c>
      <c r="H270" s="13" t="str">
        <f>VLOOKUP($A270,Table1[],12,TRUE)</f>
        <v>21</v>
      </c>
      <c r="I270" s="20">
        <v>100</v>
      </c>
      <c r="J270" s="15">
        <f>VLOOKUP($A270,Table1[],18,TRUE)</f>
        <v>0</v>
      </c>
      <c r="K270" s="12" t="str">
        <f>VLOOKUP($A270,Table1[],22,TRUE)</f>
        <v>FALSE</v>
      </c>
      <c r="L270" s="13">
        <f>VLOOKUP($A270,Table1[],25,TRUE)</f>
        <v>0.91</v>
      </c>
    </row>
    <row r="271" spans="1:12" x14ac:dyDescent="0.25">
      <c r="A271" t="s">
        <v>622</v>
      </c>
      <c r="B271" s="18" t="str">
        <f>VLOOKUP(A271,Table1[],3,TRUE)</f>
        <v>Heather Camacho</v>
      </c>
      <c r="C271" s="18" t="str">
        <f>VLOOKUP($A271,Table1[],5,TRUE)</f>
        <v>Female</v>
      </c>
      <c r="D271" s="3" t="str">
        <f>VLOOKUP($A271,Table1[],7,TRUE)</f>
        <v>25</v>
      </c>
      <c r="E271" s="3" t="str">
        <f>VLOOKUP($A271,Table1[],8,TRUE)</f>
        <v>Japan</v>
      </c>
      <c r="F271" s="3" t="str">
        <f>VLOOKUP($A271,Table1[],9,TRUE)</f>
        <v>Japanese</v>
      </c>
      <c r="G271" s="3" t="str">
        <f>VLOOKUP($A271,Table1[],10,TRUE)</f>
        <v>Machine Learning</v>
      </c>
      <c r="H271" s="13" t="str">
        <f>VLOOKUP($A271,Table1[],12,TRUE)</f>
        <v>3</v>
      </c>
      <c r="I271" s="20">
        <v>50</v>
      </c>
      <c r="J271" s="15">
        <f>VLOOKUP($A271,Table1[],18,TRUE)</f>
        <v>2.8</v>
      </c>
      <c r="K271" s="12" t="str">
        <f>VLOOKUP($A271,Table1[],22,TRUE)</f>
        <v>TRUE</v>
      </c>
      <c r="L271" s="13">
        <f>VLOOKUP($A271,Table1[],25,TRUE)</f>
        <v>0.86</v>
      </c>
    </row>
    <row r="272" spans="1:12" x14ac:dyDescent="0.25">
      <c r="A272" t="s">
        <v>624</v>
      </c>
      <c r="B272" s="18" t="str">
        <f>VLOOKUP(A272,Table1[],3,TRUE)</f>
        <v>Melanie Harris</v>
      </c>
      <c r="C272" s="18" t="str">
        <f>VLOOKUP($A272,Table1[],5,TRUE)</f>
        <v>Female</v>
      </c>
      <c r="D272" s="3" t="str">
        <f>VLOOKUP($A272,Table1[],7,TRUE)</f>
        <v>47</v>
      </c>
      <c r="E272" s="3" t="str">
        <f>VLOOKUP($A272,Table1[],8,TRUE)</f>
        <v>South Africa</v>
      </c>
      <c r="F272" s="3" t="str">
        <f>VLOOKUP($A272,Table1[],9,TRUE)</f>
        <v>Afrikaans</v>
      </c>
      <c r="G272" s="3" t="str">
        <f>VLOOKUP($A272,Table1[],10,TRUE)</f>
        <v>Mobile Apps</v>
      </c>
      <c r="H272" s="13" t="str">
        <f>VLOOKUP($A272,Table1[],12,TRUE)</f>
        <v>14</v>
      </c>
      <c r="I272" s="20">
        <v>50</v>
      </c>
      <c r="J272" s="15">
        <f>VLOOKUP($A272,Table1[],18,TRUE)</f>
        <v>2.6</v>
      </c>
      <c r="K272" s="12" t="str">
        <f>VLOOKUP($A272,Table1[],22,TRUE)</f>
        <v>TRUE</v>
      </c>
      <c r="L272" s="13">
        <f>VLOOKUP($A272,Table1[],25,TRUE)</f>
        <v>0.69</v>
      </c>
    </row>
    <row r="273" spans="1:12" x14ac:dyDescent="0.25">
      <c r="A273" t="s">
        <v>626</v>
      </c>
      <c r="B273" s="18" t="str">
        <f>VLOOKUP(A273,Table1[],3,TRUE)</f>
        <v>Jacqueline Peterson</v>
      </c>
      <c r="C273" s="18" t="str">
        <f>VLOOKUP($A273,Table1[],5,TRUE)</f>
        <v>Female</v>
      </c>
      <c r="D273" s="3" t="str">
        <f>VLOOKUP($A273,Table1[],7,TRUE)</f>
        <v>35</v>
      </c>
      <c r="E273" s="3" t="str">
        <f>VLOOKUP($A273,Table1[],8,TRUE)</f>
        <v>South Africa</v>
      </c>
      <c r="F273" s="3" t="str">
        <f>VLOOKUP($A273,Table1[],9,TRUE)</f>
        <v>Afrikaans</v>
      </c>
      <c r="G273" s="3" t="str">
        <f>VLOOKUP($A273,Table1[],10,TRUE)</f>
        <v>UI/UX Design</v>
      </c>
      <c r="H273" s="13" t="str">
        <f>VLOOKUP($A273,Table1[],12,TRUE)</f>
        <v>10</v>
      </c>
      <c r="I273" s="20">
        <v>100</v>
      </c>
      <c r="J273" s="15">
        <f>VLOOKUP($A273,Table1[],18,TRUE)</f>
        <v>4.7</v>
      </c>
      <c r="K273" s="12" t="str">
        <f>VLOOKUP($A273,Table1[],22,TRUE)</f>
        <v>TRUE</v>
      </c>
      <c r="L273" s="13">
        <f>VLOOKUP($A273,Table1[],25,TRUE)</f>
        <v>0.84</v>
      </c>
    </row>
    <row r="274" spans="1:12" x14ac:dyDescent="0.25">
      <c r="A274" t="s">
        <v>628</v>
      </c>
      <c r="B274" s="18" t="str">
        <f>VLOOKUP(A274,Table1[],3,TRUE)</f>
        <v>Nancy Long</v>
      </c>
      <c r="C274" s="18" t="str">
        <f>VLOOKUP($A274,Table1[],5,TRUE)</f>
        <v>Female</v>
      </c>
      <c r="D274" s="3" t="str">
        <f>VLOOKUP($A274,Table1[],7,TRUE)</f>
        <v>Unknown</v>
      </c>
      <c r="E274" s="3" t="str">
        <f>VLOOKUP($A274,Table1[],8,TRUE)</f>
        <v>United Kingdom</v>
      </c>
      <c r="F274" s="3" t="str">
        <f>VLOOKUP($A274,Table1[],9,TRUE)</f>
        <v>English</v>
      </c>
      <c r="G274" s="3" t="str">
        <f>VLOOKUP($A274,Table1[],10,TRUE)</f>
        <v>Cybersecurity</v>
      </c>
      <c r="H274" s="13" t="str">
        <f>VLOOKUP($A274,Table1[],12,TRUE)</f>
        <v>5</v>
      </c>
      <c r="I274" s="20">
        <v>100</v>
      </c>
      <c r="J274" s="15">
        <f>VLOOKUP($A274,Table1[],18,TRUE)</f>
        <v>1.3</v>
      </c>
      <c r="K274" s="12" t="str">
        <f>VLOOKUP($A274,Table1[],22,TRUE)</f>
        <v>FALSE</v>
      </c>
      <c r="L274" s="13">
        <f>VLOOKUP($A274,Table1[],25,TRUE)</f>
        <v>0.6</v>
      </c>
    </row>
    <row r="275" spans="1:12" x14ac:dyDescent="0.25">
      <c r="A275" t="s">
        <v>630</v>
      </c>
      <c r="B275" s="18" t="str">
        <f>VLOOKUP(A275,Table1[],3,TRUE)</f>
        <v>Juan Mitchell</v>
      </c>
      <c r="C275" s="18" t="str">
        <f>VLOOKUP($A275,Table1[],5,TRUE)</f>
        <v>Male</v>
      </c>
      <c r="D275" s="3" t="str">
        <f>VLOOKUP($A275,Table1[],7,TRUE)</f>
        <v>35</v>
      </c>
      <c r="E275" s="3" t="str">
        <f>VLOOKUP($A275,Table1[],8,TRUE)</f>
        <v>Netherlands</v>
      </c>
      <c r="F275" s="3" t="str">
        <f>VLOOKUP($A275,Table1[],9,TRUE)</f>
        <v>Dutch</v>
      </c>
      <c r="G275" s="3" t="str">
        <f>VLOOKUP($A275,Table1[],10,TRUE)</f>
        <v>Blockchain Development</v>
      </c>
      <c r="H275" s="13" t="str">
        <f>VLOOKUP($A275,Table1[],12,TRUE)</f>
        <v>6</v>
      </c>
      <c r="I275" s="20">
        <v>75</v>
      </c>
      <c r="J275" s="15">
        <f>VLOOKUP($A275,Table1[],18,TRUE)</f>
        <v>1.6</v>
      </c>
      <c r="K275" s="12" t="str">
        <f>VLOOKUP($A275,Table1[],22,TRUE)</f>
        <v>TRUE</v>
      </c>
      <c r="L275" s="13">
        <f>VLOOKUP($A275,Table1[],25,TRUE)</f>
        <v>0.97</v>
      </c>
    </row>
    <row r="276" spans="1:12" x14ac:dyDescent="0.25">
      <c r="A276" t="s">
        <v>632</v>
      </c>
      <c r="B276" s="18" t="str">
        <f>VLOOKUP(A276,Table1[],3,TRUE)</f>
        <v>William Gaines</v>
      </c>
      <c r="C276" s="18" t="str">
        <f>VLOOKUP($A276,Table1[],5,TRUE)</f>
        <v>Male</v>
      </c>
      <c r="D276" s="3" t="str">
        <f>VLOOKUP($A276,Table1[],7,TRUE)</f>
        <v>59</v>
      </c>
      <c r="E276" s="3" t="str">
        <f>VLOOKUP($A276,Table1[],8,TRUE)</f>
        <v>France</v>
      </c>
      <c r="F276" s="3" t="str">
        <f>VLOOKUP($A276,Table1[],9,TRUE)</f>
        <v>French</v>
      </c>
      <c r="G276" s="3" t="str">
        <f>VLOOKUP($A276,Table1[],10,TRUE)</f>
        <v>Web Development</v>
      </c>
      <c r="H276" s="13" t="str">
        <f>VLOOKUP($A276,Table1[],12,TRUE)</f>
        <v>21</v>
      </c>
      <c r="I276" s="20">
        <v>100</v>
      </c>
      <c r="J276" s="15">
        <f>VLOOKUP($A276,Table1[],18,TRUE)</f>
        <v>0</v>
      </c>
      <c r="K276" s="12" t="str">
        <f>VLOOKUP($A276,Table1[],22,TRUE)</f>
        <v>TRUE</v>
      </c>
      <c r="L276" s="13">
        <f>VLOOKUP($A276,Table1[],25,TRUE)</f>
        <v>0.7</v>
      </c>
    </row>
    <row r="277" spans="1:12" x14ac:dyDescent="0.25">
      <c r="A277" t="s">
        <v>634</v>
      </c>
      <c r="B277" s="18" t="str">
        <f>VLOOKUP(A277,Table1[],3,TRUE)</f>
        <v>Haley Yates</v>
      </c>
      <c r="C277" s="18" t="str">
        <f>VLOOKUP($A277,Table1[],5,TRUE)</f>
        <v>Female</v>
      </c>
      <c r="D277" s="3" t="str">
        <f>VLOOKUP($A277,Table1[],7,TRUE)</f>
        <v>26</v>
      </c>
      <c r="E277" s="3" t="str">
        <f>VLOOKUP($A277,Table1[],8,TRUE)</f>
        <v>China</v>
      </c>
      <c r="F277" s="3" t="str">
        <f>VLOOKUP($A277,Table1[],9,TRUE)</f>
        <v>Mandarin</v>
      </c>
      <c r="G277" s="3" t="str">
        <f>VLOOKUP($A277,Table1[],10,TRUE)</f>
        <v>UI/UX Design</v>
      </c>
      <c r="H277" s="13" t="str">
        <f>VLOOKUP($A277,Table1[],12,TRUE)</f>
        <v>4</v>
      </c>
      <c r="I277" s="20">
        <v>100</v>
      </c>
      <c r="J277" s="15">
        <f>VLOOKUP($A277,Table1[],18,TRUE)</f>
        <v>3.6</v>
      </c>
      <c r="K277" s="12" t="str">
        <f>VLOOKUP($A277,Table1[],22,TRUE)</f>
        <v>FALSE</v>
      </c>
      <c r="L277" s="13">
        <f>VLOOKUP($A277,Table1[],25,TRUE)</f>
        <v>0.81</v>
      </c>
    </row>
    <row r="278" spans="1:12" x14ac:dyDescent="0.25">
      <c r="A278" t="s">
        <v>636</v>
      </c>
      <c r="B278" s="18" t="str">
        <f>VLOOKUP(A278,Table1[],3,TRUE)</f>
        <v>Richard Mcguire</v>
      </c>
      <c r="C278" s="18" t="str">
        <f>VLOOKUP($A278,Table1[],5,TRUE)</f>
        <v>Male</v>
      </c>
      <c r="D278" s="3" t="str">
        <f>VLOOKUP($A278,Table1[],7,TRUE)</f>
        <v>44</v>
      </c>
      <c r="E278" s="3" t="str">
        <f>VLOOKUP($A278,Table1[],8,TRUE)</f>
        <v>Russia</v>
      </c>
      <c r="F278" s="3" t="str">
        <f>VLOOKUP($A278,Table1[],9,TRUE)</f>
        <v>Russian</v>
      </c>
      <c r="G278" s="3" t="str">
        <f>VLOOKUP($A278,Table1[],10,TRUE)</f>
        <v>Machine Learning</v>
      </c>
      <c r="H278" s="13" t="str">
        <f>VLOOKUP($A278,Table1[],12,TRUE)</f>
        <v>18</v>
      </c>
      <c r="I278" s="20">
        <v>20</v>
      </c>
      <c r="J278" s="15">
        <f>VLOOKUP($A278,Table1[],18,TRUE)</f>
        <v>4.7</v>
      </c>
      <c r="K278" s="12" t="str">
        <f>VLOOKUP($A278,Table1[],22,TRUE)</f>
        <v>TRUE</v>
      </c>
      <c r="L278" s="13">
        <f>VLOOKUP($A278,Table1[],25,TRUE)</f>
        <v>0.88</v>
      </c>
    </row>
    <row r="279" spans="1:12" x14ac:dyDescent="0.25">
      <c r="A279" t="s">
        <v>638</v>
      </c>
      <c r="B279" s="18" t="str">
        <f>VLOOKUP(A279,Table1[],3,TRUE)</f>
        <v>Stephanie Fisher</v>
      </c>
      <c r="C279" s="18" t="str">
        <f>VLOOKUP($A279,Table1[],5,TRUE)</f>
        <v>Female</v>
      </c>
      <c r="D279" s="3" t="str">
        <f>VLOOKUP($A279,Table1[],7,TRUE)</f>
        <v>31</v>
      </c>
      <c r="E279" s="3" t="str">
        <f>VLOOKUP($A279,Table1[],8,TRUE)</f>
        <v>South Africa</v>
      </c>
      <c r="F279" s="3" t="str">
        <f>VLOOKUP($A279,Table1[],9,TRUE)</f>
        <v>Afrikaans</v>
      </c>
      <c r="G279" s="3" t="str">
        <f>VLOOKUP($A279,Table1[],10,TRUE)</f>
        <v>UI/UX Design</v>
      </c>
      <c r="H279" s="13" t="str">
        <f>VLOOKUP($A279,Table1[],12,TRUE)</f>
        <v>12</v>
      </c>
      <c r="I279" s="20">
        <v>40</v>
      </c>
      <c r="J279" s="15">
        <f>VLOOKUP($A279,Table1[],18,TRUE)</f>
        <v>2.6</v>
      </c>
      <c r="K279" s="12" t="str">
        <f>VLOOKUP($A279,Table1[],22,TRUE)</f>
        <v>TRUE</v>
      </c>
      <c r="L279" s="13">
        <f>VLOOKUP($A279,Table1[],25,TRUE)</f>
        <v>1</v>
      </c>
    </row>
    <row r="280" spans="1:12" x14ac:dyDescent="0.25">
      <c r="A280" t="s">
        <v>640</v>
      </c>
      <c r="B280" s="18" t="str">
        <f>VLOOKUP(A280,Table1[],3,TRUE)</f>
        <v>Anthony Goodwin Dds</v>
      </c>
      <c r="C280" s="18" t="str">
        <f>VLOOKUP($A280,Table1[],5,TRUE)</f>
        <v>Male</v>
      </c>
      <c r="D280" s="3" t="str">
        <f>VLOOKUP($A280,Table1[],7,TRUE)</f>
        <v>60</v>
      </c>
      <c r="E280" s="3" t="str">
        <f>VLOOKUP($A280,Table1[],8,TRUE)</f>
        <v>Turkey</v>
      </c>
      <c r="F280" s="3" t="str">
        <f>VLOOKUP($A280,Table1[],9,TRUE)</f>
        <v>Turkish</v>
      </c>
      <c r="G280" s="3" t="str">
        <f>VLOOKUP($A280,Table1[],10,TRUE)</f>
        <v>Data Analysis</v>
      </c>
      <c r="H280" s="13" t="str">
        <f>VLOOKUP($A280,Table1[],12,TRUE)</f>
        <v>6</v>
      </c>
      <c r="I280" s="20">
        <v>50</v>
      </c>
      <c r="J280" s="15">
        <f>VLOOKUP($A280,Table1[],18,TRUE)</f>
        <v>3.2</v>
      </c>
      <c r="K280" s="12" t="str">
        <f>VLOOKUP($A280,Table1[],22,TRUE)</f>
        <v>FALSE</v>
      </c>
      <c r="L280" s="13">
        <f>VLOOKUP($A280,Table1[],25,TRUE)</f>
        <v>0.95</v>
      </c>
    </row>
    <row r="281" spans="1:12" x14ac:dyDescent="0.25">
      <c r="A281" t="s">
        <v>642</v>
      </c>
      <c r="B281" s="18" t="str">
        <f>VLOOKUP(A281,Table1[],3,TRUE)</f>
        <v>Meagan Walters</v>
      </c>
      <c r="C281" s="18" t="str">
        <f>VLOOKUP($A281,Table1[],5,TRUE)</f>
        <v>Female</v>
      </c>
      <c r="D281" s="3" t="str">
        <f>VLOOKUP($A281,Table1[],7,TRUE)</f>
        <v>23</v>
      </c>
      <c r="E281" s="3" t="str">
        <f>VLOOKUP($A281,Table1[],8,TRUE)</f>
        <v>United Kingdom</v>
      </c>
      <c r="F281" s="3" t="str">
        <f>VLOOKUP($A281,Table1[],9,TRUE)</f>
        <v>English</v>
      </c>
      <c r="G281" s="3" t="str">
        <f>VLOOKUP($A281,Table1[],10,TRUE)</f>
        <v>Blockchain Development</v>
      </c>
      <c r="H281" s="13" t="str">
        <f>VLOOKUP($A281,Table1[],12,TRUE)</f>
        <v>4</v>
      </c>
      <c r="I281" s="20">
        <v>20</v>
      </c>
      <c r="J281" s="15">
        <f>VLOOKUP($A281,Table1[],18,TRUE)</f>
        <v>2.6</v>
      </c>
      <c r="K281" s="12" t="str">
        <f>VLOOKUP($A281,Table1[],22,TRUE)</f>
        <v>FALSE</v>
      </c>
      <c r="L281" s="13">
        <f>VLOOKUP($A281,Table1[],25,TRUE)</f>
        <v>0.71</v>
      </c>
    </row>
    <row r="282" spans="1:12" x14ac:dyDescent="0.25">
      <c r="A282" t="s">
        <v>644</v>
      </c>
      <c r="B282" s="18" t="str">
        <f>VLOOKUP(A282,Table1[],3,TRUE)</f>
        <v>David Powell</v>
      </c>
      <c r="C282" s="18" t="str">
        <f>VLOOKUP($A282,Table1[],5,TRUE)</f>
        <v>Male</v>
      </c>
      <c r="D282" s="3" t="str">
        <f>VLOOKUP($A282,Table1[],7,TRUE)</f>
        <v>42</v>
      </c>
      <c r="E282" s="3" t="str">
        <f>VLOOKUP($A282,Table1[],8,TRUE)</f>
        <v>Indonesia</v>
      </c>
      <c r="F282" s="3" t="str">
        <f>VLOOKUP($A282,Table1[],9,TRUE)</f>
        <v>Indonesian</v>
      </c>
      <c r="G282" s="3" t="str">
        <f>VLOOKUP($A282,Table1[],10,TRUE)</f>
        <v>UI/UX Design</v>
      </c>
      <c r="H282" s="13" t="str">
        <f>VLOOKUP($A282,Table1[],12,TRUE)</f>
        <v>13</v>
      </c>
      <c r="I282" s="20">
        <v>20</v>
      </c>
      <c r="J282" s="15">
        <f>VLOOKUP($A282,Table1[],18,TRUE)</f>
        <v>4.7</v>
      </c>
      <c r="K282" s="12" t="str">
        <f>VLOOKUP($A282,Table1[],22,TRUE)</f>
        <v>FALSE</v>
      </c>
      <c r="L282" s="13">
        <f>VLOOKUP($A282,Table1[],25,TRUE)</f>
        <v>0.85</v>
      </c>
    </row>
    <row r="283" spans="1:12" x14ac:dyDescent="0.25">
      <c r="A283" t="s">
        <v>646</v>
      </c>
      <c r="B283" s="18" t="str">
        <f>VLOOKUP(A283,Table1[],3,TRUE)</f>
        <v>Kelly Jones</v>
      </c>
      <c r="C283" s="18" t="str">
        <f>VLOOKUP($A283,Table1[],5,TRUE)</f>
        <v>Female</v>
      </c>
      <c r="D283" s="3" t="str">
        <f>VLOOKUP($A283,Table1[],7,TRUE)</f>
        <v>48</v>
      </c>
      <c r="E283" s="3" t="str">
        <f>VLOOKUP($A283,Table1[],8,TRUE)</f>
        <v>India</v>
      </c>
      <c r="F283" s="3" t="str">
        <f>VLOOKUP($A283,Table1[],9,TRUE)</f>
        <v>Hindi</v>
      </c>
      <c r="G283" s="3" t="str">
        <f>VLOOKUP($A283,Table1[],10,TRUE)</f>
        <v>Mobile Apps</v>
      </c>
      <c r="H283" s="13" t="str">
        <f>VLOOKUP($A283,Table1[],12,TRUE)</f>
        <v>6</v>
      </c>
      <c r="I283" s="20">
        <v>30</v>
      </c>
      <c r="J283" s="15">
        <f>VLOOKUP($A283,Table1[],18,TRUE)</f>
        <v>2.6</v>
      </c>
      <c r="K283" s="12" t="str">
        <f>VLOOKUP($A283,Table1[],22,TRUE)</f>
        <v>FALSE</v>
      </c>
      <c r="L283" s="13">
        <f>VLOOKUP($A283,Table1[],25,TRUE)</f>
        <v>0.96</v>
      </c>
    </row>
    <row r="284" spans="1:12" x14ac:dyDescent="0.25">
      <c r="A284" t="s">
        <v>648</v>
      </c>
      <c r="B284" s="18" t="str">
        <f>VLOOKUP(A284,Table1[],3,TRUE)</f>
        <v>Dr. Michael Aguilar</v>
      </c>
      <c r="C284" s="18" t="str">
        <f>VLOOKUP($A284,Table1[],5,TRUE)</f>
        <v>Male</v>
      </c>
      <c r="D284" s="3" t="str">
        <f>VLOOKUP($A284,Table1[],7,TRUE)</f>
        <v>42</v>
      </c>
      <c r="E284" s="3" t="str">
        <f>VLOOKUP($A284,Table1[],8,TRUE)</f>
        <v>Netherlands</v>
      </c>
      <c r="F284" s="3" t="str">
        <f>VLOOKUP($A284,Table1[],9,TRUE)</f>
        <v>Dutch</v>
      </c>
      <c r="G284" s="3" t="str">
        <f>VLOOKUP($A284,Table1[],10,TRUE)</f>
        <v>Graphic Design</v>
      </c>
      <c r="H284" s="13" t="str">
        <f>VLOOKUP($A284,Table1[],12,TRUE)</f>
        <v>10</v>
      </c>
      <c r="I284" s="20">
        <v>20</v>
      </c>
      <c r="J284" s="15">
        <f>VLOOKUP($A284,Table1[],18,TRUE)</f>
        <v>2.4</v>
      </c>
      <c r="K284" s="12" t="str">
        <f>VLOOKUP($A284,Table1[],22,TRUE)</f>
        <v>TRUE</v>
      </c>
      <c r="L284" s="13">
        <f>VLOOKUP($A284,Table1[],25,TRUE)</f>
        <v>0.92</v>
      </c>
    </row>
    <row r="285" spans="1:12" x14ac:dyDescent="0.25">
      <c r="A285" t="s">
        <v>650</v>
      </c>
      <c r="B285" s="18" t="str">
        <f>VLOOKUP(A285,Table1[],3,TRUE)</f>
        <v>Alex Novak</v>
      </c>
      <c r="C285" s="18" t="str">
        <f>VLOOKUP($A285,Table1[],5,TRUE)</f>
        <v>Male</v>
      </c>
      <c r="D285" s="3" t="str">
        <f>VLOOKUP($A285,Table1[],7,TRUE)</f>
        <v>52</v>
      </c>
      <c r="E285" s="3" t="str">
        <f>VLOOKUP($A285,Table1[],8,TRUE)</f>
        <v>South Korea</v>
      </c>
      <c r="F285" s="3" t="str">
        <f>VLOOKUP($A285,Table1[],9,TRUE)</f>
        <v>Korean</v>
      </c>
      <c r="G285" s="3" t="str">
        <f>VLOOKUP($A285,Table1[],10,TRUE)</f>
        <v>Cybersecurity</v>
      </c>
      <c r="H285" s="13" t="str">
        <f>VLOOKUP($A285,Table1[],12,TRUE)</f>
        <v>20</v>
      </c>
      <c r="I285" s="20">
        <v>50</v>
      </c>
      <c r="J285" s="15">
        <f>VLOOKUP($A285,Table1[],18,TRUE)</f>
        <v>2.6</v>
      </c>
      <c r="K285" s="12" t="str">
        <f>VLOOKUP($A285,Table1[],22,TRUE)</f>
        <v>TRUE</v>
      </c>
      <c r="L285" s="13">
        <f>VLOOKUP($A285,Table1[],25,TRUE)</f>
        <v>0.79</v>
      </c>
    </row>
    <row r="286" spans="1:12" x14ac:dyDescent="0.25">
      <c r="A286" t="s">
        <v>652</v>
      </c>
      <c r="B286" s="18" t="str">
        <f>VLOOKUP(A286,Table1[],3,TRUE)</f>
        <v>Ann Contreras</v>
      </c>
      <c r="C286" s="18" t="str">
        <f>VLOOKUP($A286,Table1[],5,TRUE)</f>
        <v>Female</v>
      </c>
      <c r="D286" s="3" t="str">
        <f>VLOOKUP($A286,Table1[],7,TRUE)</f>
        <v>55</v>
      </c>
      <c r="E286" s="3" t="str">
        <f>VLOOKUP($A286,Table1[],8,TRUE)</f>
        <v>Japan</v>
      </c>
      <c r="F286" s="3" t="str">
        <f>VLOOKUP($A286,Table1[],9,TRUE)</f>
        <v>Japanese</v>
      </c>
      <c r="G286" s="3" t="str">
        <f>VLOOKUP($A286,Table1[],10,TRUE)</f>
        <v>Web Development</v>
      </c>
      <c r="H286" s="13" t="str">
        <f>VLOOKUP($A286,Table1[],12,TRUE)</f>
        <v>20</v>
      </c>
      <c r="I286" s="20">
        <v>75</v>
      </c>
      <c r="J286" s="15">
        <f>VLOOKUP($A286,Table1[],18,TRUE)</f>
        <v>2.9</v>
      </c>
      <c r="K286" s="12" t="str">
        <f>VLOOKUP($A286,Table1[],22,TRUE)</f>
        <v>TRUE</v>
      </c>
      <c r="L286" s="13">
        <f>VLOOKUP($A286,Table1[],25,TRUE)</f>
        <v>0.75</v>
      </c>
    </row>
    <row r="287" spans="1:12" x14ac:dyDescent="0.25">
      <c r="A287" t="s">
        <v>654</v>
      </c>
      <c r="B287" s="18" t="str">
        <f>VLOOKUP(A287,Table1[],3,TRUE)</f>
        <v>Mary Reed</v>
      </c>
      <c r="C287" s="18" t="str">
        <f>VLOOKUP($A287,Table1[],5,TRUE)</f>
        <v>Female</v>
      </c>
      <c r="D287" s="3" t="str">
        <f>VLOOKUP($A287,Table1[],7,TRUE)</f>
        <v>58</v>
      </c>
      <c r="E287" s="3" t="str">
        <f>VLOOKUP($A287,Table1[],8,TRUE)</f>
        <v>South Africa</v>
      </c>
      <c r="F287" s="3" t="str">
        <f>VLOOKUP($A287,Table1[],9,TRUE)</f>
        <v>Afrikaans</v>
      </c>
      <c r="G287" s="3" t="str">
        <f>VLOOKUP($A287,Table1[],10,TRUE)</f>
        <v>Cybersecurity</v>
      </c>
      <c r="H287" s="13" t="str">
        <f>VLOOKUP($A287,Table1[],12,TRUE)</f>
        <v>11</v>
      </c>
      <c r="I287" s="20">
        <v>50</v>
      </c>
      <c r="J287" s="15">
        <f>VLOOKUP($A287,Table1[],18,TRUE)</f>
        <v>0</v>
      </c>
      <c r="K287" s="12" t="str">
        <f>VLOOKUP($A287,Table1[],22,TRUE)</f>
        <v>FALSE</v>
      </c>
      <c r="L287" s="13">
        <f>VLOOKUP($A287,Table1[],25,TRUE)</f>
        <v>0.75</v>
      </c>
    </row>
    <row r="288" spans="1:12" x14ac:dyDescent="0.25">
      <c r="A288" t="s">
        <v>656</v>
      </c>
      <c r="B288" s="18" t="str">
        <f>VLOOKUP(A288,Table1[],3,TRUE)</f>
        <v>Lauren Ross</v>
      </c>
      <c r="C288" s="18" t="str">
        <f>VLOOKUP($A288,Table1[],5,TRUE)</f>
        <v>Female</v>
      </c>
      <c r="D288" s="3" t="str">
        <f>VLOOKUP($A288,Table1[],7,TRUE)</f>
        <v>46</v>
      </c>
      <c r="E288" s="3" t="str">
        <f>VLOOKUP($A288,Table1[],8,TRUE)</f>
        <v>South Korea</v>
      </c>
      <c r="F288" s="3" t="str">
        <f>VLOOKUP($A288,Table1[],9,TRUE)</f>
        <v>Korean</v>
      </c>
      <c r="G288" s="3" t="str">
        <f>VLOOKUP($A288,Table1[],10,TRUE)</f>
        <v>Machine Learning</v>
      </c>
      <c r="H288" s="13" t="str">
        <f>VLOOKUP($A288,Table1[],12,TRUE)</f>
        <v>12</v>
      </c>
      <c r="I288" s="20">
        <v>20</v>
      </c>
      <c r="J288" s="15">
        <f>VLOOKUP($A288,Table1[],18,TRUE)</f>
        <v>0</v>
      </c>
      <c r="K288" s="12" t="str">
        <f>VLOOKUP($A288,Table1[],22,TRUE)</f>
        <v>TRUE</v>
      </c>
      <c r="L288" s="13">
        <f>VLOOKUP($A288,Table1[],25,TRUE)</f>
        <v>0.89</v>
      </c>
    </row>
    <row r="289" spans="1:12" x14ac:dyDescent="0.25">
      <c r="A289" t="s">
        <v>658</v>
      </c>
      <c r="B289" s="18" t="str">
        <f>VLOOKUP(A289,Table1[],3,TRUE)</f>
        <v>Candice Wise</v>
      </c>
      <c r="C289" s="18" t="str">
        <f>VLOOKUP($A289,Table1[],5,TRUE)</f>
        <v>Female</v>
      </c>
      <c r="D289" s="3" t="str">
        <f>VLOOKUP($A289,Table1[],7,TRUE)</f>
        <v>45</v>
      </c>
      <c r="E289" s="3" t="str">
        <f>VLOOKUP($A289,Table1[],8,TRUE)</f>
        <v>Spain</v>
      </c>
      <c r="F289" s="3" t="str">
        <f>VLOOKUP($A289,Table1[],9,TRUE)</f>
        <v>Spanish</v>
      </c>
      <c r="G289" s="3" t="str">
        <f>VLOOKUP($A289,Table1[],10,TRUE)</f>
        <v>Machine Learning</v>
      </c>
      <c r="H289" s="13" t="str">
        <f>VLOOKUP($A289,Table1[],12,TRUE)</f>
        <v>1</v>
      </c>
      <c r="I289" s="20">
        <v>100</v>
      </c>
      <c r="J289" s="15">
        <f>VLOOKUP($A289,Table1[],18,TRUE)</f>
        <v>1.5</v>
      </c>
      <c r="K289" s="12" t="str">
        <f>VLOOKUP($A289,Table1[],22,TRUE)</f>
        <v>TRUE</v>
      </c>
      <c r="L289" s="13">
        <f>VLOOKUP($A289,Table1[],25,TRUE)</f>
        <v>1</v>
      </c>
    </row>
    <row r="290" spans="1:12" x14ac:dyDescent="0.25">
      <c r="A290" t="s">
        <v>660</v>
      </c>
      <c r="B290" s="18" t="str">
        <f>VLOOKUP(A290,Table1[],3,TRUE)</f>
        <v>Joyce Humphrey</v>
      </c>
      <c r="C290" s="18" t="str">
        <f>VLOOKUP($A290,Table1[],5,TRUE)</f>
        <v>Female</v>
      </c>
      <c r="D290" s="3" t="str">
        <f>VLOOKUP($A290,Table1[],7,TRUE)</f>
        <v>56</v>
      </c>
      <c r="E290" s="3" t="str">
        <f>VLOOKUP($A290,Table1[],8,TRUE)</f>
        <v>India</v>
      </c>
      <c r="F290" s="3" t="str">
        <f>VLOOKUP($A290,Table1[],9,TRUE)</f>
        <v>Hindi</v>
      </c>
      <c r="G290" s="3" t="str">
        <f>VLOOKUP($A290,Table1[],10,TRUE)</f>
        <v>Machine Learning</v>
      </c>
      <c r="H290" s="13" t="str">
        <f>VLOOKUP($A290,Table1[],12,TRUE)</f>
        <v>2</v>
      </c>
      <c r="I290" s="20">
        <v>30</v>
      </c>
      <c r="J290" s="15">
        <f>VLOOKUP($A290,Table1[],18,TRUE)</f>
        <v>1.9</v>
      </c>
      <c r="K290" s="12" t="str">
        <f>VLOOKUP($A290,Table1[],22,TRUE)</f>
        <v>TRUE</v>
      </c>
      <c r="L290" s="13">
        <f>VLOOKUP($A290,Table1[],25,TRUE)</f>
        <v>0.81</v>
      </c>
    </row>
    <row r="291" spans="1:12" x14ac:dyDescent="0.25">
      <c r="A291" t="s">
        <v>662</v>
      </c>
      <c r="B291" s="18" t="str">
        <f>VLOOKUP(A291,Table1[],3,TRUE)</f>
        <v>James Carr</v>
      </c>
      <c r="C291" s="18" t="str">
        <f>VLOOKUP($A291,Table1[],5,TRUE)</f>
        <v>Male</v>
      </c>
      <c r="D291" s="3" t="str">
        <f>VLOOKUP($A291,Table1[],7,TRUE)</f>
        <v>44</v>
      </c>
      <c r="E291" s="3" t="str">
        <f>VLOOKUP($A291,Table1[],8,TRUE)</f>
        <v>United Kingdom</v>
      </c>
      <c r="F291" s="3" t="str">
        <f>VLOOKUP($A291,Table1[],9,TRUE)</f>
        <v>English</v>
      </c>
      <c r="G291" s="3" t="str">
        <f>VLOOKUP($A291,Table1[],10,TRUE)</f>
        <v>Blockchain Development</v>
      </c>
      <c r="H291" s="13" t="str">
        <f>VLOOKUP($A291,Table1[],12,TRUE)</f>
        <v>13</v>
      </c>
      <c r="I291" s="20">
        <v>100</v>
      </c>
      <c r="J291" s="15">
        <f>VLOOKUP($A291,Table1[],18,TRUE)</f>
        <v>3.1</v>
      </c>
      <c r="K291" s="12" t="str">
        <f>VLOOKUP($A291,Table1[],22,TRUE)</f>
        <v>TRUE</v>
      </c>
      <c r="L291" s="13">
        <f>VLOOKUP($A291,Table1[],25,TRUE)</f>
        <v>0.95</v>
      </c>
    </row>
    <row r="292" spans="1:12" x14ac:dyDescent="0.25">
      <c r="A292" t="s">
        <v>664</v>
      </c>
      <c r="B292" s="18" t="str">
        <f>VLOOKUP(A292,Table1[],3,TRUE)</f>
        <v>Joseph Mendoza</v>
      </c>
      <c r="C292" s="18" t="str">
        <f>VLOOKUP($A292,Table1[],5,TRUE)</f>
        <v>Male</v>
      </c>
      <c r="D292" s="3" t="str">
        <f>VLOOKUP($A292,Table1[],7,TRUE)</f>
        <v>46</v>
      </c>
      <c r="E292" s="3" t="str">
        <f>VLOOKUP($A292,Table1[],8,TRUE)</f>
        <v>Indonesia</v>
      </c>
      <c r="F292" s="3" t="str">
        <f>VLOOKUP($A292,Table1[],9,TRUE)</f>
        <v>Indonesian</v>
      </c>
      <c r="G292" s="3" t="str">
        <f>VLOOKUP($A292,Table1[],10,TRUE)</f>
        <v>UI/UX Design</v>
      </c>
      <c r="H292" s="13" t="str">
        <f>VLOOKUP($A292,Table1[],12,TRUE)</f>
        <v>0</v>
      </c>
      <c r="I292" s="20">
        <v>50</v>
      </c>
      <c r="J292" s="15">
        <f>VLOOKUP($A292,Table1[],18,TRUE)</f>
        <v>1.8</v>
      </c>
      <c r="K292" s="12" t="str">
        <f>VLOOKUP($A292,Table1[],22,TRUE)</f>
        <v>FALSE</v>
      </c>
      <c r="L292" s="13">
        <f>VLOOKUP($A292,Table1[],25,TRUE)</f>
        <v>0.88</v>
      </c>
    </row>
    <row r="293" spans="1:12" x14ac:dyDescent="0.25">
      <c r="A293" t="s">
        <v>666</v>
      </c>
      <c r="B293" s="18" t="str">
        <f>VLOOKUP(A293,Table1[],3,TRUE)</f>
        <v>Cathy Baldwin</v>
      </c>
      <c r="C293" s="18" t="str">
        <f>VLOOKUP($A293,Table1[],5,TRUE)</f>
        <v>Female</v>
      </c>
      <c r="D293" s="3" t="str">
        <f>VLOOKUP($A293,Table1[],7,TRUE)</f>
        <v>27</v>
      </c>
      <c r="E293" s="3" t="str">
        <f>VLOOKUP($A293,Table1[],8,TRUE)</f>
        <v>Japan</v>
      </c>
      <c r="F293" s="3" t="str">
        <f>VLOOKUP($A293,Table1[],9,TRUE)</f>
        <v>Japanese</v>
      </c>
      <c r="G293" s="3" t="str">
        <f>VLOOKUP($A293,Table1[],10,TRUE)</f>
        <v>Web Development</v>
      </c>
      <c r="H293" s="13" t="str">
        <f>VLOOKUP($A293,Table1[],12,TRUE)</f>
        <v>7</v>
      </c>
      <c r="I293" s="20">
        <v>30</v>
      </c>
      <c r="J293" s="15">
        <f>VLOOKUP($A293,Table1[],18,TRUE)</f>
        <v>2.4</v>
      </c>
      <c r="K293" s="12" t="str">
        <f>VLOOKUP($A293,Table1[],22,TRUE)</f>
        <v>TRUE</v>
      </c>
      <c r="L293" s="13">
        <f>VLOOKUP($A293,Table1[],25,TRUE)</f>
        <v>0.66</v>
      </c>
    </row>
    <row r="294" spans="1:12" x14ac:dyDescent="0.25">
      <c r="A294" t="s">
        <v>668</v>
      </c>
      <c r="B294" s="18" t="str">
        <f>VLOOKUP(A294,Table1[],3,TRUE)</f>
        <v>Christine Hart</v>
      </c>
      <c r="C294" s="18" t="str">
        <f>VLOOKUP($A294,Table1[],5,TRUE)</f>
        <v>Female</v>
      </c>
      <c r="D294" s="3" t="str">
        <f>VLOOKUP($A294,Table1[],7,TRUE)</f>
        <v>49</v>
      </c>
      <c r="E294" s="3" t="str">
        <f>VLOOKUP($A294,Table1[],8,TRUE)</f>
        <v>India</v>
      </c>
      <c r="F294" s="3" t="str">
        <f>VLOOKUP($A294,Table1[],9,TRUE)</f>
        <v>Hindi</v>
      </c>
      <c r="G294" s="3" t="str">
        <f>VLOOKUP($A294,Table1[],10,TRUE)</f>
        <v>Blockchain Development</v>
      </c>
      <c r="H294" s="13" t="str">
        <f>VLOOKUP($A294,Table1[],12,TRUE)</f>
        <v>13</v>
      </c>
      <c r="I294" s="20">
        <v>100</v>
      </c>
      <c r="J294" s="15">
        <f>VLOOKUP($A294,Table1[],18,TRUE)</f>
        <v>4.2</v>
      </c>
      <c r="K294" s="12" t="str">
        <f>VLOOKUP($A294,Table1[],22,TRUE)</f>
        <v>TRUE</v>
      </c>
      <c r="L294" s="13">
        <f>VLOOKUP($A294,Table1[],25,TRUE)</f>
        <v>0.84</v>
      </c>
    </row>
    <row r="295" spans="1:12" x14ac:dyDescent="0.25">
      <c r="A295" t="s">
        <v>670</v>
      </c>
      <c r="B295" s="18" t="str">
        <f>VLOOKUP(A295,Table1[],3,TRUE)</f>
        <v>Mike Stanley</v>
      </c>
      <c r="C295" s="18" t="str">
        <f>VLOOKUP($A295,Table1[],5,TRUE)</f>
        <v>Male</v>
      </c>
      <c r="D295" s="3" t="str">
        <f>VLOOKUP($A295,Table1[],7,TRUE)</f>
        <v>53</v>
      </c>
      <c r="E295" s="3" t="str">
        <f>VLOOKUP($A295,Table1[],8,TRUE)</f>
        <v>Mexico</v>
      </c>
      <c r="F295" s="3" t="str">
        <f>VLOOKUP($A295,Table1[],9,TRUE)</f>
        <v>Spanish</v>
      </c>
      <c r="G295" s="3" t="str">
        <f>VLOOKUP($A295,Table1[],10,TRUE)</f>
        <v>Web Development</v>
      </c>
      <c r="H295" s="13" t="str">
        <f>VLOOKUP($A295,Table1[],12,TRUE)</f>
        <v>21</v>
      </c>
      <c r="I295" s="20">
        <v>50</v>
      </c>
      <c r="J295" s="15">
        <f>VLOOKUP($A295,Table1[],18,TRUE)</f>
        <v>1.4</v>
      </c>
      <c r="K295" s="12" t="str">
        <f>VLOOKUP($A295,Table1[],22,TRUE)</f>
        <v>FALSE</v>
      </c>
      <c r="L295" s="13">
        <f>VLOOKUP($A295,Table1[],25,TRUE)</f>
        <v>0.75</v>
      </c>
    </row>
    <row r="296" spans="1:12" x14ac:dyDescent="0.25">
      <c r="A296" t="s">
        <v>672</v>
      </c>
      <c r="B296" s="18" t="str">
        <f>VLOOKUP(A296,Table1[],3,TRUE)</f>
        <v>Jeffrey Edwards</v>
      </c>
      <c r="C296" s="18" t="str">
        <f>VLOOKUP($A296,Table1[],5,TRUE)</f>
        <v>Male</v>
      </c>
      <c r="D296" s="3" t="str">
        <f>VLOOKUP($A296,Table1[],7,TRUE)</f>
        <v>56</v>
      </c>
      <c r="E296" s="3" t="str">
        <f>VLOOKUP($A296,Table1[],8,TRUE)</f>
        <v>Australia</v>
      </c>
      <c r="F296" s="3" t="str">
        <f>VLOOKUP($A296,Table1[],9,TRUE)</f>
        <v>English</v>
      </c>
      <c r="G296" s="3" t="str">
        <f>VLOOKUP($A296,Table1[],10,TRUE)</f>
        <v>Web Development</v>
      </c>
      <c r="H296" s="13" t="str">
        <f>VLOOKUP($A296,Table1[],12,TRUE)</f>
        <v>19</v>
      </c>
      <c r="I296" s="20">
        <v>40</v>
      </c>
      <c r="J296" s="15">
        <f>VLOOKUP($A296,Table1[],18,TRUE)</f>
        <v>1.2</v>
      </c>
      <c r="K296" s="12" t="str">
        <f>VLOOKUP($A296,Table1[],22,TRUE)</f>
        <v>TRUE</v>
      </c>
      <c r="L296" s="13">
        <f>VLOOKUP($A296,Table1[],25,TRUE)</f>
        <v>0.82</v>
      </c>
    </row>
    <row r="297" spans="1:12" x14ac:dyDescent="0.25">
      <c r="A297" t="s">
        <v>674</v>
      </c>
      <c r="B297" s="18" t="str">
        <f>VLOOKUP(A297,Table1[],3,TRUE)</f>
        <v>Amy Lee</v>
      </c>
      <c r="C297" s="18" t="str">
        <f>VLOOKUP($A297,Table1[],5,TRUE)</f>
        <v>Female</v>
      </c>
      <c r="D297" s="3" t="str">
        <f>VLOOKUP($A297,Table1[],7,TRUE)</f>
        <v>56</v>
      </c>
      <c r="E297" s="3" t="str">
        <f>VLOOKUP($A297,Table1[],8,TRUE)</f>
        <v>United Kingdom</v>
      </c>
      <c r="F297" s="3" t="str">
        <f>VLOOKUP($A297,Table1[],9,TRUE)</f>
        <v>English</v>
      </c>
      <c r="G297" s="3" t="str">
        <f>VLOOKUP($A297,Table1[],10,TRUE)</f>
        <v>DevOps</v>
      </c>
      <c r="H297" s="13" t="str">
        <f>VLOOKUP($A297,Table1[],12,TRUE)</f>
        <v>34</v>
      </c>
      <c r="I297" s="20">
        <v>50</v>
      </c>
      <c r="J297" s="15">
        <f>VLOOKUP($A297,Table1[],18,TRUE)</f>
        <v>2.1</v>
      </c>
      <c r="K297" s="12" t="str">
        <f>VLOOKUP($A297,Table1[],22,TRUE)</f>
        <v>TRUE</v>
      </c>
      <c r="L297" s="13">
        <f>VLOOKUP($A297,Table1[],25,TRUE)</f>
        <v>0.84</v>
      </c>
    </row>
    <row r="298" spans="1:12" x14ac:dyDescent="0.25">
      <c r="A298" t="s">
        <v>676</v>
      </c>
      <c r="B298" s="18" t="str">
        <f>VLOOKUP(A298,Table1[],3,TRUE)</f>
        <v>Mark Thompson</v>
      </c>
      <c r="C298" s="18" t="str">
        <f>VLOOKUP($A298,Table1[],5,TRUE)</f>
        <v>Male</v>
      </c>
      <c r="D298" s="3" t="str">
        <f>VLOOKUP($A298,Table1[],7,TRUE)</f>
        <v>38</v>
      </c>
      <c r="E298" s="3" t="str">
        <f>VLOOKUP($A298,Table1[],8,TRUE)</f>
        <v>South Africa</v>
      </c>
      <c r="F298" s="3" t="str">
        <f>VLOOKUP($A298,Table1[],9,TRUE)</f>
        <v>Afrikaans</v>
      </c>
      <c r="G298" s="3" t="str">
        <f>VLOOKUP($A298,Table1[],10,TRUE)</f>
        <v>Data Analysis</v>
      </c>
      <c r="H298" s="13" t="str">
        <f>VLOOKUP($A298,Table1[],12,TRUE)</f>
        <v>3</v>
      </c>
      <c r="I298" s="20">
        <v>100</v>
      </c>
      <c r="J298" s="15">
        <f>VLOOKUP($A298,Table1[],18,TRUE)</f>
        <v>1.4</v>
      </c>
      <c r="K298" s="12" t="str">
        <f>VLOOKUP($A298,Table1[],22,TRUE)</f>
        <v>TRUE</v>
      </c>
      <c r="L298" s="13">
        <f>VLOOKUP($A298,Table1[],25,TRUE)</f>
        <v>0.73</v>
      </c>
    </row>
    <row r="299" spans="1:12" x14ac:dyDescent="0.25">
      <c r="A299" t="s">
        <v>678</v>
      </c>
      <c r="B299" s="18" t="str">
        <f>VLOOKUP(A299,Table1[],3,TRUE)</f>
        <v>Alex Wilson</v>
      </c>
      <c r="C299" s="18" t="str">
        <f>VLOOKUP($A299,Table1[],5,TRUE)</f>
        <v>Male</v>
      </c>
      <c r="D299" s="3" t="str">
        <f>VLOOKUP($A299,Table1[],7,TRUE)</f>
        <v>20</v>
      </c>
      <c r="E299" s="3" t="str">
        <f>VLOOKUP($A299,Table1[],8,TRUE)</f>
        <v>South Korea</v>
      </c>
      <c r="F299" s="3" t="str">
        <f>VLOOKUP($A299,Table1[],9,TRUE)</f>
        <v>Korean</v>
      </c>
      <c r="G299" s="3" t="str">
        <f>VLOOKUP($A299,Table1[],10,TRUE)</f>
        <v>Mobile Apps</v>
      </c>
      <c r="H299" s="13" t="str">
        <f>VLOOKUP($A299,Table1[],12,TRUE)</f>
        <v>0</v>
      </c>
      <c r="I299" s="20">
        <v>30</v>
      </c>
      <c r="J299" s="15">
        <f>VLOOKUP($A299,Table1[],18,TRUE)</f>
        <v>3.8</v>
      </c>
      <c r="K299" s="12" t="str">
        <f>VLOOKUP($A299,Table1[],22,TRUE)</f>
        <v>TRUE</v>
      </c>
      <c r="L299" s="13">
        <f>VLOOKUP($A299,Table1[],25,TRUE)</f>
        <v>0.93</v>
      </c>
    </row>
    <row r="300" spans="1:12" x14ac:dyDescent="0.25">
      <c r="A300" t="s">
        <v>680</v>
      </c>
      <c r="B300" s="18" t="str">
        <f>VLOOKUP(A300,Table1[],3,TRUE)</f>
        <v>Nancy Mendez</v>
      </c>
      <c r="C300" s="18" t="str">
        <f>VLOOKUP($A300,Table1[],5,TRUE)</f>
        <v>Female</v>
      </c>
      <c r="D300" s="3" t="str">
        <f>VLOOKUP($A300,Table1[],7,TRUE)</f>
        <v>38</v>
      </c>
      <c r="E300" s="3" t="str">
        <f>VLOOKUP($A300,Table1[],8,TRUE)</f>
        <v>Canada</v>
      </c>
      <c r="F300" s="3" t="str">
        <f>VLOOKUP($A300,Table1[],9,TRUE)</f>
        <v>English</v>
      </c>
      <c r="G300" s="3" t="str">
        <f>VLOOKUP($A300,Table1[],10,TRUE)</f>
        <v>Machine Learning</v>
      </c>
      <c r="H300" s="13" t="str">
        <f>VLOOKUP($A300,Table1[],12,TRUE)</f>
        <v>20</v>
      </c>
      <c r="I300" s="20">
        <v>50</v>
      </c>
      <c r="J300" s="15">
        <f>VLOOKUP($A300,Table1[],18,TRUE)</f>
        <v>0</v>
      </c>
      <c r="K300" s="12" t="str">
        <f>VLOOKUP($A300,Table1[],22,TRUE)</f>
        <v>TRUE</v>
      </c>
      <c r="L300" s="13">
        <f>VLOOKUP($A300,Table1[],25,TRUE)</f>
        <v>0.64</v>
      </c>
    </row>
    <row r="301" spans="1:12" x14ac:dyDescent="0.25">
      <c r="A301" t="s">
        <v>682</v>
      </c>
      <c r="B301" s="18" t="str">
        <f>VLOOKUP(A301,Table1[],3,TRUE)</f>
        <v>Beth Crane</v>
      </c>
      <c r="C301" s="18" t="str">
        <f>VLOOKUP($A301,Table1[],5,TRUE)</f>
        <v>Female</v>
      </c>
      <c r="D301" s="3" t="str">
        <f>VLOOKUP($A301,Table1[],7,TRUE)</f>
        <v>Unknown</v>
      </c>
      <c r="E301" s="3" t="str">
        <f>VLOOKUP($A301,Table1[],8,TRUE)</f>
        <v>Netherlands</v>
      </c>
      <c r="F301" s="3" t="str">
        <f>VLOOKUP($A301,Table1[],9,TRUE)</f>
        <v>Dutch</v>
      </c>
      <c r="G301" s="3" t="str">
        <f>VLOOKUP($A301,Table1[],10,TRUE)</f>
        <v>Mobile Apps</v>
      </c>
      <c r="H301" s="13" t="str">
        <f>VLOOKUP($A301,Table1[],12,TRUE)</f>
        <v>6</v>
      </c>
      <c r="I301" s="20">
        <v>40</v>
      </c>
      <c r="J301" s="15">
        <f>VLOOKUP($A301,Table1[],18,TRUE)</f>
        <v>3.5</v>
      </c>
      <c r="K301" s="12" t="str">
        <f>VLOOKUP($A301,Table1[],22,TRUE)</f>
        <v>FALSE</v>
      </c>
      <c r="L301" s="13">
        <f>VLOOKUP($A301,Table1[],25,TRUE)</f>
        <v>0.76</v>
      </c>
    </row>
    <row r="302" spans="1:12" x14ac:dyDescent="0.25">
      <c r="A302" t="s">
        <v>684</v>
      </c>
      <c r="B302" s="18" t="str">
        <f>VLOOKUP(A302,Table1[],3,TRUE)</f>
        <v>Miguel Rogers</v>
      </c>
      <c r="C302" s="18" t="str">
        <f>VLOOKUP($A302,Table1[],5,TRUE)</f>
        <v>Male</v>
      </c>
      <c r="D302" s="3" t="str">
        <f>VLOOKUP($A302,Table1[],7,TRUE)</f>
        <v>46</v>
      </c>
      <c r="E302" s="3" t="str">
        <f>VLOOKUP($A302,Table1[],8,TRUE)</f>
        <v>India</v>
      </c>
      <c r="F302" s="3" t="str">
        <f>VLOOKUP($A302,Table1[],9,TRUE)</f>
        <v>Hindi</v>
      </c>
      <c r="G302" s="3" t="str">
        <f>VLOOKUP($A302,Table1[],10,TRUE)</f>
        <v>Machine Learning</v>
      </c>
      <c r="H302" s="13" t="str">
        <f>VLOOKUP($A302,Table1[],12,TRUE)</f>
        <v>13</v>
      </c>
      <c r="I302" s="20">
        <v>100</v>
      </c>
      <c r="J302" s="15">
        <f>VLOOKUP($A302,Table1[],18,TRUE)</f>
        <v>0</v>
      </c>
      <c r="K302" s="12" t="str">
        <f>VLOOKUP($A302,Table1[],22,TRUE)</f>
        <v>TRUE</v>
      </c>
      <c r="L302" s="13">
        <f>VLOOKUP($A302,Table1[],25,TRUE)</f>
        <v>0.97</v>
      </c>
    </row>
    <row r="303" spans="1:12" x14ac:dyDescent="0.25">
      <c r="A303" t="s">
        <v>686</v>
      </c>
      <c r="B303" s="18" t="str">
        <f>VLOOKUP(A303,Table1[],3,TRUE)</f>
        <v>Thomas Robles</v>
      </c>
      <c r="C303" s="18" t="str">
        <f>VLOOKUP($A303,Table1[],5,TRUE)</f>
        <v>Male</v>
      </c>
      <c r="D303" s="3" t="str">
        <f>VLOOKUP($A303,Table1[],7,TRUE)</f>
        <v>36</v>
      </c>
      <c r="E303" s="3" t="str">
        <f>VLOOKUP($A303,Table1[],8,TRUE)</f>
        <v>South Africa</v>
      </c>
      <c r="F303" s="3" t="str">
        <f>VLOOKUP($A303,Table1[],9,TRUE)</f>
        <v>Afrikaans</v>
      </c>
      <c r="G303" s="3" t="str">
        <f>VLOOKUP($A303,Table1[],10,TRUE)</f>
        <v>Data Analysis</v>
      </c>
      <c r="H303" s="13" t="str">
        <f>VLOOKUP($A303,Table1[],12,TRUE)</f>
        <v>9</v>
      </c>
      <c r="I303" s="20">
        <v>75</v>
      </c>
      <c r="J303" s="15">
        <f>VLOOKUP($A303,Table1[],18,TRUE)</f>
        <v>2.2000000000000002</v>
      </c>
      <c r="K303" s="12" t="str">
        <f>VLOOKUP($A303,Table1[],22,TRUE)</f>
        <v>FALSE</v>
      </c>
      <c r="L303" s="13">
        <f>VLOOKUP($A303,Table1[],25,TRUE)</f>
        <v>0.95</v>
      </c>
    </row>
    <row r="304" spans="1:12" x14ac:dyDescent="0.25">
      <c r="A304" t="s">
        <v>688</v>
      </c>
      <c r="B304" s="18" t="str">
        <f>VLOOKUP(A304,Table1[],3,TRUE)</f>
        <v>Joel Brown Iii</v>
      </c>
      <c r="C304" s="18" t="str">
        <f>VLOOKUP($A304,Table1[],5,TRUE)</f>
        <v>Male</v>
      </c>
      <c r="D304" s="3" t="str">
        <f>VLOOKUP($A304,Table1[],7,TRUE)</f>
        <v>33</v>
      </c>
      <c r="E304" s="3" t="str">
        <f>VLOOKUP($A304,Table1[],8,TRUE)</f>
        <v>Russia</v>
      </c>
      <c r="F304" s="3" t="str">
        <f>VLOOKUP($A304,Table1[],9,TRUE)</f>
        <v>Russian</v>
      </c>
      <c r="G304" s="3" t="str">
        <f>VLOOKUP($A304,Table1[],10,TRUE)</f>
        <v>Web Development</v>
      </c>
      <c r="H304" s="13" t="str">
        <f>VLOOKUP($A304,Table1[],12,TRUE)</f>
        <v>2</v>
      </c>
      <c r="I304" s="20">
        <v>75</v>
      </c>
      <c r="J304" s="15">
        <f>VLOOKUP($A304,Table1[],18,TRUE)</f>
        <v>2.5</v>
      </c>
      <c r="K304" s="12" t="str">
        <f>VLOOKUP($A304,Table1[],22,TRUE)</f>
        <v>TRUE</v>
      </c>
      <c r="L304" s="13">
        <f>VLOOKUP($A304,Table1[],25,TRUE)</f>
        <v>0.65</v>
      </c>
    </row>
    <row r="305" spans="1:12" x14ac:dyDescent="0.25">
      <c r="A305" t="s">
        <v>690</v>
      </c>
      <c r="B305" s="18" t="str">
        <f>VLOOKUP(A305,Table1[],3,TRUE)</f>
        <v>Olivia Schultz</v>
      </c>
      <c r="C305" s="18" t="str">
        <f>VLOOKUP($A305,Table1[],5,TRUE)</f>
        <v>Female</v>
      </c>
      <c r="D305" s="3" t="str">
        <f>VLOOKUP($A305,Table1[],7,TRUE)</f>
        <v>37</v>
      </c>
      <c r="E305" s="3" t="str">
        <f>VLOOKUP($A305,Table1[],8,TRUE)</f>
        <v>Canada</v>
      </c>
      <c r="F305" s="3" t="str">
        <f>VLOOKUP($A305,Table1[],9,TRUE)</f>
        <v>English</v>
      </c>
      <c r="G305" s="3" t="str">
        <f>VLOOKUP($A305,Table1[],10,TRUE)</f>
        <v>Graphic Design</v>
      </c>
      <c r="H305" s="13" t="str">
        <f>VLOOKUP($A305,Table1[],12,TRUE)</f>
        <v>0</v>
      </c>
      <c r="I305" s="20">
        <v>50</v>
      </c>
      <c r="J305" s="15">
        <f>VLOOKUP($A305,Table1[],18,TRUE)</f>
        <v>4.7</v>
      </c>
      <c r="K305" s="12" t="str">
        <f>VLOOKUP($A305,Table1[],22,TRUE)</f>
        <v>FALSE</v>
      </c>
      <c r="L305" s="13">
        <f>VLOOKUP($A305,Table1[],25,TRUE)</f>
        <v>0.77</v>
      </c>
    </row>
    <row r="306" spans="1:12" x14ac:dyDescent="0.25">
      <c r="A306" t="s">
        <v>692</v>
      </c>
      <c r="B306" s="18" t="str">
        <f>VLOOKUP(A306,Table1[],3,TRUE)</f>
        <v>Clayton Pena</v>
      </c>
      <c r="C306" s="18" t="str">
        <f>VLOOKUP($A306,Table1[],5,TRUE)</f>
        <v>Male</v>
      </c>
      <c r="D306" s="3" t="str">
        <f>VLOOKUP($A306,Table1[],7,TRUE)</f>
        <v>20</v>
      </c>
      <c r="E306" s="3" t="str">
        <f>VLOOKUP($A306,Table1[],8,TRUE)</f>
        <v>Egypt</v>
      </c>
      <c r="F306" s="3" t="str">
        <f>VLOOKUP($A306,Table1[],9,TRUE)</f>
        <v>Arabic</v>
      </c>
      <c r="G306" s="3" t="str">
        <f>VLOOKUP($A306,Table1[],10,TRUE)</f>
        <v>Data Analysis</v>
      </c>
      <c r="H306" s="13" t="str">
        <f>VLOOKUP($A306,Table1[],12,TRUE)</f>
        <v>0</v>
      </c>
      <c r="I306" s="20">
        <v>20</v>
      </c>
      <c r="J306" s="15">
        <f>VLOOKUP($A306,Table1[],18,TRUE)</f>
        <v>3.9</v>
      </c>
      <c r="K306" s="12" t="str">
        <f>VLOOKUP($A306,Table1[],22,TRUE)</f>
        <v>TRUE</v>
      </c>
      <c r="L306" s="13">
        <f>VLOOKUP($A306,Table1[],25,TRUE)</f>
        <v>0.75</v>
      </c>
    </row>
    <row r="307" spans="1:12" x14ac:dyDescent="0.25">
      <c r="A307" t="s">
        <v>694</v>
      </c>
      <c r="B307" s="18" t="str">
        <f>VLOOKUP(A307,Table1[],3,TRUE)</f>
        <v>Ashley Salazar</v>
      </c>
      <c r="C307" s="18" t="str">
        <f>VLOOKUP($A307,Table1[],5,TRUE)</f>
        <v>Female</v>
      </c>
      <c r="D307" s="3" t="str">
        <f>VLOOKUP($A307,Table1[],7,TRUE)</f>
        <v>48</v>
      </c>
      <c r="E307" s="3" t="str">
        <f>VLOOKUP($A307,Table1[],8,TRUE)</f>
        <v>China</v>
      </c>
      <c r="F307" s="3" t="str">
        <f>VLOOKUP($A307,Table1[],9,TRUE)</f>
        <v>Mandarin</v>
      </c>
      <c r="G307" s="3" t="str">
        <f>VLOOKUP($A307,Table1[],10,TRUE)</f>
        <v>Data Analysis</v>
      </c>
      <c r="H307" s="13" t="str">
        <f>VLOOKUP($A307,Table1[],12,TRUE)</f>
        <v>2</v>
      </c>
      <c r="I307" s="20">
        <v>75</v>
      </c>
      <c r="J307" s="15">
        <f>VLOOKUP($A307,Table1[],18,TRUE)</f>
        <v>1.6</v>
      </c>
      <c r="K307" s="12" t="str">
        <f>VLOOKUP($A307,Table1[],22,TRUE)</f>
        <v>FALSE</v>
      </c>
      <c r="L307" s="13">
        <f>VLOOKUP($A307,Table1[],25,TRUE)</f>
        <v>0.67</v>
      </c>
    </row>
    <row r="308" spans="1:12" x14ac:dyDescent="0.25">
      <c r="A308" t="s">
        <v>696</v>
      </c>
      <c r="B308" s="18" t="str">
        <f>VLOOKUP(A308,Table1[],3,TRUE)</f>
        <v>Robert Lucas</v>
      </c>
      <c r="C308" s="18" t="str">
        <f>VLOOKUP($A308,Table1[],5,TRUE)</f>
        <v>Male</v>
      </c>
      <c r="D308" s="3" t="str">
        <f>VLOOKUP($A308,Table1[],7,TRUE)</f>
        <v>27</v>
      </c>
      <c r="E308" s="3" t="str">
        <f>VLOOKUP($A308,Table1[],8,TRUE)</f>
        <v>France</v>
      </c>
      <c r="F308" s="3" t="str">
        <f>VLOOKUP($A308,Table1[],9,TRUE)</f>
        <v>French</v>
      </c>
      <c r="G308" s="3" t="str">
        <f>VLOOKUP($A308,Table1[],10,TRUE)</f>
        <v>Cybersecurity</v>
      </c>
      <c r="H308" s="13" t="str">
        <f>VLOOKUP($A308,Table1[],12,TRUE)</f>
        <v>2</v>
      </c>
      <c r="I308" s="20">
        <v>50</v>
      </c>
      <c r="J308" s="15">
        <f>VLOOKUP($A308,Table1[],18,TRUE)</f>
        <v>2.6</v>
      </c>
      <c r="K308" s="12" t="str">
        <f>VLOOKUP($A308,Table1[],22,TRUE)</f>
        <v>FALSE</v>
      </c>
      <c r="L308" s="13">
        <f>VLOOKUP($A308,Table1[],25,TRUE)</f>
        <v>0.84</v>
      </c>
    </row>
    <row r="309" spans="1:12" x14ac:dyDescent="0.25">
      <c r="A309" t="s">
        <v>698</v>
      </c>
      <c r="B309" s="18" t="str">
        <f>VLOOKUP(A309,Table1[],3,TRUE)</f>
        <v>David Cox</v>
      </c>
      <c r="C309" s="18" t="str">
        <f>VLOOKUP($A309,Table1[],5,TRUE)</f>
        <v>Male</v>
      </c>
      <c r="D309" s="3" t="str">
        <f>VLOOKUP($A309,Table1[],7,TRUE)</f>
        <v>34</v>
      </c>
      <c r="E309" s="3" t="str">
        <f>VLOOKUP($A309,Table1[],8,TRUE)</f>
        <v>South Korea</v>
      </c>
      <c r="F309" s="3" t="str">
        <f>VLOOKUP($A309,Table1[],9,TRUE)</f>
        <v>Korean</v>
      </c>
      <c r="G309" s="3" t="str">
        <f>VLOOKUP($A309,Table1[],10,TRUE)</f>
        <v>Mobile Apps</v>
      </c>
      <c r="H309" s="13" t="str">
        <f>VLOOKUP($A309,Table1[],12,TRUE)</f>
        <v>1</v>
      </c>
      <c r="I309" s="20">
        <v>30</v>
      </c>
      <c r="J309" s="15">
        <f>VLOOKUP($A309,Table1[],18,TRUE)</f>
        <v>3.6</v>
      </c>
      <c r="K309" s="12" t="str">
        <f>VLOOKUP($A309,Table1[],22,TRUE)</f>
        <v>TRUE</v>
      </c>
      <c r="L309" s="13">
        <f>VLOOKUP($A309,Table1[],25,TRUE)</f>
        <v>0.87</v>
      </c>
    </row>
    <row r="310" spans="1:12" x14ac:dyDescent="0.25">
      <c r="A310" t="s">
        <v>700</v>
      </c>
      <c r="B310" s="18" t="str">
        <f>VLOOKUP(A310,Table1[],3,TRUE)</f>
        <v>Christian Campbell</v>
      </c>
      <c r="C310" s="18" t="str">
        <f>VLOOKUP($A310,Table1[],5,TRUE)</f>
        <v>Male</v>
      </c>
      <c r="D310" s="3" t="str">
        <f>VLOOKUP($A310,Table1[],7,TRUE)</f>
        <v>55</v>
      </c>
      <c r="E310" s="3" t="str">
        <f>VLOOKUP($A310,Table1[],8,TRUE)</f>
        <v>Brazil</v>
      </c>
      <c r="F310" s="3" t="str">
        <f>VLOOKUP($A310,Table1[],9,TRUE)</f>
        <v>Portuguese</v>
      </c>
      <c r="G310" s="3" t="str">
        <f>VLOOKUP($A310,Table1[],10,TRUE)</f>
        <v>Machine Learning</v>
      </c>
      <c r="H310" s="13" t="str">
        <f>VLOOKUP($A310,Table1[],12,TRUE)</f>
        <v>14</v>
      </c>
      <c r="I310" s="20">
        <v>30</v>
      </c>
      <c r="J310" s="15">
        <f>VLOOKUP($A310,Table1[],18,TRUE)</f>
        <v>1.2</v>
      </c>
      <c r="K310" s="12" t="str">
        <f>VLOOKUP($A310,Table1[],22,TRUE)</f>
        <v>TRUE</v>
      </c>
      <c r="L310" s="13">
        <f>VLOOKUP($A310,Table1[],25,TRUE)</f>
        <v>0.91</v>
      </c>
    </row>
    <row r="311" spans="1:12" x14ac:dyDescent="0.25">
      <c r="A311" t="s">
        <v>702</v>
      </c>
      <c r="B311" s="18" t="str">
        <f>VLOOKUP(A311,Table1[],3,TRUE)</f>
        <v>Angela Ward</v>
      </c>
      <c r="C311" s="18" t="str">
        <f>VLOOKUP($A311,Table1[],5,TRUE)</f>
        <v>Female</v>
      </c>
      <c r="D311" s="3" t="str">
        <f>VLOOKUP($A311,Table1[],7,TRUE)</f>
        <v>44</v>
      </c>
      <c r="E311" s="3" t="str">
        <f>VLOOKUP($A311,Table1[],8,TRUE)</f>
        <v>South Africa</v>
      </c>
      <c r="F311" s="3" t="str">
        <f>VLOOKUP($A311,Table1[],9,TRUE)</f>
        <v>Afrikaans</v>
      </c>
      <c r="G311" s="3" t="str">
        <f>VLOOKUP($A311,Table1[],10,TRUE)</f>
        <v>Machine Learning</v>
      </c>
      <c r="H311" s="13" t="str">
        <f>VLOOKUP($A311,Table1[],12,TRUE)</f>
        <v>14</v>
      </c>
      <c r="I311" s="20">
        <v>75</v>
      </c>
      <c r="J311" s="15">
        <f>VLOOKUP($A311,Table1[],18,TRUE)</f>
        <v>3</v>
      </c>
      <c r="K311" s="12" t="str">
        <f>VLOOKUP($A311,Table1[],22,TRUE)</f>
        <v>FALSE</v>
      </c>
      <c r="L311" s="13">
        <f>VLOOKUP($A311,Table1[],25,TRUE)</f>
        <v>0.78</v>
      </c>
    </row>
    <row r="312" spans="1:12" x14ac:dyDescent="0.25">
      <c r="A312" t="s">
        <v>704</v>
      </c>
      <c r="B312" s="18" t="str">
        <f>VLOOKUP(A312,Table1[],3,TRUE)</f>
        <v>Lucas Chen</v>
      </c>
      <c r="C312" s="18" t="str">
        <f>VLOOKUP($A312,Table1[],5,TRUE)</f>
        <v>Male</v>
      </c>
      <c r="D312" s="3" t="str">
        <f>VLOOKUP($A312,Table1[],7,TRUE)</f>
        <v>31</v>
      </c>
      <c r="E312" s="3" t="str">
        <f>VLOOKUP($A312,Table1[],8,TRUE)</f>
        <v>Netherlands</v>
      </c>
      <c r="F312" s="3" t="str">
        <f>VLOOKUP($A312,Table1[],9,TRUE)</f>
        <v>Dutch</v>
      </c>
      <c r="G312" s="3" t="str">
        <f>VLOOKUP($A312,Table1[],10,TRUE)</f>
        <v>UI/UX Design</v>
      </c>
      <c r="H312" s="13" t="str">
        <f>VLOOKUP($A312,Table1[],12,TRUE)</f>
        <v>2</v>
      </c>
      <c r="I312" s="20">
        <v>50</v>
      </c>
      <c r="J312" s="15">
        <f>VLOOKUP($A312,Table1[],18,TRUE)</f>
        <v>3.9</v>
      </c>
      <c r="K312" s="12" t="str">
        <f>VLOOKUP($A312,Table1[],22,TRUE)</f>
        <v>FALSE</v>
      </c>
      <c r="L312" s="13">
        <f>VLOOKUP($A312,Table1[],25,TRUE)</f>
        <v>0.75</v>
      </c>
    </row>
    <row r="313" spans="1:12" x14ac:dyDescent="0.25">
      <c r="A313" t="s">
        <v>706</v>
      </c>
      <c r="B313" s="18" t="str">
        <f>VLOOKUP(A313,Table1[],3,TRUE)</f>
        <v>Ruben Nelson</v>
      </c>
      <c r="C313" s="18" t="str">
        <f>VLOOKUP($A313,Table1[],5,TRUE)</f>
        <v>Male</v>
      </c>
      <c r="D313" s="3" t="str">
        <f>VLOOKUP($A313,Table1[],7,TRUE)</f>
        <v>34</v>
      </c>
      <c r="E313" s="3" t="str">
        <f>VLOOKUP($A313,Table1[],8,TRUE)</f>
        <v>Australia</v>
      </c>
      <c r="F313" s="3" t="str">
        <f>VLOOKUP($A313,Table1[],9,TRUE)</f>
        <v>English</v>
      </c>
      <c r="G313" s="3" t="str">
        <f>VLOOKUP($A313,Table1[],10,TRUE)</f>
        <v>DevOps</v>
      </c>
      <c r="H313" s="13" t="str">
        <f>VLOOKUP($A313,Table1[],12,TRUE)</f>
        <v>1</v>
      </c>
      <c r="I313" s="20">
        <v>40</v>
      </c>
      <c r="J313" s="15">
        <f>VLOOKUP($A313,Table1[],18,TRUE)</f>
        <v>1.7</v>
      </c>
      <c r="K313" s="12" t="str">
        <f>VLOOKUP($A313,Table1[],22,TRUE)</f>
        <v>TRUE</v>
      </c>
      <c r="L313" s="13">
        <f>VLOOKUP($A313,Table1[],25,TRUE)</f>
        <v>0.74</v>
      </c>
    </row>
    <row r="314" spans="1:12" x14ac:dyDescent="0.25">
      <c r="A314" t="s">
        <v>708</v>
      </c>
      <c r="B314" s="18" t="str">
        <f>VLOOKUP(A314,Table1[],3,TRUE)</f>
        <v>Brenda Briggs</v>
      </c>
      <c r="C314" s="18" t="str">
        <f>VLOOKUP($A314,Table1[],5,TRUE)</f>
        <v>Female</v>
      </c>
      <c r="D314" s="3" t="str">
        <f>VLOOKUP($A314,Table1[],7,TRUE)</f>
        <v>47</v>
      </c>
      <c r="E314" s="3" t="str">
        <f>VLOOKUP($A314,Table1[],8,TRUE)</f>
        <v>Brazil</v>
      </c>
      <c r="F314" s="3" t="str">
        <f>VLOOKUP($A314,Table1[],9,TRUE)</f>
        <v>Portuguese</v>
      </c>
      <c r="G314" s="3" t="str">
        <f>VLOOKUP($A314,Table1[],10,TRUE)</f>
        <v>DevOps</v>
      </c>
      <c r="H314" s="13" t="str">
        <f>VLOOKUP($A314,Table1[],12,TRUE)</f>
        <v>13</v>
      </c>
      <c r="I314" s="20">
        <v>20</v>
      </c>
      <c r="J314" s="15">
        <f>VLOOKUP($A314,Table1[],18,TRUE)</f>
        <v>4.5</v>
      </c>
      <c r="K314" s="12" t="str">
        <f>VLOOKUP($A314,Table1[],22,TRUE)</f>
        <v>TRUE</v>
      </c>
      <c r="L314" s="13">
        <f>VLOOKUP($A314,Table1[],25,TRUE)</f>
        <v>0.91</v>
      </c>
    </row>
    <row r="315" spans="1:12" x14ac:dyDescent="0.25">
      <c r="A315" t="s">
        <v>710</v>
      </c>
      <c r="B315" s="18" t="str">
        <f>VLOOKUP(A315,Table1[],3,TRUE)</f>
        <v>Ronald Smith</v>
      </c>
      <c r="C315" s="18" t="str">
        <f>VLOOKUP($A315,Table1[],5,TRUE)</f>
        <v>Male</v>
      </c>
      <c r="D315" s="3" t="str">
        <f>VLOOKUP($A315,Table1[],7,TRUE)</f>
        <v>50</v>
      </c>
      <c r="E315" s="3" t="str">
        <f>VLOOKUP($A315,Table1[],8,TRUE)</f>
        <v>United States</v>
      </c>
      <c r="F315" s="3" t="str">
        <f>VLOOKUP($A315,Table1[],9,TRUE)</f>
        <v>English</v>
      </c>
      <c r="G315" s="3" t="str">
        <f>VLOOKUP($A315,Table1[],10,TRUE)</f>
        <v>Graphic Design</v>
      </c>
      <c r="H315" s="13" t="str">
        <f>VLOOKUP($A315,Table1[],12,TRUE)</f>
        <v>23</v>
      </c>
      <c r="I315" s="20">
        <v>40</v>
      </c>
      <c r="J315" s="15">
        <f>VLOOKUP($A315,Table1[],18,TRUE)</f>
        <v>3.6</v>
      </c>
      <c r="K315" s="12" t="str">
        <f>VLOOKUP($A315,Table1[],22,TRUE)</f>
        <v>TRUE</v>
      </c>
      <c r="L315" s="13">
        <f>VLOOKUP($A315,Table1[],25,TRUE)</f>
        <v>0.71</v>
      </c>
    </row>
    <row r="316" spans="1:12" x14ac:dyDescent="0.25">
      <c r="A316" t="s">
        <v>712</v>
      </c>
      <c r="B316" s="18" t="str">
        <f>VLOOKUP(A316,Table1[],3,TRUE)</f>
        <v>Dakota Giles</v>
      </c>
      <c r="C316" s="18" t="str">
        <f>VLOOKUP($A316,Table1[],5,TRUE)</f>
        <v>Male</v>
      </c>
      <c r="D316" s="3" t="str">
        <f>VLOOKUP($A316,Table1[],7,TRUE)</f>
        <v>39</v>
      </c>
      <c r="E316" s="3" t="str">
        <f>VLOOKUP($A316,Table1[],8,TRUE)</f>
        <v>Germany</v>
      </c>
      <c r="F316" s="3" t="str">
        <f>VLOOKUP($A316,Table1[],9,TRUE)</f>
        <v>German</v>
      </c>
      <c r="G316" s="3" t="str">
        <f>VLOOKUP($A316,Table1[],10,TRUE)</f>
        <v>Cybersecurity</v>
      </c>
      <c r="H316" s="13" t="str">
        <f>VLOOKUP($A316,Table1[],12,TRUE)</f>
        <v>Unknown</v>
      </c>
      <c r="I316" s="20">
        <v>75</v>
      </c>
      <c r="J316" s="15">
        <f>VLOOKUP($A316,Table1[],18,TRUE)</f>
        <v>3.6</v>
      </c>
      <c r="K316" s="12" t="str">
        <f>VLOOKUP($A316,Table1[],22,TRUE)</f>
        <v>TRUE</v>
      </c>
      <c r="L316" s="13">
        <f>VLOOKUP($A316,Table1[],25,TRUE)</f>
        <v>0.87</v>
      </c>
    </row>
    <row r="317" spans="1:12" x14ac:dyDescent="0.25">
      <c r="A317" t="s">
        <v>714</v>
      </c>
      <c r="B317" s="18" t="str">
        <f>VLOOKUP(A317,Table1[],3,TRUE)</f>
        <v>Angela Castillo</v>
      </c>
      <c r="C317" s="18" t="str">
        <f>VLOOKUP($A317,Table1[],5,TRUE)</f>
        <v>Female</v>
      </c>
      <c r="D317" s="3" t="str">
        <f>VLOOKUP($A317,Table1[],7,TRUE)</f>
        <v>26</v>
      </c>
      <c r="E317" s="3" t="str">
        <f>VLOOKUP($A317,Table1[],8,TRUE)</f>
        <v>Argentina</v>
      </c>
      <c r="F317" s="3" t="str">
        <f>VLOOKUP($A317,Table1[],9,TRUE)</f>
        <v>Spanish</v>
      </c>
      <c r="G317" s="3" t="str">
        <f>VLOOKUP($A317,Table1[],10,TRUE)</f>
        <v>Blockchain Development</v>
      </c>
      <c r="H317" s="13" t="str">
        <f>VLOOKUP($A317,Table1[],12,TRUE)</f>
        <v>3</v>
      </c>
      <c r="I317" s="20">
        <v>100</v>
      </c>
      <c r="J317" s="15">
        <f>VLOOKUP($A317,Table1[],18,TRUE)</f>
        <v>2.8</v>
      </c>
      <c r="K317" s="12" t="str">
        <f>VLOOKUP($A317,Table1[],22,TRUE)</f>
        <v>TRUE</v>
      </c>
      <c r="L317" s="13">
        <f>VLOOKUP($A317,Table1[],25,TRUE)</f>
        <v>0.61</v>
      </c>
    </row>
    <row r="318" spans="1:12" x14ac:dyDescent="0.25">
      <c r="A318" t="s">
        <v>716</v>
      </c>
      <c r="B318" s="18" t="str">
        <f>VLOOKUP(A318,Table1[],3,TRUE)</f>
        <v>Allen Lee</v>
      </c>
      <c r="C318" s="18" t="str">
        <f>VLOOKUP($A318,Table1[],5,TRUE)</f>
        <v>Male</v>
      </c>
      <c r="D318" s="3" t="str">
        <f>VLOOKUP($A318,Table1[],7,TRUE)</f>
        <v>Unknown</v>
      </c>
      <c r="E318" s="3" t="str">
        <f>VLOOKUP($A318,Table1[],8,TRUE)</f>
        <v>Netherlands</v>
      </c>
      <c r="F318" s="3" t="str">
        <f>VLOOKUP($A318,Table1[],9,TRUE)</f>
        <v>Dutch</v>
      </c>
      <c r="G318" s="3" t="str">
        <f>VLOOKUP($A318,Table1[],10,TRUE)</f>
        <v>DevOps</v>
      </c>
      <c r="H318" s="13" t="str">
        <f>VLOOKUP($A318,Table1[],12,TRUE)</f>
        <v>0</v>
      </c>
      <c r="I318" s="20">
        <v>100</v>
      </c>
      <c r="J318" s="15">
        <f>VLOOKUP($A318,Table1[],18,TRUE)</f>
        <v>5</v>
      </c>
      <c r="K318" s="12" t="str">
        <f>VLOOKUP($A318,Table1[],22,TRUE)</f>
        <v>FALSE</v>
      </c>
      <c r="L318" s="13">
        <f>VLOOKUP($A318,Table1[],25,TRUE)</f>
        <v>0.75</v>
      </c>
    </row>
    <row r="319" spans="1:12" x14ac:dyDescent="0.25">
      <c r="A319" t="s">
        <v>718</v>
      </c>
      <c r="B319" s="18" t="str">
        <f>VLOOKUP(A319,Table1[],3,TRUE)</f>
        <v>Michael Rogers</v>
      </c>
      <c r="C319" s="18" t="str">
        <f>VLOOKUP($A319,Table1[],5,TRUE)</f>
        <v>Male</v>
      </c>
      <c r="D319" s="3" t="str">
        <f>VLOOKUP($A319,Table1[],7,TRUE)</f>
        <v>32</v>
      </c>
      <c r="E319" s="3" t="str">
        <f>VLOOKUP($A319,Table1[],8,TRUE)</f>
        <v>Germany</v>
      </c>
      <c r="F319" s="3" t="str">
        <f>VLOOKUP($A319,Table1[],9,TRUE)</f>
        <v>German</v>
      </c>
      <c r="G319" s="3" t="str">
        <f>VLOOKUP($A319,Table1[],10,TRUE)</f>
        <v>Graphic Design</v>
      </c>
      <c r="H319" s="13" t="str">
        <f>VLOOKUP($A319,Table1[],12,TRUE)</f>
        <v>0</v>
      </c>
      <c r="I319" s="20">
        <v>100</v>
      </c>
      <c r="J319" s="15">
        <f>VLOOKUP($A319,Table1[],18,TRUE)</f>
        <v>1.4</v>
      </c>
      <c r="K319" s="12" t="str">
        <f>VLOOKUP($A319,Table1[],22,TRUE)</f>
        <v>TRUE</v>
      </c>
      <c r="L319" s="13">
        <f>VLOOKUP($A319,Table1[],25,TRUE)</f>
        <v>0.81</v>
      </c>
    </row>
    <row r="320" spans="1:12" x14ac:dyDescent="0.25">
      <c r="A320" t="s">
        <v>720</v>
      </c>
      <c r="B320" s="18" t="str">
        <f>VLOOKUP(A320,Table1[],3,TRUE)</f>
        <v>Danielle Costa</v>
      </c>
      <c r="C320" s="18" t="str">
        <f>VLOOKUP($A320,Table1[],5,TRUE)</f>
        <v>Female</v>
      </c>
      <c r="D320" s="3" t="str">
        <f>VLOOKUP($A320,Table1[],7,TRUE)</f>
        <v>55</v>
      </c>
      <c r="E320" s="3" t="str">
        <f>VLOOKUP($A320,Table1[],8,TRUE)</f>
        <v>Russia</v>
      </c>
      <c r="F320" s="3" t="str">
        <f>VLOOKUP($A320,Table1[],9,TRUE)</f>
        <v>Russian</v>
      </c>
      <c r="G320" s="3" t="str">
        <f>VLOOKUP($A320,Table1[],10,TRUE)</f>
        <v>Data Analysis</v>
      </c>
      <c r="H320" s="13" t="str">
        <f>VLOOKUP($A320,Table1[],12,TRUE)</f>
        <v>17</v>
      </c>
      <c r="I320" s="20">
        <v>30</v>
      </c>
      <c r="J320" s="15">
        <f>VLOOKUP($A320,Table1[],18,TRUE)</f>
        <v>2.6</v>
      </c>
      <c r="K320" s="12" t="str">
        <f>VLOOKUP($A320,Table1[],22,TRUE)</f>
        <v>TRUE</v>
      </c>
      <c r="L320" s="13">
        <f>VLOOKUP($A320,Table1[],25,TRUE)</f>
        <v>0.75</v>
      </c>
    </row>
    <row r="321" spans="1:12" x14ac:dyDescent="0.25">
      <c r="A321" t="s">
        <v>722</v>
      </c>
      <c r="B321" s="18" t="str">
        <f>VLOOKUP(A321,Table1[],3,TRUE)</f>
        <v>William Nunez</v>
      </c>
      <c r="C321" s="18" t="str">
        <f>VLOOKUP($A321,Table1[],5,TRUE)</f>
        <v>Male</v>
      </c>
      <c r="D321" s="3" t="str">
        <f>VLOOKUP($A321,Table1[],7,TRUE)</f>
        <v>32</v>
      </c>
      <c r="E321" s="3" t="str">
        <f>VLOOKUP($A321,Table1[],8,TRUE)</f>
        <v>Argentina</v>
      </c>
      <c r="F321" s="3" t="str">
        <f>VLOOKUP($A321,Table1[],9,TRUE)</f>
        <v>Spanish</v>
      </c>
      <c r="G321" s="3" t="str">
        <f>VLOOKUP($A321,Table1[],10,TRUE)</f>
        <v>Machine Learning</v>
      </c>
      <c r="H321" s="13" t="str">
        <f>VLOOKUP($A321,Table1[],12,TRUE)</f>
        <v>9</v>
      </c>
      <c r="I321" s="20">
        <v>40</v>
      </c>
      <c r="J321" s="15">
        <f>VLOOKUP($A321,Table1[],18,TRUE)</f>
        <v>4.5999999999999996</v>
      </c>
      <c r="K321" s="12" t="str">
        <f>VLOOKUP($A321,Table1[],22,TRUE)</f>
        <v>TRUE</v>
      </c>
      <c r="L321" s="13">
        <f>VLOOKUP($A321,Table1[],25,TRUE)</f>
        <v>0.84</v>
      </c>
    </row>
    <row r="322" spans="1:12" x14ac:dyDescent="0.25">
      <c r="A322" t="s">
        <v>724</v>
      </c>
      <c r="B322" s="18" t="str">
        <f>VLOOKUP(A322,Table1[],3,TRUE)</f>
        <v>Christopher Riggs</v>
      </c>
      <c r="C322" s="18" t="str">
        <f>VLOOKUP($A322,Table1[],5,TRUE)</f>
        <v>Male</v>
      </c>
      <c r="D322" s="3" t="str">
        <f>VLOOKUP($A322,Table1[],7,TRUE)</f>
        <v>30</v>
      </c>
      <c r="E322" s="3" t="str">
        <f>VLOOKUP($A322,Table1[],8,TRUE)</f>
        <v>South Korea</v>
      </c>
      <c r="F322" s="3" t="str">
        <f>VLOOKUP($A322,Table1[],9,TRUE)</f>
        <v>Korean</v>
      </c>
      <c r="G322" s="3" t="str">
        <f>VLOOKUP($A322,Table1[],10,TRUE)</f>
        <v>Blockchain Development</v>
      </c>
      <c r="H322" s="13" t="str">
        <f>VLOOKUP($A322,Table1[],12,TRUE)</f>
        <v>4</v>
      </c>
      <c r="I322" s="20">
        <v>20</v>
      </c>
      <c r="J322" s="15">
        <f>VLOOKUP($A322,Table1[],18,TRUE)</f>
        <v>3.3</v>
      </c>
      <c r="K322" s="12" t="str">
        <f>VLOOKUP($A322,Table1[],22,TRUE)</f>
        <v>FALSE</v>
      </c>
      <c r="L322" s="13">
        <f>VLOOKUP($A322,Table1[],25,TRUE)</f>
        <v>0.75</v>
      </c>
    </row>
    <row r="323" spans="1:12" x14ac:dyDescent="0.25">
      <c r="A323" t="s">
        <v>726</v>
      </c>
      <c r="B323" s="18" t="str">
        <f>VLOOKUP(A323,Table1[],3,TRUE)</f>
        <v>Kathryn Myers</v>
      </c>
      <c r="C323" s="18" t="str">
        <f>VLOOKUP($A323,Table1[],5,TRUE)</f>
        <v>Female</v>
      </c>
      <c r="D323" s="3" t="str">
        <f>VLOOKUP($A323,Table1[],7,TRUE)</f>
        <v>37</v>
      </c>
      <c r="E323" s="3" t="str">
        <f>VLOOKUP($A323,Table1[],8,TRUE)</f>
        <v>Canada</v>
      </c>
      <c r="F323" s="3" t="str">
        <f>VLOOKUP($A323,Table1[],9,TRUE)</f>
        <v>English</v>
      </c>
      <c r="G323" s="3" t="str">
        <f>VLOOKUP($A323,Table1[],10,TRUE)</f>
        <v>Cybersecurity</v>
      </c>
      <c r="H323" s="13" t="str">
        <f>VLOOKUP($A323,Table1[],12,TRUE)</f>
        <v>0</v>
      </c>
      <c r="I323" s="20">
        <v>40</v>
      </c>
      <c r="J323" s="15">
        <f>VLOOKUP($A323,Table1[],18,TRUE)</f>
        <v>3.7</v>
      </c>
      <c r="K323" s="12" t="str">
        <f>VLOOKUP($A323,Table1[],22,TRUE)</f>
        <v>TRUE</v>
      </c>
      <c r="L323" s="13">
        <f>VLOOKUP($A323,Table1[],25,TRUE)</f>
        <v>0.75</v>
      </c>
    </row>
    <row r="324" spans="1:12" x14ac:dyDescent="0.25">
      <c r="A324" t="s">
        <v>728</v>
      </c>
      <c r="B324" s="18" t="str">
        <f>VLOOKUP(A324,Table1[],3,TRUE)</f>
        <v>Robert Walls</v>
      </c>
      <c r="C324" s="18" t="str">
        <f>VLOOKUP($A324,Table1[],5,TRUE)</f>
        <v>Male</v>
      </c>
      <c r="D324" s="3" t="str">
        <f>VLOOKUP($A324,Table1[],7,TRUE)</f>
        <v>52</v>
      </c>
      <c r="E324" s="3" t="str">
        <f>VLOOKUP($A324,Table1[],8,TRUE)</f>
        <v>Brazil</v>
      </c>
      <c r="F324" s="3" t="str">
        <f>VLOOKUP($A324,Table1[],9,TRUE)</f>
        <v>Portuguese</v>
      </c>
      <c r="G324" s="3" t="str">
        <f>VLOOKUP($A324,Table1[],10,TRUE)</f>
        <v>Graphic Design</v>
      </c>
      <c r="H324" s="13" t="str">
        <f>VLOOKUP($A324,Table1[],12,TRUE)</f>
        <v>33</v>
      </c>
      <c r="I324" s="20">
        <v>50</v>
      </c>
      <c r="J324" s="15">
        <f>VLOOKUP($A324,Table1[],18,TRUE)</f>
        <v>0</v>
      </c>
      <c r="K324" s="12" t="str">
        <f>VLOOKUP($A324,Table1[],22,TRUE)</f>
        <v>TRUE</v>
      </c>
      <c r="L324" s="13">
        <f>VLOOKUP($A324,Table1[],25,TRUE)</f>
        <v>0.6</v>
      </c>
    </row>
    <row r="325" spans="1:12" x14ac:dyDescent="0.25">
      <c r="A325" t="s">
        <v>730</v>
      </c>
      <c r="B325" s="18" t="str">
        <f>VLOOKUP(A325,Table1[],3,TRUE)</f>
        <v>Justin Johnson</v>
      </c>
      <c r="C325" s="18" t="str">
        <f>VLOOKUP($A325,Table1[],5,TRUE)</f>
        <v>Male</v>
      </c>
      <c r="D325" s="3" t="str">
        <f>VLOOKUP($A325,Table1[],7,TRUE)</f>
        <v>48</v>
      </c>
      <c r="E325" s="3" t="str">
        <f>VLOOKUP($A325,Table1[],8,TRUE)</f>
        <v>India</v>
      </c>
      <c r="F325" s="3" t="str">
        <f>VLOOKUP($A325,Table1[],9,TRUE)</f>
        <v>Hindi</v>
      </c>
      <c r="G325" s="3" t="str">
        <f>VLOOKUP($A325,Table1[],10,TRUE)</f>
        <v>Cybersecurity</v>
      </c>
      <c r="H325" s="13" t="str">
        <f>VLOOKUP($A325,Table1[],12,TRUE)</f>
        <v>18</v>
      </c>
      <c r="I325" s="20">
        <v>50</v>
      </c>
      <c r="J325" s="15">
        <f>VLOOKUP($A325,Table1[],18,TRUE)</f>
        <v>0</v>
      </c>
      <c r="K325" s="12" t="str">
        <f>VLOOKUP($A325,Table1[],22,TRUE)</f>
        <v>TRUE</v>
      </c>
      <c r="L325" s="13">
        <f>VLOOKUP($A325,Table1[],25,TRUE)</f>
        <v>0.64</v>
      </c>
    </row>
    <row r="326" spans="1:12" x14ac:dyDescent="0.25">
      <c r="A326" t="s">
        <v>732</v>
      </c>
      <c r="B326" s="18" t="str">
        <f>VLOOKUP(A326,Table1[],3,TRUE)</f>
        <v>Paula Stevens</v>
      </c>
      <c r="C326" s="18" t="str">
        <f>VLOOKUP($A326,Table1[],5,TRUE)</f>
        <v>Female</v>
      </c>
      <c r="D326" s="3" t="str">
        <f>VLOOKUP($A326,Table1[],7,TRUE)</f>
        <v>28</v>
      </c>
      <c r="E326" s="3" t="str">
        <f>VLOOKUP($A326,Table1[],8,TRUE)</f>
        <v>Japan</v>
      </c>
      <c r="F326" s="3" t="str">
        <f>VLOOKUP($A326,Table1[],9,TRUE)</f>
        <v>Japanese</v>
      </c>
      <c r="G326" s="3" t="str">
        <f>VLOOKUP($A326,Table1[],10,TRUE)</f>
        <v>Mobile Apps</v>
      </c>
      <c r="H326" s="13" t="str">
        <f>VLOOKUP($A326,Table1[],12,TRUE)</f>
        <v>9</v>
      </c>
      <c r="I326" s="20">
        <v>40</v>
      </c>
      <c r="J326" s="15">
        <f>VLOOKUP($A326,Table1[],18,TRUE)</f>
        <v>2.6</v>
      </c>
      <c r="K326" s="12" t="str">
        <f>VLOOKUP($A326,Table1[],22,TRUE)</f>
        <v>TRUE</v>
      </c>
      <c r="L326" s="13">
        <f>VLOOKUP($A326,Table1[],25,TRUE)</f>
        <v>0.64</v>
      </c>
    </row>
    <row r="327" spans="1:12" x14ac:dyDescent="0.25">
      <c r="A327" t="s">
        <v>734</v>
      </c>
      <c r="B327" s="18" t="str">
        <f>VLOOKUP(A327,Table1[],3,TRUE)</f>
        <v>Jennifer Allen</v>
      </c>
      <c r="C327" s="18" t="str">
        <f>VLOOKUP($A327,Table1[],5,TRUE)</f>
        <v>Female</v>
      </c>
      <c r="D327" s="3" t="str">
        <f>VLOOKUP($A327,Table1[],7,TRUE)</f>
        <v>58</v>
      </c>
      <c r="E327" s="3" t="str">
        <f>VLOOKUP($A327,Table1[],8,TRUE)</f>
        <v>Spain</v>
      </c>
      <c r="F327" s="3" t="str">
        <f>VLOOKUP($A327,Table1[],9,TRUE)</f>
        <v>Spanish</v>
      </c>
      <c r="G327" s="3" t="str">
        <f>VLOOKUP($A327,Table1[],10,TRUE)</f>
        <v>Data Analysis</v>
      </c>
      <c r="H327" s="13" t="str">
        <f>VLOOKUP($A327,Table1[],12,TRUE)</f>
        <v>40</v>
      </c>
      <c r="I327" s="20">
        <v>75</v>
      </c>
      <c r="J327" s="15">
        <f>VLOOKUP($A327,Table1[],18,TRUE)</f>
        <v>3.4</v>
      </c>
      <c r="K327" s="12" t="str">
        <f>VLOOKUP($A327,Table1[],22,TRUE)</f>
        <v>TRUE</v>
      </c>
      <c r="L327" s="13">
        <f>VLOOKUP($A327,Table1[],25,TRUE)</f>
        <v>1</v>
      </c>
    </row>
    <row r="328" spans="1:12" x14ac:dyDescent="0.25">
      <c r="A328" t="s">
        <v>736</v>
      </c>
      <c r="B328" s="18" t="str">
        <f>VLOOKUP(A328,Table1[],3,TRUE)</f>
        <v>Mark Hudson</v>
      </c>
      <c r="C328" s="18" t="str">
        <f>VLOOKUP($A328,Table1[],5,TRUE)</f>
        <v>Male</v>
      </c>
      <c r="D328" s="3" t="str">
        <f>VLOOKUP($A328,Table1[],7,TRUE)</f>
        <v>30</v>
      </c>
      <c r="E328" s="3" t="str">
        <f>VLOOKUP($A328,Table1[],8,TRUE)</f>
        <v>Argentina</v>
      </c>
      <c r="F328" s="3" t="str">
        <f>VLOOKUP($A328,Table1[],9,TRUE)</f>
        <v>Spanish</v>
      </c>
      <c r="G328" s="3" t="str">
        <f>VLOOKUP($A328,Table1[],10,TRUE)</f>
        <v>Web Development</v>
      </c>
      <c r="H328" s="13" t="str">
        <f>VLOOKUP($A328,Table1[],12,TRUE)</f>
        <v>1</v>
      </c>
      <c r="I328" s="20">
        <v>40</v>
      </c>
      <c r="J328" s="15">
        <f>VLOOKUP($A328,Table1[],18,TRUE)</f>
        <v>1.6</v>
      </c>
      <c r="K328" s="12" t="str">
        <f>VLOOKUP($A328,Table1[],22,TRUE)</f>
        <v>TRUE</v>
      </c>
      <c r="L328" s="13">
        <f>VLOOKUP($A328,Table1[],25,TRUE)</f>
        <v>1</v>
      </c>
    </row>
    <row r="329" spans="1:12" x14ac:dyDescent="0.25">
      <c r="A329" t="s">
        <v>738</v>
      </c>
      <c r="B329" s="18" t="str">
        <f>VLOOKUP(A329,Table1[],3,TRUE)</f>
        <v>Jessica Smith</v>
      </c>
      <c r="C329" s="18" t="str">
        <f>VLOOKUP($A329,Table1[],5,TRUE)</f>
        <v>Female</v>
      </c>
      <c r="D329" s="3" t="str">
        <f>VLOOKUP($A329,Table1[],7,TRUE)</f>
        <v>47</v>
      </c>
      <c r="E329" s="3" t="str">
        <f>VLOOKUP($A329,Table1[],8,TRUE)</f>
        <v>China</v>
      </c>
      <c r="F329" s="3" t="str">
        <f>VLOOKUP($A329,Table1[],9,TRUE)</f>
        <v>Mandarin</v>
      </c>
      <c r="G329" s="3" t="str">
        <f>VLOOKUP($A329,Table1[],10,TRUE)</f>
        <v>Mobile Apps</v>
      </c>
      <c r="H329" s="13" t="str">
        <f>VLOOKUP($A329,Table1[],12,TRUE)</f>
        <v>5</v>
      </c>
      <c r="I329" s="20">
        <v>20</v>
      </c>
      <c r="J329" s="15">
        <f>VLOOKUP($A329,Table1[],18,TRUE)</f>
        <v>1.9</v>
      </c>
      <c r="K329" s="12" t="str">
        <f>VLOOKUP($A329,Table1[],22,TRUE)</f>
        <v>FALSE</v>
      </c>
      <c r="L329" s="13">
        <f>VLOOKUP($A329,Table1[],25,TRUE)</f>
        <v>0.75</v>
      </c>
    </row>
    <row r="330" spans="1:12" x14ac:dyDescent="0.25">
      <c r="A330" t="s">
        <v>740</v>
      </c>
      <c r="B330" s="18" t="str">
        <f>VLOOKUP(A330,Table1[],3,TRUE)</f>
        <v>Mike Dean</v>
      </c>
      <c r="C330" s="18" t="str">
        <f>VLOOKUP($A330,Table1[],5,TRUE)</f>
        <v>Male</v>
      </c>
      <c r="D330" s="3" t="str">
        <f>VLOOKUP($A330,Table1[],7,TRUE)</f>
        <v>44</v>
      </c>
      <c r="E330" s="3" t="str">
        <f>VLOOKUP($A330,Table1[],8,TRUE)</f>
        <v>Argentina</v>
      </c>
      <c r="F330" s="3" t="str">
        <f>VLOOKUP($A330,Table1[],9,TRUE)</f>
        <v>Spanish</v>
      </c>
      <c r="G330" s="3" t="str">
        <f>VLOOKUP($A330,Table1[],10,TRUE)</f>
        <v>AI</v>
      </c>
      <c r="H330" s="13" t="str">
        <f>VLOOKUP($A330,Table1[],12,TRUE)</f>
        <v>4</v>
      </c>
      <c r="I330" s="20">
        <v>50</v>
      </c>
      <c r="J330" s="15">
        <f>VLOOKUP($A330,Table1[],18,TRUE)</f>
        <v>0</v>
      </c>
      <c r="K330" s="12" t="str">
        <f>VLOOKUP($A330,Table1[],22,TRUE)</f>
        <v>TRUE</v>
      </c>
      <c r="L330" s="13">
        <f>VLOOKUP($A330,Table1[],25,TRUE)</f>
        <v>0.83</v>
      </c>
    </row>
    <row r="331" spans="1:12" x14ac:dyDescent="0.25">
      <c r="A331" t="s">
        <v>742</v>
      </c>
      <c r="B331" s="18" t="str">
        <f>VLOOKUP(A331,Table1[],3,TRUE)</f>
        <v>Jose Wilson</v>
      </c>
      <c r="C331" s="18" t="str">
        <f>VLOOKUP($A331,Table1[],5,TRUE)</f>
        <v>Male</v>
      </c>
      <c r="D331" s="3" t="str">
        <f>VLOOKUP($A331,Table1[],7,TRUE)</f>
        <v>56</v>
      </c>
      <c r="E331" s="3" t="str">
        <f>VLOOKUP($A331,Table1[],8,TRUE)</f>
        <v>Italy</v>
      </c>
      <c r="F331" s="3" t="str">
        <f>VLOOKUP($A331,Table1[],9,TRUE)</f>
        <v>Italian</v>
      </c>
      <c r="G331" s="3" t="str">
        <f>VLOOKUP($A331,Table1[],10,TRUE)</f>
        <v>Machine Learning</v>
      </c>
      <c r="H331" s="13" t="str">
        <f>VLOOKUP($A331,Table1[],12,TRUE)</f>
        <v>13</v>
      </c>
      <c r="I331" s="20">
        <v>40</v>
      </c>
      <c r="J331" s="15">
        <f>VLOOKUP($A331,Table1[],18,TRUE)</f>
        <v>2.6</v>
      </c>
      <c r="K331" s="12" t="str">
        <f>VLOOKUP($A331,Table1[],22,TRUE)</f>
        <v>TRUE</v>
      </c>
      <c r="L331" s="13">
        <f>VLOOKUP($A331,Table1[],25,TRUE)</f>
        <v>0.87</v>
      </c>
    </row>
    <row r="332" spans="1:12" x14ac:dyDescent="0.25">
      <c r="A332" t="s">
        <v>744</v>
      </c>
      <c r="B332" s="18" t="str">
        <f>VLOOKUP(A332,Table1[],3,TRUE)</f>
        <v>Tammy Hill</v>
      </c>
      <c r="C332" s="18" t="str">
        <f>VLOOKUP($A332,Table1[],5,TRUE)</f>
        <v>Female</v>
      </c>
      <c r="D332" s="3" t="str">
        <f>VLOOKUP($A332,Table1[],7,TRUE)</f>
        <v>53</v>
      </c>
      <c r="E332" s="3" t="str">
        <f>VLOOKUP($A332,Table1[],8,TRUE)</f>
        <v>United States</v>
      </c>
      <c r="F332" s="3" t="str">
        <f>VLOOKUP($A332,Table1[],9,TRUE)</f>
        <v>English</v>
      </c>
      <c r="G332" s="3" t="str">
        <f>VLOOKUP($A332,Table1[],10,TRUE)</f>
        <v>Mobile Apps</v>
      </c>
      <c r="H332" s="13" t="str">
        <f>VLOOKUP($A332,Table1[],12,TRUE)</f>
        <v>33</v>
      </c>
      <c r="I332" s="20">
        <v>100</v>
      </c>
      <c r="J332" s="15">
        <f>VLOOKUP($A332,Table1[],18,TRUE)</f>
        <v>2.6</v>
      </c>
      <c r="K332" s="12" t="str">
        <f>VLOOKUP($A332,Table1[],22,TRUE)</f>
        <v>FALSE</v>
      </c>
      <c r="L332" s="13">
        <f>VLOOKUP($A332,Table1[],25,TRUE)</f>
        <v>0.75</v>
      </c>
    </row>
    <row r="333" spans="1:12" x14ac:dyDescent="0.25">
      <c r="A333" t="s">
        <v>746</v>
      </c>
      <c r="B333" s="18" t="str">
        <f>VLOOKUP(A333,Table1[],3,TRUE)</f>
        <v>Nathaniel Flores</v>
      </c>
      <c r="C333" s="18" t="str">
        <f>VLOOKUP($A333,Table1[],5,TRUE)</f>
        <v>Male</v>
      </c>
      <c r="D333" s="3" t="str">
        <f>VLOOKUP($A333,Table1[],7,TRUE)</f>
        <v>59</v>
      </c>
      <c r="E333" s="3" t="str">
        <f>VLOOKUP($A333,Table1[],8,TRUE)</f>
        <v>United Kingdom</v>
      </c>
      <c r="F333" s="3" t="str">
        <f>VLOOKUP($A333,Table1[],9,TRUE)</f>
        <v>English</v>
      </c>
      <c r="G333" s="3" t="str">
        <f>VLOOKUP($A333,Table1[],10,TRUE)</f>
        <v>Mobile Apps</v>
      </c>
      <c r="H333" s="13" t="str">
        <f>VLOOKUP($A333,Table1[],12,TRUE)</f>
        <v>22</v>
      </c>
      <c r="I333" s="20">
        <v>40</v>
      </c>
      <c r="J333" s="15">
        <f>VLOOKUP($A333,Table1[],18,TRUE)</f>
        <v>1.1000000000000001</v>
      </c>
      <c r="K333" s="12" t="str">
        <f>VLOOKUP($A333,Table1[],22,TRUE)</f>
        <v>TRUE</v>
      </c>
      <c r="L333" s="13">
        <f>VLOOKUP($A333,Table1[],25,TRUE)</f>
        <v>0.61</v>
      </c>
    </row>
    <row r="334" spans="1:12" x14ac:dyDescent="0.25">
      <c r="A334" t="s">
        <v>748</v>
      </c>
      <c r="B334" s="18" t="str">
        <f>VLOOKUP(A334,Table1[],3,TRUE)</f>
        <v>Edwin Carter</v>
      </c>
      <c r="C334" s="18" t="str">
        <f>VLOOKUP($A334,Table1[],5,TRUE)</f>
        <v>Male</v>
      </c>
      <c r="D334" s="3" t="str">
        <f>VLOOKUP($A334,Table1[],7,TRUE)</f>
        <v>60</v>
      </c>
      <c r="E334" s="3" t="str">
        <f>VLOOKUP($A334,Table1[],8,TRUE)</f>
        <v>United States</v>
      </c>
      <c r="F334" s="3" t="str">
        <f>VLOOKUP($A334,Table1[],9,TRUE)</f>
        <v>English</v>
      </c>
      <c r="G334" s="3" t="str">
        <f>VLOOKUP($A334,Table1[],10,TRUE)</f>
        <v>DevOps</v>
      </c>
      <c r="H334" s="13" t="str">
        <f>VLOOKUP($A334,Table1[],12,TRUE)</f>
        <v>34</v>
      </c>
      <c r="I334" s="20">
        <v>50</v>
      </c>
      <c r="J334" s="15">
        <f>VLOOKUP($A334,Table1[],18,TRUE)</f>
        <v>2.5</v>
      </c>
      <c r="K334" s="12" t="str">
        <f>VLOOKUP($A334,Table1[],22,TRUE)</f>
        <v>TRUE</v>
      </c>
      <c r="L334" s="13">
        <f>VLOOKUP($A334,Table1[],25,TRUE)</f>
        <v>0.93</v>
      </c>
    </row>
    <row r="335" spans="1:12" x14ac:dyDescent="0.25">
      <c r="A335" t="s">
        <v>750</v>
      </c>
      <c r="B335" s="18" t="str">
        <f>VLOOKUP(A335,Table1[],3,TRUE)</f>
        <v>Patricia Miller</v>
      </c>
      <c r="C335" s="18" t="str">
        <f>VLOOKUP($A335,Table1[],5,TRUE)</f>
        <v>Female</v>
      </c>
      <c r="D335" s="3" t="str">
        <f>VLOOKUP($A335,Table1[],7,TRUE)</f>
        <v>33</v>
      </c>
      <c r="E335" s="3" t="str">
        <f>VLOOKUP($A335,Table1[],8,TRUE)</f>
        <v>Germany</v>
      </c>
      <c r="F335" s="3" t="str">
        <f>VLOOKUP($A335,Table1[],9,TRUE)</f>
        <v>German</v>
      </c>
      <c r="G335" s="3" t="str">
        <f>VLOOKUP($A335,Table1[],10,TRUE)</f>
        <v>Mobile Apps</v>
      </c>
      <c r="H335" s="13" t="str">
        <f>VLOOKUP($A335,Table1[],12,TRUE)</f>
        <v>8</v>
      </c>
      <c r="I335" s="20">
        <v>30</v>
      </c>
      <c r="J335" s="15">
        <f>VLOOKUP($A335,Table1[],18,TRUE)</f>
        <v>3.6</v>
      </c>
      <c r="K335" s="12" t="str">
        <f>VLOOKUP($A335,Table1[],22,TRUE)</f>
        <v>TRUE</v>
      </c>
      <c r="L335" s="13">
        <f>VLOOKUP($A335,Table1[],25,TRUE)</f>
        <v>0.75</v>
      </c>
    </row>
    <row r="336" spans="1:12" x14ac:dyDescent="0.25">
      <c r="A336" t="s">
        <v>752</v>
      </c>
      <c r="B336" s="18" t="str">
        <f>VLOOKUP(A336,Table1[],3,TRUE)</f>
        <v>Rebecca Schneider</v>
      </c>
      <c r="C336" s="18" t="str">
        <f>VLOOKUP($A336,Table1[],5,TRUE)</f>
        <v>Female</v>
      </c>
      <c r="D336" s="3" t="str">
        <f>VLOOKUP($A336,Table1[],7,TRUE)</f>
        <v>21</v>
      </c>
      <c r="E336" s="3" t="str">
        <f>VLOOKUP($A336,Table1[],8,TRUE)</f>
        <v>Argentina</v>
      </c>
      <c r="F336" s="3" t="str">
        <f>VLOOKUP($A336,Table1[],9,TRUE)</f>
        <v>Spanish</v>
      </c>
      <c r="G336" s="3" t="str">
        <f>VLOOKUP($A336,Table1[],10,TRUE)</f>
        <v>Web Development</v>
      </c>
      <c r="H336" s="13" t="str">
        <f>VLOOKUP($A336,Table1[],12,TRUE)</f>
        <v>1</v>
      </c>
      <c r="I336" s="20">
        <v>20</v>
      </c>
      <c r="J336" s="15">
        <f>VLOOKUP($A336,Table1[],18,TRUE)</f>
        <v>2.6</v>
      </c>
      <c r="K336" s="12" t="str">
        <f>VLOOKUP($A336,Table1[],22,TRUE)</f>
        <v>TRUE</v>
      </c>
      <c r="L336" s="13">
        <f>VLOOKUP($A336,Table1[],25,TRUE)</f>
        <v>0.99</v>
      </c>
    </row>
    <row r="337" spans="1:12" x14ac:dyDescent="0.25">
      <c r="A337" t="s">
        <v>754</v>
      </c>
      <c r="B337" s="18" t="str">
        <f>VLOOKUP(A337,Table1[],3,TRUE)</f>
        <v>John Greene</v>
      </c>
      <c r="C337" s="18" t="str">
        <f>VLOOKUP($A337,Table1[],5,TRUE)</f>
        <v>Male</v>
      </c>
      <c r="D337" s="3" t="str">
        <f>VLOOKUP($A337,Table1[],7,TRUE)</f>
        <v>54</v>
      </c>
      <c r="E337" s="3" t="str">
        <f>VLOOKUP($A337,Table1[],8,TRUE)</f>
        <v>United Kingdom</v>
      </c>
      <c r="F337" s="3" t="str">
        <f>VLOOKUP($A337,Table1[],9,TRUE)</f>
        <v>English</v>
      </c>
      <c r="G337" s="3" t="str">
        <f>VLOOKUP($A337,Table1[],10,TRUE)</f>
        <v>UI/UX Design</v>
      </c>
      <c r="H337" s="13" t="str">
        <f>VLOOKUP($A337,Table1[],12,TRUE)</f>
        <v>20</v>
      </c>
      <c r="I337" s="20">
        <v>50</v>
      </c>
      <c r="J337" s="15">
        <f>VLOOKUP($A337,Table1[],18,TRUE)</f>
        <v>4.4000000000000004</v>
      </c>
      <c r="K337" s="12" t="str">
        <f>VLOOKUP($A337,Table1[],22,TRUE)</f>
        <v>FALSE</v>
      </c>
      <c r="L337" s="13">
        <f>VLOOKUP($A337,Table1[],25,TRUE)</f>
        <v>0.73</v>
      </c>
    </row>
    <row r="338" spans="1:12" x14ac:dyDescent="0.25">
      <c r="A338" t="s">
        <v>756</v>
      </c>
      <c r="B338" s="18" t="str">
        <f>VLOOKUP(A338,Table1[],3,TRUE)</f>
        <v>Brittany Mcdowell</v>
      </c>
      <c r="C338" s="18" t="str">
        <f>VLOOKUP($A338,Table1[],5,TRUE)</f>
        <v>Female</v>
      </c>
      <c r="D338" s="3" t="str">
        <f>VLOOKUP($A338,Table1[],7,TRUE)</f>
        <v>33</v>
      </c>
      <c r="E338" s="3" t="str">
        <f>VLOOKUP($A338,Table1[],8,TRUE)</f>
        <v>United States</v>
      </c>
      <c r="F338" s="3" t="str">
        <f>VLOOKUP($A338,Table1[],9,TRUE)</f>
        <v>English</v>
      </c>
      <c r="G338" s="3" t="str">
        <f>VLOOKUP($A338,Table1[],10,TRUE)</f>
        <v>Graphic Design</v>
      </c>
      <c r="H338" s="13" t="str">
        <f>VLOOKUP($A338,Table1[],12,TRUE)</f>
        <v>11</v>
      </c>
      <c r="I338" s="20">
        <v>75</v>
      </c>
      <c r="J338" s="15">
        <f>VLOOKUP($A338,Table1[],18,TRUE)</f>
        <v>2.1</v>
      </c>
      <c r="K338" s="12" t="str">
        <f>VLOOKUP($A338,Table1[],22,TRUE)</f>
        <v>FALSE</v>
      </c>
      <c r="L338" s="13">
        <f>VLOOKUP($A338,Table1[],25,TRUE)</f>
        <v>0.96</v>
      </c>
    </row>
    <row r="339" spans="1:12" x14ac:dyDescent="0.25">
      <c r="A339" t="s">
        <v>758</v>
      </c>
      <c r="B339" s="18" t="str">
        <f>VLOOKUP(A339,Table1[],3,TRUE)</f>
        <v>Lori Miller</v>
      </c>
      <c r="C339" s="18" t="str">
        <f>VLOOKUP($A339,Table1[],5,TRUE)</f>
        <v>Female</v>
      </c>
      <c r="D339" s="3" t="str">
        <f>VLOOKUP($A339,Table1[],7,TRUE)</f>
        <v>57</v>
      </c>
      <c r="E339" s="3" t="str">
        <f>VLOOKUP($A339,Table1[],8,TRUE)</f>
        <v>Turkey</v>
      </c>
      <c r="F339" s="3" t="str">
        <f>VLOOKUP($A339,Table1[],9,TRUE)</f>
        <v>Turkish</v>
      </c>
      <c r="G339" s="3" t="str">
        <f>VLOOKUP($A339,Table1[],10,TRUE)</f>
        <v>Data Analysis</v>
      </c>
      <c r="H339" s="13" t="str">
        <f>VLOOKUP($A339,Table1[],12,TRUE)</f>
        <v>2</v>
      </c>
      <c r="I339" s="20">
        <v>40</v>
      </c>
      <c r="J339" s="15">
        <f>VLOOKUP($A339,Table1[],18,TRUE)</f>
        <v>0</v>
      </c>
      <c r="K339" s="12" t="str">
        <f>VLOOKUP($A339,Table1[],22,TRUE)</f>
        <v>TRUE</v>
      </c>
      <c r="L339" s="13">
        <f>VLOOKUP($A339,Table1[],25,TRUE)</f>
        <v>0.6</v>
      </c>
    </row>
    <row r="340" spans="1:12" x14ac:dyDescent="0.25">
      <c r="A340" t="s">
        <v>760</v>
      </c>
      <c r="B340" s="18" t="str">
        <f>VLOOKUP(A340,Table1[],3,TRUE)</f>
        <v>Joseph Robinson</v>
      </c>
      <c r="C340" s="18" t="str">
        <f>VLOOKUP($A340,Table1[],5,TRUE)</f>
        <v>Male</v>
      </c>
      <c r="D340" s="3" t="str">
        <f>VLOOKUP($A340,Table1[],7,TRUE)</f>
        <v>36</v>
      </c>
      <c r="E340" s="3" t="str">
        <f>VLOOKUP($A340,Table1[],8,TRUE)</f>
        <v>South Korea</v>
      </c>
      <c r="F340" s="3" t="str">
        <f>VLOOKUP($A340,Table1[],9,TRUE)</f>
        <v>Korean</v>
      </c>
      <c r="G340" s="3" t="str">
        <f>VLOOKUP($A340,Table1[],10,TRUE)</f>
        <v>Graphic Design</v>
      </c>
      <c r="H340" s="13" t="str">
        <f>VLOOKUP($A340,Table1[],12,TRUE)</f>
        <v>6</v>
      </c>
      <c r="I340" s="20">
        <v>20</v>
      </c>
      <c r="J340" s="15">
        <f>VLOOKUP($A340,Table1[],18,TRUE)</f>
        <v>1</v>
      </c>
      <c r="K340" s="12" t="str">
        <f>VLOOKUP($A340,Table1[],22,TRUE)</f>
        <v>TRUE</v>
      </c>
      <c r="L340" s="13">
        <f>VLOOKUP($A340,Table1[],25,TRUE)</f>
        <v>0.64</v>
      </c>
    </row>
    <row r="341" spans="1:12" x14ac:dyDescent="0.25">
      <c r="A341" t="s">
        <v>762</v>
      </c>
      <c r="B341" s="18" t="str">
        <f>VLOOKUP(A341,Table1[],3,TRUE)</f>
        <v>Aaron Pruitt</v>
      </c>
      <c r="C341" s="18" t="str">
        <f>VLOOKUP($A341,Table1[],5,TRUE)</f>
        <v>Male</v>
      </c>
      <c r="D341" s="3" t="str">
        <f>VLOOKUP($A341,Table1[],7,TRUE)</f>
        <v>50</v>
      </c>
      <c r="E341" s="3" t="str">
        <f>VLOOKUP($A341,Table1[],8,TRUE)</f>
        <v>Germany</v>
      </c>
      <c r="F341" s="3" t="str">
        <f>VLOOKUP($A341,Table1[],9,TRUE)</f>
        <v>German</v>
      </c>
      <c r="G341" s="3" t="str">
        <f>VLOOKUP($A341,Table1[],10,TRUE)</f>
        <v>Blockchain Development</v>
      </c>
      <c r="H341" s="13" t="str">
        <f>VLOOKUP($A341,Table1[],12,TRUE)</f>
        <v>20</v>
      </c>
      <c r="I341" s="20">
        <v>30</v>
      </c>
      <c r="J341" s="15">
        <f>VLOOKUP($A341,Table1[],18,TRUE)</f>
        <v>0</v>
      </c>
      <c r="K341" s="12" t="str">
        <f>VLOOKUP($A341,Table1[],22,TRUE)</f>
        <v>FALSE</v>
      </c>
      <c r="L341" s="13">
        <f>VLOOKUP($A341,Table1[],25,TRUE)</f>
        <v>0.75</v>
      </c>
    </row>
    <row r="342" spans="1:12" x14ac:dyDescent="0.25">
      <c r="A342" t="s">
        <v>764</v>
      </c>
      <c r="B342" s="18" t="str">
        <f>VLOOKUP(A342,Table1[],3,TRUE)</f>
        <v>Victoria Miller</v>
      </c>
      <c r="C342" s="18" t="str">
        <f>VLOOKUP($A342,Table1[],5,TRUE)</f>
        <v>Female</v>
      </c>
      <c r="D342" s="3" t="str">
        <f>VLOOKUP($A342,Table1[],7,TRUE)</f>
        <v>37</v>
      </c>
      <c r="E342" s="3" t="str">
        <f>VLOOKUP($A342,Table1[],8,TRUE)</f>
        <v>Canada</v>
      </c>
      <c r="F342" s="3" t="str">
        <f>VLOOKUP($A342,Table1[],9,TRUE)</f>
        <v>English</v>
      </c>
      <c r="G342" s="3" t="str">
        <f>VLOOKUP($A342,Table1[],10,TRUE)</f>
        <v>DevOps</v>
      </c>
      <c r="H342" s="13" t="str">
        <f>VLOOKUP($A342,Table1[],12,TRUE)</f>
        <v>Unknown</v>
      </c>
      <c r="I342" s="20">
        <v>20</v>
      </c>
      <c r="J342" s="15">
        <f>VLOOKUP($A342,Table1[],18,TRUE)</f>
        <v>4.9000000000000004</v>
      </c>
      <c r="K342" s="12" t="str">
        <f>VLOOKUP($A342,Table1[],22,TRUE)</f>
        <v>FALSE</v>
      </c>
      <c r="L342" s="13">
        <f>VLOOKUP($A342,Table1[],25,TRUE)</f>
        <v>0.75</v>
      </c>
    </row>
    <row r="343" spans="1:12" x14ac:dyDescent="0.25">
      <c r="A343" t="s">
        <v>766</v>
      </c>
      <c r="B343" s="18" t="str">
        <f>VLOOKUP(A343,Table1[],3,TRUE)</f>
        <v>Clarence Vega</v>
      </c>
      <c r="C343" s="18" t="str">
        <f>VLOOKUP($A343,Table1[],5,TRUE)</f>
        <v>Male</v>
      </c>
      <c r="D343" s="3" t="str">
        <f>VLOOKUP($A343,Table1[],7,TRUE)</f>
        <v>53</v>
      </c>
      <c r="E343" s="3" t="str">
        <f>VLOOKUP($A343,Table1[],8,TRUE)</f>
        <v>Italy</v>
      </c>
      <c r="F343" s="3" t="str">
        <f>VLOOKUP($A343,Table1[],9,TRUE)</f>
        <v>Italian</v>
      </c>
      <c r="G343" s="3" t="str">
        <f>VLOOKUP($A343,Table1[],10,TRUE)</f>
        <v>AI</v>
      </c>
      <c r="H343" s="13" t="str">
        <f>VLOOKUP($A343,Table1[],12,TRUE)</f>
        <v>4</v>
      </c>
      <c r="I343" s="20">
        <v>30</v>
      </c>
      <c r="J343" s="15">
        <f>VLOOKUP($A343,Table1[],18,TRUE)</f>
        <v>4.7</v>
      </c>
      <c r="K343" s="12" t="str">
        <f>VLOOKUP($A343,Table1[],22,TRUE)</f>
        <v>FALSE</v>
      </c>
      <c r="L343" s="13">
        <f>VLOOKUP($A343,Table1[],25,TRUE)</f>
        <v>0.99</v>
      </c>
    </row>
    <row r="344" spans="1:12" x14ac:dyDescent="0.25">
      <c r="A344" t="s">
        <v>768</v>
      </c>
      <c r="B344" s="18" t="str">
        <f>VLOOKUP(A344,Table1[],3,TRUE)</f>
        <v>Deborah Day</v>
      </c>
      <c r="C344" s="18" t="str">
        <f>VLOOKUP($A344,Table1[],5,TRUE)</f>
        <v>Female</v>
      </c>
      <c r="D344" s="3" t="str">
        <f>VLOOKUP($A344,Table1[],7,TRUE)</f>
        <v>22</v>
      </c>
      <c r="E344" s="3" t="str">
        <f>VLOOKUP($A344,Table1[],8,TRUE)</f>
        <v>Italy</v>
      </c>
      <c r="F344" s="3" t="str">
        <f>VLOOKUP($A344,Table1[],9,TRUE)</f>
        <v>Italian</v>
      </c>
      <c r="G344" s="3" t="str">
        <f>VLOOKUP($A344,Table1[],10,TRUE)</f>
        <v>Blockchain Development</v>
      </c>
      <c r="H344" s="13" t="str">
        <f>VLOOKUP($A344,Table1[],12,TRUE)</f>
        <v>3</v>
      </c>
      <c r="I344" s="20">
        <v>40</v>
      </c>
      <c r="J344" s="15">
        <f>VLOOKUP($A344,Table1[],18,TRUE)</f>
        <v>2.1</v>
      </c>
      <c r="K344" s="12" t="str">
        <f>VLOOKUP($A344,Table1[],22,TRUE)</f>
        <v>FALSE</v>
      </c>
      <c r="L344" s="13">
        <f>VLOOKUP($A344,Table1[],25,TRUE)</f>
        <v>0.75</v>
      </c>
    </row>
    <row r="345" spans="1:12" x14ac:dyDescent="0.25">
      <c r="A345" t="s">
        <v>770</v>
      </c>
      <c r="B345" s="18" t="str">
        <f>VLOOKUP(A345,Table1[],3,TRUE)</f>
        <v>Nicole Rocha</v>
      </c>
      <c r="C345" s="18" t="str">
        <f>VLOOKUP($A345,Table1[],5,TRUE)</f>
        <v>Female</v>
      </c>
      <c r="D345" s="3" t="str">
        <f>VLOOKUP($A345,Table1[],7,TRUE)</f>
        <v>55</v>
      </c>
      <c r="E345" s="3" t="str">
        <f>VLOOKUP($A345,Table1[],8,TRUE)</f>
        <v>Netherlands</v>
      </c>
      <c r="F345" s="3" t="str">
        <f>VLOOKUP($A345,Table1[],9,TRUE)</f>
        <v>Dutch</v>
      </c>
      <c r="G345" s="3" t="str">
        <f>VLOOKUP($A345,Table1[],10,TRUE)</f>
        <v>Mobile Apps</v>
      </c>
      <c r="H345" s="13" t="str">
        <f>VLOOKUP($A345,Table1[],12,TRUE)</f>
        <v>33</v>
      </c>
      <c r="I345" s="20">
        <v>40</v>
      </c>
      <c r="J345" s="15">
        <f>VLOOKUP($A345,Table1[],18,TRUE)</f>
        <v>1.5</v>
      </c>
      <c r="K345" s="12" t="str">
        <f>VLOOKUP($A345,Table1[],22,TRUE)</f>
        <v>TRUE</v>
      </c>
      <c r="L345" s="13">
        <f>VLOOKUP($A345,Table1[],25,TRUE)</f>
        <v>0.71</v>
      </c>
    </row>
    <row r="346" spans="1:12" x14ac:dyDescent="0.25">
      <c r="A346" t="s">
        <v>772</v>
      </c>
      <c r="B346" s="18" t="str">
        <f>VLOOKUP(A346,Table1[],3,TRUE)</f>
        <v>Elijah Green</v>
      </c>
      <c r="C346" s="18" t="str">
        <f>VLOOKUP($A346,Table1[],5,TRUE)</f>
        <v>Male</v>
      </c>
      <c r="D346" s="3" t="str">
        <f>VLOOKUP($A346,Table1[],7,TRUE)</f>
        <v>22</v>
      </c>
      <c r="E346" s="3" t="str">
        <f>VLOOKUP($A346,Table1[],8,TRUE)</f>
        <v>Australia</v>
      </c>
      <c r="F346" s="3" t="str">
        <f>VLOOKUP($A346,Table1[],9,TRUE)</f>
        <v>English</v>
      </c>
      <c r="G346" s="3" t="str">
        <f>VLOOKUP($A346,Table1[],10,TRUE)</f>
        <v>Cybersecurity</v>
      </c>
      <c r="H346" s="13" t="str">
        <f>VLOOKUP($A346,Table1[],12,TRUE)</f>
        <v>1</v>
      </c>
      <c r="I346" s="20">
        <v>50</v>
      </c>
      <c r="J346" s="15">
        <f>VLOOKUP($A346,Table1[],18,TRUE)</f>
        <v>2.6</v>
      </c>
      <c r="K346" s="12" t="str">
        <f>VLOOKUP($A346,Table1[],22,TRUE)</f>
        <v>FALSE</v>
      </c>
      <c r="L346" s="13">
        <f>VLOOKUP($A346,Table1[],25,TRUE)</f>
        <v>0.72</v>
      </c>
    </row>
    <row r="347" spans="1:12" x14ac:dyDescent="0.25">
      <c r="A347" t="s">
        <v>774</v>
      </c>
      <c r="B347" s="18" t="str">
        <f>VLOOKUP(A347,Table1[],3,TRUE)</f>
        <v>Emily Johnson</v>
      </c>
      <c r="C347" s="18" t="str">
        <f>VLOOKUP($A347,Table1[],5,TRUE)</f>
        <v>Female</v>
      </c>
      <c r="D347" s="3" t="str">
        <f>VLOOKUP($A347,Table1[],7,TRUE)</f>
        <v>45</v>
      </c>
      <c r="E347" s="3" t="str">
        <f>VLOOKUP($A347,Table1[],8,TRUE)</f>
        <v>Turkey</v>
      </c>
      <c r="F347" s="3" t="str">
        <f>VLOOKUP($A347,Table1[],9,TRUE)</f>
        <v>Turkish</v>
      </c>
      <c r="G347" s="3" t="str">
        <f>VLOOKUP($A347,Table1[],10,TRUE)</f>
        <v>Web Development</v>
      </c>
      <c r="H347" s="13" t="str">
        <f>VLOOKUP($A347,Table1[],12,TRUE)</f>
        <v>23</v>
      </c>
      <c r="I347" s="20">
        <v>50</v>
      </c>
      <c r="J347" s="15">
        <f>VLOOKUP($A347,Table1[],18,TRUE)</f>
        <v>0</v>
      </c>
      <c r="K347" s="12" t="str">
        <f>VLOOKUP($A347,Table1[],22,TRUE)</f>
        <v>FALSE</v>
      </c>
      <c r="L347" s="13">
        <f>VLOOKUP($A347,Table1[],25,TRUE)</f>
        <v>0.66</v>
      </c>
    </row>
    <row r="348" spans="1:12" x14ac:dyDescent="0.25">
      <c r="A348" t="s">
        <v>776</v>
      </c>
      <c r="B348" s="18" t="str">
        <f>VLOOKUP(A348,Table1[],3,TRUE)</f>
        <v>Richard Velasquez Jr.</v>
      </c>
      <c r="C348" s="18" t="str">
        <f>VLOOKUP($A348,Table1[],5,TRUE)</f>
        <v>Male</v>
      </c>
      <c r="D348" s="3" t="str">
        <f>VLOOKUP($A348,Table1[],7,TRUE)</f>
        <v>36</v>
      </c>
      <c r="E348" s="3" t="str">
        <f>VLOOKUP($A348,Table1[],8,TRUE)</f>
        <v>France</v>
      </c>
      <c r="F348" s="3" t="str">
        <f>VLOOKUP($A348,Table1[],9,TRUE)</f>
        <v>French</v>
      </c>
      <c r="G348" s="3" t="str">
        <f>VLOOKUP($A348,Table1[],10,TRUE)</f>
        <v>Data Analysis</v>
      </c>
      <c r="H348" s="13" t="str">
        <f>VLOOKUP($A348,Table1[],12,TRUE)</f>
        <v>13</v>
      </c>
      <c r="I348" s="20">
        <v>40</v>
      </c>
      <c r="J348" s="15">
        <f>VLOOKUP($A348,Table1[],18,TRUE)</f>
        <v>2.6</v>
      </c>
      <c r="K348" s="12" t="str">
        <f>VLOOKUP($A348,Table1[],22,TRUE)</f>
        <v>FALSE</v>
      </c>
      <c r="L348" s="13">
        <f>VLOOKUP($A348,Table1[],25,TRUE)</f>
        <v>0.78</v>
      </c>
    </row>
    <row r="349" spans="1:12" x14ac:dyDescent="0.25">
      <c r="A349" t="s">
        <v>778</v>
      </c>
      <c r="B349" s="18" t="str">
        <f>VLOOKUP(A349,Table1[],3,TRUE)</f>
        <v>Kurt Wilson</v>
      </c>
      <c r="C349" s="18" t="str">
        <f>VLOOKUP($A349,Table1[],5,TRUE)</f>
        <v>Male</v>
      </c>
      <c r="D349" s="3" t="str">
        <f>VLOOKUP($A349,Table1[],7,TRUE)</f>
        <v>23</v>
      </c>
      <c r="E349" s="3" t="str">
        <f>VLOOKUP($A349,Table1[],8,TRUE)</f>
        <v>Australia</v>
      </c>
      <c r="F349" s="3" t="str">
        <f>VLOOKUP($A349,Table1[],9,TRUE)</f>
        <v>English</v>
      </c>
      <c r="G349" s="3" t="str">
        <f>VLOOKUP($A349,Table1[],10,TRUE)</f>
        <v>DevOps</v>
      </c>
      <c r="H349" s="13" t="str">
        <f>VLOOKUP($A349,Table1[],12,TRUE)</f>
        <v>1</v>
      </c>
      <c r="I349" s="20">
        <v>20</v>
      </c>
      <c r="J349" s="15">
        <f>VLOOKUP($A349,Table1[],18,TRUE)</f>
        <v>4</v>
      </c>
      <c r="K349" s="12" t="str">
        <f>VLOOKUP($A349,Table1[],22,TRUE)</f>
        <v>TRUE</v>
      </c>
      <c r="L349" s="13">
        <f>VLOOKUP($A349,Table1[],25,TRUE)</f>
        <v>1</v>
      </c>
    </row>
    <row r="350" spans="1:12" x14ac:dyDescent="0.25">
      <c r="A350" t="s">
        <v>780</v>
      </c>
      <c r="B350" s="18" t="str">
        <f>VLOOKUP(A350,Table1[],3,TRUE)</f>
        <v>Jeremiah Rodriguez</v>
      </c>
      <c r="C350" s="18" t="str">
        <f>VLOOKUP($A350,Table1[],5,TRUE)</f>
        <v>Male</v>
      </c>
      <c r="D350" s="3" t="str">
        <f>VLOOKUP($A350,Table1[],7,TRUE)</f>
        <v>55</v>
      </c>
      <c r="E350" s="3" t="str">
        <f>VLOOKUP($A350,Table1[],8,TRUE)</f>
        <v>Italy</v>
      </c>
      <c r="F350" s="3" t="str">
        <f>VLOOKUP($A350,Table1[],9,TRUE)</f>
        <v>Italian</v>
      </c>
      <c r="G350" s="3" t="str">
        <f>VLOOKUP($A350,Table1[],10,TRUE)</f>
        <v>DevOps</v>
      </c>
      <c r="H350" s="13" t="str">
        <f>VLOOKUP($A350,Table1[],12,TRUE)</f>
        <v>15</v>
      </c>
      <c r="I350" s="20">
        <v>40</v>
      </c>
      <c r="J350" s="15">
        <f>VLOOKUP($A350,Table1[],18,TRUE)</f>
        <v>4.5</v>
      </c>
      <c r="K350" s="12" t="str">
        <f>VLOOKUP($A350,Table1[],22,TRUE)</f>
        <v>TRUE</v>
      </c>
      <c r="L350" s="13">
        <f>VLOOKUP($A350,Table1[],25,TRUE)</f>
        <v>0.75</v>
      </c>
    </row>
    <row r="351" spans="1:12" x14ac:dyDescent="0.25">
      <c r="A351" t="s">
        <v>782</v>
      </c>
      <c r="B351" s="18" t="str">
        <f>VLOOKUP(A351,Table1[],3,TRUE)</f>
        <v>Lauren Lang</v>
      </c>
      <c r="C351" s="18" t="str">
        <f>VLOOKUP($A351,Table1[],5,TRUE)</f>
        <v>Female</v>
      </c>
      <c r="D351" s="3" t="str">
        <f>VLOOKUP($A351,Table1[],7,TRUE)</f>
        <v>50</v>
      </c>
      <c r="E351" s="3" t="str">
        <f>VLOOKUP($A351,Table1[],8,TRUE)</f>
        <v>Brazil</v>
      </c>
      <c r="F351" s="3" t="str">
        <f>VLOOKUP($A351,Table1[],9,TRUE)</f>
        <v>Portuguese</v>
      </c>
      <c r="G351" s="3" t="str">
        <f>VLOOKUP($A351,Table1[],10,TRUE)</f>
        <v>Mobile Apps</v>
      </c>
      <c r="H351" s="13" t="str">
        <f>VLOOKUP($A351,Table1[],12,TRUE)</f>
        <v>18</v>
      </c>
      <c r="I351" s="20">
        <v>75</v>
      </c>
      <c r="J351" s="15">
        <f>VLOOKUP($A351,Table1[],18,TRUE)</f>
        <v>3.8</v>
      </c>
      <c r="K351" s="12" t="str">
        <f>VLOOKUP($A351,Table1[],22,TRUE)</f>
        <v>FALSE</v>
      </c>
      <c r="L351" s="13">
        <f>VLOOKUP($A351,Table1[],25,TRUE)</f>
        <v>0.67</v>
      </c>
    </row>
    <row r="352" spans="1:12" x14ac:dyDescent="0.25">
      <c r="A352" t="s">
        <v>784</v>
      </c>
      <c r="B352" s="18" t="str">
        <f>VLOOKUP(A352,Table1[],3,TRUE)</f>
        <v>Matthew Phillips</v>
      </c>
      <c r="C352" s="18" t="str">
        <f>VLOOKUP($A352,Table1[],5,TRUE)</f>
        <v>Male</v>
      </c>
      <c r="D352" s="3" t="str">
        <f>VLOOKUP($A352,Table1[],7,TRUE)</f>
        <v>48</v>
      </c>
      <c r="E352" s="3" t="str">
        <f>VLOOKUP($A352,Table1[],8,TRUE)</f>
        <v>United States</v>
      </c>
      <c r="F352" s="3" t="str">
        <f>VLOOKUP($A352,Table1[],9,TRUE)</f>
        <v>English</v>
      </c>
      <c r="G352" s="3" t="str">
        <f>VLOOKUP($A352,Table1[],10,TRUE)</f>
        <v>Machine Learning</v>
      </c>
      <c r="H352" s="13" t="str">
        <f>VLOOKUP($A352,Table1[],12,TRUE)</f>
        <v>21</v>
      </c>
      <c r="I352" s="20">
        <v>50</v>
      </c>
      <c r="J352" s="15">
        <f>VLOOKUP($A352,Table1[],18,TRUE)</f>
        <v>4</v>
      </c>
      <c r="K352" s="12" t="str">
        <f>VLOOKUP($A352,Table1[],22,TRUE)</f>
        <v>FALSE</v>
      </c>
      <c r="L352" s="13">
        <f>VLOOKUP($A352,Table1[],25,TRUE)</f>
        <v>0.78</v>
      </c>
    </row>
    <row r="353" spans="1:12" x14ac:dyDescent="0.25">
      <c r="A353" t="s">
        <v>786</v>
      </c>
      <c r="B353" s="18" t="str">
        <f>VLOOKUP(A353,Table1[],3,TRUE)</f>
        <v>Michael Andersen</v>
      </c>
      <c r="C353" s="18" t="str">
        <f>VLOOKUP($A353,Table1[],5,TRUE)</f>
        <v>Male</v>
      </c>
      <c r="D353" s="3" t="str">
        <f>VLOOKUP($A353,Table1[],7,TRUE)</f>
        <v>23</v>
      </c>
      <c r="E353" s="3" t="str">
        <f>VLOOKUP($A353,Table1[],8,TRUE)</f>
        <v>Netherlands</v>
      </c>
      <c r="F353" s="3" t="str">
        <f>VLOOKUP($A353,Table1[],9,TRUE)</f>
        <v>Dutch</v>
      </c>
      <c r="G353" s="3" t="str">
        <f>VLOOKUP($A353,Table1[],10,TRUE)</f>
        <v>DevOps</v>
      </c>
      <c r="H353" s="13" t="str">
        <f>VLOOKUP($A353,Table1[],12,TRUE)</f>
        <v>1</v>
      </c>
      <c r="I353" s="20">
        <v>40</v>
      </c>
      <c r="J353" s="15">
        <f>VLOOKUP($A353,Table1[],18,TRUE)</f>
        <v>4.9000000000000004</v>
      </c>
      <c r="K353" s="12" t="str">
        <f>VLOOKUP($A353,Table1[],22,TRUE)</f>
        <v>TRUE</v>
      </c>
      <c r="L353" s="13">
        <f>VLOOKUP($A353,Table1[],25,TRUE)</f>
        <v>0.78</v>
      </c>
    </row>
    <row r="354" spans="1:12" x14ac:dyDescent="0.25">
      <c r="A354" t="s">
        <v>788</v>
      </c>
      <c r="B354" s="18" t="str">
        <f>VLOOKUP(A354,Table1[],3,TRUE)</f>
        <v>Amanda Mayo</v>
      </c>
      <c r="C354" s="18" t="str">
        <f>VLOOKUP($A354,Table1[],5,TRUE)</f>
        <v>Female</v>
      </c>
      <c r="D354" s="3" t="str">
        <f>VLOOKUP($A354,Table1[],7,TRUE)</f>
        <v>49</v>
      </c>
      <c r="E354" s="3" t="str">
        <f>VLOOKUP($A354,Table1[],8,TRUE)</f>
        <v>Canada</v>
      </c>
      <c r="F354" s="3" t="str">
        <f>VLOOKUP($A354,Table1[],9,TRUE)</f>
        <v>English</v>
      </c>
      <c r="G354" s="3" t="str">
        <f>VLOOKUP($A354,Table1[],10,TRUE)</f>
        <v>Web Development</v>
      </c>
      <c r="H354" s="13" t="str">
        <f>VLOOKUP($A354,Table1[],12,TRUE)</f>
        <v>25</v>
      </c>
      <c r="I354" s="20">
        <v>30</v>
      </c>
      <c r="J354" s="15">
        <f>VLOOKUP($A354,Table1[],18,TRUE)</f>
        <v>3.4</v>
      </c>
      <c r="K354" s="12" t="str">
        <f>VLOOKUP($A354,Table1[],22,TRUE)</f>
        <v>FALSE</v>
      </c>
      <c r="L354" s="13">
        <f>VLOOKUP($A354,Table1[],25,TRUE)</f>
        <v>0.75</v>
      </c>
    </row>
    <row r="355" spans="1:12" x14ac:dyDescent="0.25">
      <c r="A355" t="s">
        <v>790</v>
      </c>
      <c r="B355" s="18" t="str">
        <f>VLOOKUP(A355,Table1[],3,TRUE)</f>
        <v>Jessica Vance</v>
      </c>
      <c r="C355" s="18" t="str">
        <f>VLOOKUP($A355,Table1[],5,TRUE)</f>
        <v>Female</v>
      </c>
      <c r="D355" s="3" t="str">
        <f>VLOOKUP($A355,Table1[],7,TRUE)</f>
        <v>47</v>
      </c>
      <c r="E355" s="3" t="str">
        <f>VLOOKUP($A355,Table1[],8,TRUE)</f>
        <v>Italy</v>
      </c>
      <c r="F355" s="3" t="str">
        <f>VLOOKUP($A355,Table1[],9,TRUE)</f>
        <v>Italian</v>
      </c>
      <c r="G355" s="3" t="str">
        <f>VLOOKUP($A355,Table1[],10,TRUE)</f>
        <v>Cybersecurity</v>
      </c>
      <c r="H355" s="13" t="str">
        <f>VLOOKUP($A355,Table1[],12,TRUE)</f>
        <v>12</v>
      </c>
      <c r="I355" s="20">
        <v>50</v>
      </c>
      <c r="J355" s="15">
        <f>VLOOKUP($A355,Table1[],18,TRUE)</f>
        <v>2.1</v>
      </c>
      <c r="K355" s="12" t="str">
        <f>VLOOKUP($A355,Table1[],22,TRUE)</f>
        <v>TRUE</v>
      </c>
      <c r="L355" s="13">
        <f>VLOOKUP($A355,Table1[],25,TRUE)</f>
        <v>0.67</v>
      </c>
    </row>
    <row r="356" spans="1:12" x14ac:dyDescent="0.25">
      <c r="A356" t="s">
        <v>792</v>
      </c>
      <c r="B356" s="18" t="str">
        <f>VLOOKUP(A356,Table1[],3,TRUE)</f>
        <v>Alexa Gallegos</v>
      </c>
      <c r="C356" s="18" t="str">
        <f>VLOOKUP($A356,Table1[],5,TRUE)</f>
        <v>Female</v>
      </c>
      <c r="D356" s="3" t="str">
        <f>VLOOKUP($A356,Table1[],7,TRUE)</f>
        <v>56</v>
      </c>
      <c r="E356" s="3" t="str">
        <f>VLOOKUP($A356,Table1[],8,TRUE)</f>
        <v>Japan</v>
      </c>
      <c r="F356" s="3" t="str">
        <f>VLOOKUP($A356,Table1[],9,TRUE)</f>
        <v>Japanese</v>
      </c>
      <c r="G356" s="3" t="str">
        <f>VLOOKUP($A356,Table1[],10,TRUE)</f>
        <v>Graphic Design</v>
      </c>
      <c r="H356" s="13" t="str">
        <f>VLOOKUP($A356,Table1[],12,TRUE)</f>
        <v>32</v>
      </c>
      <c r="I356" s="20">
        <v>40</v>
      </c>
      <c r="J356" s="15">
        <f>VLOOKUP($A356,Table1[],18,TRUE)</f>
        <v>0</v>
      </c>
      <c r="K356" s="12" t="str">
        <f>VLOOKUP($A356,Table1[],22,TRUE)</f>
        <v>TRUE</v>
      </c>
      <c r="L356" s="13">
        <f>VLOOKUP($A356,Table1[],25,TRUE)</f>
        <v>0.86</v>
      </c>
    </row>
    <row r="357" spans="1:12" x14ac:dyDescent="0.25">
      <c r="A357" t="s">
        <v>794</v>
      </c>
      <c r="B357" s="18" t="str">
        <f>VLOOKUP(A357,Table1[],3,TRUE)</f>
        <v>Charles Pratt</v>
      </c>
      <c r="C357" s="18" t="str">
        <f>VLOOKUP($A357,Table1[],5,TRUE)</f>
        <v>Male</v>
      </c>
      <c r="D357" s="3" t="str">
        <f>VLOOKUP($A357,Table1[],7,TRUE)</f>
        <v>58</v>
      </c>
      <c r="E357" s="3" t="str">
        <f>VLOOKUP($A357,Table1[],8,TRUE)</f>
        <v>Argentina</v>
      </c>
      <c r="F357" s="3" t="str">
        <f>VLOOKUP($A357,Table1[],9,TRUE)</f>
        <v>Spanish</v>
      </c>
      <c r="G357" s="3" t="str">
        <f>VLOOKUP($A357,Table1[],10,TRUE)</f>
        <v>UI/UX Design</v>
      </c>
      <c r="H357" s="13" t="str">
        <f>VLOOKUP($A357,Table1[],12,TRUE)</f>
        <v>Unknown</v>
      </c>
      <c r="I357" s="20">
        <v>100</v>
      </c>
      <c r="J357" s="15">
        <f>VLOOKUP($A357,Table1[],18,TRUE)</f>
        <v>4.5</v>
      </c>
      <c r="K357" s="12" t="str">
        <f>VLOOKUP($A357,Table1[],22,TRUE)</f>
        <v>FALSE</v>
      </c>
      <c r="L357" s="13">
        <f>VLOOKUP($A357,Table1[],25,TRUE)</f>
        <v>0.77</v>
      </c>
    </row>
    <row r="358" spans="1:12" x14ac:dyDescent="0.25">
      <c r="A358" t="s">
        <v>796</v>
      </c>
      <c r="B358" s="18" t="str">
        <f>VLOOKUP(A358,Table1[],3,TRUE)</f>
        <v>Brian Baker</v>
      </c>
      <c r="C358" s="18" t="str">
        <f>VLOOKUP($A358,Table1[],5,TRUE)</f>
        <v>Male</v>
      </c>
      <c r="D358" s="3" t="str">
        <f>VLOOKUP($A358,Table1[],7,TRUE)</f>
        <v>32</v>
      </c>
      <c r="E358" s="3" t="str">
        <f>VLOOKUP($A358,Table1[],8,TRUE)</f>
        <v>South Korea</v>
      </c>
      <c r="F358" s="3" t="str">
        <f>VLOOKUP($A358,Table1[],9,TRUE)</f>
        <v>Korean</v>
      </c>
      <c r="G358" s="3" t="str">
        <f>VLOOKUP($A358,Table1[],10,TRUE)</f>
        <v>UI/UX Design</v>
      </c>
      <c r="H358" s="13" t="str">
        <f>VLOOKUP($A358,Table1[],12,TRUE)</f>
        <v>10</v>
      </c>
      <c r="I358" s="20">
        <v>30</v>
      </c>
      <c r="J358" s="15">
        <f>VLOOKUP($A358,Table1[],18,TRUE)</f>
        <v>3.8</v>
      </c>
      <c r="K358" s="12" t="str">
        <f>VLOOKUP($A358,Table1[],22,TRUE)</f>
        <v>FALSE</v>
      </c>
      <c r="L358" s="13">
        <f>VLOOKUP($A358,Table1[],25,TRUE)</f>
        <v>0.61</v>
      </c>
    </row>
    <row r="359" spans="1:12" x14ac:dyDescent="0.25">
      <c r="A359" t="s">
        <v>798</v>
      </c>
      <c r="B359" s="18" t="str">
        <f>VLOOKUP(A359,Table1[],3,TRUE)</f>
        <v>Christina Norman</v>
      </c>
      <c r="C359" s="18" t="str">
        <f>VLOOKUP($A359,Table1[],5,TRUE)</f>
        <v>Female</v>
      </c>
      <c r="D359" s="3" t="str">
        <f>VLOOKUP($A359,Table1[],7,TRUE)</f>
        <v>52</v>
      </c>
      <c r="E359" s="3" t="str">
        <f>VLOOKUP($A359,Table1[],8,TRUE)</f>
        <v>India</v>
      </c>
      <c r="F359" s="3" t="str">
        <f>VLOOKUP($A359,Table1[],9,TRUE)</f>
        <v>Hindi</v>
      </c>
      <c r="G359" s="3" t="str">
        <f>VLOOKUP($A359,Table1[],10,TRUE)</f>
        <v>UI/UX Design</v>
      </c>
      <c r="H359" s="13" t="str">
        <f>VLOOKUP($A359,Table1[],12,TRUE)</f>
        <v>0</v>
      </c>
      <c r="I359" s="20">
        <v>50</v>
      </c>
      <c r="J359" s="15">
        <f>VLOOKUP($A359,Table1[],18,TRUE)</f>
        <v>4.3</v>
      </c>
      <c r="K359" s="12" t="str">
        <f>VLOOKUP($A359,Table1[],22,TRUE)</f>
        <v>FALSE</v>
      </c>
      <c r="L359" s="13">
        <f>VLOOKUP($A359,Table1[],25,TRUE)</f>
        <v>0.9</v>
      </c>
    </row>
    <row r="360" spans="1:12" x14ac:dyDescent="0.25">
      <c r="A360" t="s">
        <v>800</v>
      </c>
      <c r="B360" s="18" t="str">
        <f>VLOOKUP(A360,Table1[],3,TRUE)</f>
        <v>Laura Kelly</v>
      </c>
      <c r="C360" s="18" t="str">
        <f>VLOOKUP($A360,Table1[],5,TRUE)</f>
        <v>Female</v>
      </c>
      <c r="D360" s="3" t="str">
        <f>VLOOKUP($A360,Table1[],7,TRUE)</f>
        <v>22</v>
      </c>
      <c r="E360" s="3" t="str">
        <f>VLOOKUP($A360,Table1[],8,TRUE)</f>
        <v>China</v>
      </c>
      <c r="F360" s="3" t="str">
        <f>VLOOKUP($A360,Table1[],9,TRUE)</f>
        <v>Mandarin</v>
      </c>
      <c r="G360" s="3" t="str">
        <f>VLOOKUP($A360,Table1[],10,TRUE)</f>
        <v>Data Analysis</v>
      </c>
      <c r="H360" s="13" t="str">
        <f>VLOOKUP($A360,Table1[],12,TRUE)</f>
        <v>1</v>
      </c>
      <c r="I360" s="20">
        <v>50</v>
      </c>
      <c r="J360" s="15">
        <f>VLOOKUP($A360,Table1[],18,TRUE)</f>
        <v>0</v>
      </c>
      <c r="K360" s="12" t="str">
        <f>VLOOKUP($A360,Table1[],22,TRUE)</f>
        <v>TRUE</v>
      </c>
      <c r="L360" s="13">
        <f>VLOOKUP($A360,Table1[],25,TRUE)</f>
        <v>0.98</v>
      </c>
    </row>
    <row r="361" spans="1:12" x14ac:dyDescent="0.25">
      <c r="A361" t="s">
        <v>802</v>
      </c>
      <c r="B361" s="18" t="str">
        <f>VLOOKUP(A361,Table1[],3,TRUE)</f>
        <v>John Webb</v>
      </c>
      <c r="C361" s="18" t="str">
        <f>VLOOKUP($A361,Table1[],5,TRUE)</f>
        <v>Male</v>
      </c>
      <c r="D361" s="3" t="str">
        <f>VLOOKUP($A361,Table1[],7,TRUE)</f>
        <v>20</v>
      </c>
      <c r="E361" s="3" t="str">
        <f>VLOOKUP($A361,Table1[],8,TRUE)</f>
        <v>India</v>
      </c>
      <c r="F361" s="3" t="str">
        <f>VLOOKUP($A361,Table1[],9,TRUE)</f>
        <v>Hindi</v>
      </c>
      <c r="G361" s="3" t="str">
        <f>VLOOKUP($A361,Table1[],10,TRUE)</f>
        <v>Cybersecurity</v>
      </c>
      <c r="H361" s="13" t="str">
        <f>VLOOKUP($A361,Table1[],12,TRUE)</f>
        <v>2</v>
      </c>
      <c r="I361" s="20">
        <v>30</v>
      </c>
      <c r="J361" s="15">
        <f>VLOOKUP($A361,Table1[],18,TRUE)</f>
        <v>2.6</v>
      </c>
      <c r="K361" s="12" t="str">
        <f>VLOOKUP($A361,Table1[],22,TRUE)</f>
        <v>TRUE</v>
      </c>
      <c r="L361" s="13">
        <f>VLOOKUP($A361,Table1[],25,TRUE)</f>
        <v>0.99</v>
      </c>
    </row>
    <row r="362" spans="1:12" x14ac:dyDescent="0.25">
      <c r="A362" t="s">
        <v>804</v>
      </c>
      <c r="B362" s="18" t="str">
        <f>VLOOKUP(A362,Table1[],3,TRUE)</f>
        <v>Christopher Burton</v>
      </c>
      <c r="C362" s="18" t="str">
        <f>VLOOKUP($A362,Table1[],5,TRUE)</f>
        <v>Male</v>
      </c>
      <c r="D362" s="3" t="str">
        <f>VLOOKUP($A362,Table1[],7,TRUE)</f>
        <v>56</v>
      </c>
      <c r="E362" s="3" t="str">
        <f>VLOOKUP($A362,Table1[],8,TRUE)</f>
        <v>Netherlands</v>
      </c>
      <c r="F362" s="3" t="str">
        <f>VLOOKUP($A362,Table1[],9,TRUE)</f>
        <v>Dutch</v>
      </c>
      <c r="G362" s="3" t="str">
        <f>VLOOKUP($A362,Table1[],10,TRUE)</f>
        <v>Data Analysis</v>
      </c>
      <c r="H362" s="13" t="str">
        <f>VLOOKUP($A362,Table1[],12,TRUE)</f>
        <v>9</v>
      </c>
      <c r="I362" s="20">
        <v>40</v>
      </c>
      <c r="J362" s="15">
        <f>VLOOKUP($A362,Table1[],18,TRUE)</f>
        <v>2.6</v>
      </c>
      <c r="K362" s="12" t="str">
        <f>VLOOKUP($A362,Table1[],22,TRUE)</f>
        <v>FALSE</v>
      </c>
      <c r="L362" s="13">
        <f>VLOOKUP($A362,Table1[],25,TRUE)</f>
        <v>0.61</v>
      </c>
    </row>
    <row r="363" spans="1:12" x14ac:dyDescent="0.25">
      <c r="A363" t="s">
        <v>806</v>
      </c>
      <c r="B363" s="18" t="str">
        <f>VLOOKUP(A363,Table1[],3,TRUE)</f>
        <v>Bradley Aguilar</v>
      </c>
      <c r="C363" s="18" t="str">
        <f>VLOOKUP($A363,Table1[],5,TRUE)</f>
        <v>Male</v>
      </c>
      <c r="D363" s="3" t="str">
        <f>VLOOKUP($A363,Table1[],7,TRUE)</f>
        <v>41</v>
      </c>
      <c r="E363" s="3" t="str">
        <f>VLOOKUP($A363,Table1[],8,TRUE)</f>
        <v>Japan</v>
      </c>
      <c r="F363" s="3" t="str">
        <f>VLOOKUP($A363,Table1[],9,TRUE)</f>
        <v>Japanese</v>
      </c>
      <c r="G363" s="3" t="str">
        <f>VLOOKUP($A363,Table1[],10,TRUE)</f>
        <v>Data Analysis</v>
      </c>
      <c r="H363" s="13" t="str">
        <f>VLOOKUP($A363,Table1[],12,TRUE)</f>
        <v>22</v>
      </c>
      <c r="I363" s="20">
        <v>50</v>
      </c>
      <c r="J363" s="15">
        <f>VLOOKUP($A363,Table1[],18,TRUE)</f>
        <v>1.6</v>
      </c>
      <c r="K363" s="12" t="str">
        <f>VLOOKUP($A363,Table1[],22,TRUE)</f>
        <v>TRUE</v>
      </c>
      <c r="L363" s="13">
        <f>VLOOKUP($A363,Table1[],25,TRUE)</f>
        <v>0.61</v>
      </c>
    </row>
    <row r="364" spans="1:12" x14ac:dyDescent="0.25">
      <c r="A364" t="s">
        <v>808</v>
      </c>
      <c r="B364" s="18" t="str">
        <f>VLOOKUP(A364,Table1[],3,TRUE)</f>
        <v>Arthur Vasquez</v>
      </c>
      <c r="C364" s="18" t="str">
        <f>VLOOKUP($A364,Table1[],5,TRUE)</f>
        <v>Male</v>
      </c>
      <c r="D364" s="3" t="str">
        <f>VLOOKUP($A364,Table1[],7,TRUE)</f>
        <v>25</v>
      </c>
      <c r="E364" s="3" t="str">
        <f>VLOOKUP($A364,Table1[],8,TRUE)</f>
        <v>Argentina</v>
      </c>
      <c r="F364" s="3" t="str">
        <f>VLOOKUP($A364,Table1[],9,TRUE)</f>
        <v>Spanish</v>
      </c>
      <c r="G364" s="3" t="str">
        <f>VLOOKUP($A364,Table1[],10,TRUE)</f>
        <v>Blockchain Development</v>
      </c>
      <c r="H364" s="13" t="str">
        <f>VLOOKUP($A364,Table1[],12,TRUE)</f>
        <v>5</v>
      </c>
      <c r="I364" s="20">
        <v>30</v>
      </c>
      <c r="J364" s="15">
        <f>VLOOKUP($A364,Table1[],18,TRUE)</f>
        <v>2.2999999999999998</v>
      </c>
      <c r="K364" s="12" t="str">
        <f>VLOOKUP($A364,Table1[],22,TRUE)</f>
        <v>FALSE</v>
      </c>
      <c r="L364" s="13">
        <f>VLOOKUP($A364,Table1[],25,TRUE)</f>
        <v>0.91</v>
      </c>
    </row>
    <row r="365" spans="1:12" x14ac:dyDescent="0.25">
      <c r="A365" t="s">
        <v>810</v>
      </c>
      <c r="B365" s="18" t="str">
        <f>VLOOKUP(A365,Table1[],3,TRUE)</f>
        <v>Angela Castro</v>
      </c>
      <c r="C365" s="18" t="str">
        <f>VLOOKUP($A365,Table1[],5,TRUE)</f>
        <v>Female</v>
      </c>
      <c r="D365" s="3" t="str">
        <f>VLOOKUP($A365,Table1[],7,TRUE)</f>
        <v>44</v>
      </c>
      <c r="E365" s="3" t="str">
        <f>VLOOKUP($A365,Table1[],8,TRUE)</f>
        <v>Canada</v>
      </c>
      <c r="F365" s="3" t="str">
        <f>VLOOKUP($A365,Table1[],9,TRUE)</f>
        <v>English</v>
      </c>
      <c r="G365" s="3" t="str">
        <f>VLOOKUP($A365,Table1[],10,TRUE)</f>
        <v>Cybersecurity</v>
      </c>
      <c r="H365" s="13" t="str">
        <f>VLOOKUP($A365,Table1[],12,TRUE)</f>
        <v>6</v>
      </c>
      <c r="I365" s="20">
        <v>75</v>
      </c>
      <c r="J365" s="15">
        <f>VLOOKUP($A365,Table1[],18,TRUE)</f>
        <v>4.5999999999999996</v>
      </c>
      <c r="K365" s="12" t="str">
        <f>VLOOKUP($A365,Table1[],22,TRUE)</f>
        <v>TRUE</v>
      </c>
      <c r="L365" s="13">
        <f>VLOOKUP($A365,Table1[],25,TRUE)</f>
        <v>0.72</v>
      </c>
    </row>
    <row r="366" spans="1:12" x14ac:dyDescent="0.25">
      <c r="A366" t="s">
        <v>812</v>
      </c>
      <c r="B366" s="18" t="str">
        <f>VLOOKUP(A366,Table1[],3,TRUE)</f>
        <v>Summer Yoder</v>
      </c>
      <c r="C366" s="18" t="str">
        <f>VLOOKUP($A366,Table1[],5,TRUE)</f>
        <v>Female</v>
      </c>
      <c r="D366" s="3" t="str">
        <f>VLOOKUP($A366,Table1[],7,TRUE)</f>
        <v>46</v>
      </c>
      <c r="E366" s="3" t="str">
        <f>VLOOKUP($A366,Table1[],8,TRUE)</f>
        <v>Australia</v>
      </c>
      <c r="F366" s="3" t="str">
        <f>VLOOKUP($A366,Table1[],9,TRUE)</f>
        <v>English</v>
      </c>
      <c r="G366" s="3" t="str">
        <f>VLOOKUP($A366,Table1[],10,TRUE)</f>
        <v>Web Development</v>
      </c>
      <c r="H366" s="13" t="str">
        <f>VLOOKUP($A366,Table1[],12,TRUE)</f>
        <v>26</v>
      </c>
      <c r="I366" s="20">
        <v>100</v>
      </c>
      <c r="J366" s="15">
        <f>VLOOKUP($A366,Table1[],18,TRUE)</f>
        <v>2.1</v>
      </c>
      <c r="K366" s="12" t="str">
        <f>VLOOKUP($A366,Table1[],22,TRUE)</f>
        <v>TRUE</v>
      </c>
      <c r="L366" s="13">
        <f>VLOOKUP($A366,Table1[],25,TRUE)</f>
        <v>0.75</v>
      </c>
    </row>
    <row r="367" spans="1:12" x14ac:dyDescent="0.25">
      <c r="A367" t="s">
        <v>814</v>
      </c>
      <c r="B367" s="18" t="str">
        <f>VLOOKUP(A367,Table1[],3,TRUE)</f>
        <v>Jackie Allen</v>
      </c>
      <c r="C367" s="18" t="str">
        <f>VLOOKUP($A367,Table1[],5,TRUE)</f>
        <v>Female</v>
      </c>
      <c r="D367" s="3" t="str">
        <f>VLOOKUP($A367,Table1[],7,TRUE)</f>
        <v>40</v>
      </c>
      <c r="E367" s="3" t="str">
        <f>VLOOKUP($A367,Table1[],8,TRUE)</f>
        <v>South Korea</v>
      </c>
      <c r="F367" s="3" t="str">
        <f>VLOOKUP($A367,Table1[],9,TRUE)</f>
        <v>Korean</v>
      </c>
      <c r="G367" s="3" t="str">
        <f>VLOOKUP($A367,Table1[],10,TRUE)</f>
        <v>Blockchain Development</v>
      </c>
      <c r="H367" s="13" t="str">
        <f>VLOOKUP($A367,Table1[],12,TRUE)</f>
        <v>Unknown</v>
      </c>
      <c r="I367" s="20">
        <v>40</v>
      </c>
      <c r="J367" s="15">
        <f>VLOOKUP($A367,Table1[],18,TRUE)</f>
        <v>1.5</v>
      </c>
      <c r="K367" s="12" t="str">
        <f>VLOOKUP($A367,Table1[],22,TRUE)</f>
        <v>TRUE</v>
      </c>
      <c r="L367" s="13">
        <f>VLOOKUP($A367,Table1[],25,TRUE)</f>
        <v>0.96</v>
      </c>
    </row>
    <row r="368" spans="1:12" x14ac:dyDescent="0.25">
      <c r="A368" t="s">
        <v>816</v>
      </c>
      <c r="B368" s="18" t="str">
        <f>VLOOKUP(A368,Table1[],3,TRUE)</f>
        <v>Brandon Williams</v>
      </c>
      <c r="C368" s="18" t="str">
        <f>VLOOKUP($A368,Table1[],5,TRUE)</f>
        <v>Male</v>
      </c>
      <c r="D368" s="3" t="str">
        <f>VLOOKUP($A368,Table1[],7,TRUE)</f>
        <v>Unknown</v>
      </c>
      <c r="E368" s="3" t="str">
        <f>VLOOKUP($A368,Table1[],8,TRUE)</f>
        <v>China</v>
      </c>
      <c r="F368" s="3" t="str">
        <f>VLOOKUP($A368,Table1[],9,TRUE)</f>
        <v>Mandarin</v>
      </c>
      <c r="G368" s="3" t="str">
        <f>VLOOKUP($A368,Table1[],10,TRUE)</f>
        <v>AI</v>
      </c>
      <c r="H368" s="13" t="str">
        <f>VLOOKUP($A368,Table1[],12,TRUE)</f>
        <v>9</v>
      </c>
      <c r="I368" s="20">
        <v>40</v>
      </c>
      <c r="J368" s="15">
        <f>VLOOKUP($A368,Table1[],18,TRUE)</f>
        <v>1.7</v>
      </c>
      <c r="K368" s="12" t="str">
        <f>VLOOKUP($A368,Table1[],22,TRUE)</f>
        <v>TRUE</v>
      </c>
      <c r="L368" s="13">
        <f>VLOOKUP($A368,Table1[],25,TRUE)</f>
        <v>0.72</v>
      </c>
    </row>
    <row r="369" spans="1:12" x14ac:dyDescent="0.25">
      <c r="A369" t="s">
        <v>818</v>
      </c>
      <c r="B369" s="18" t="str">
        <f>VLOOKUP(A369,Table1[],3,TRUE)</f>
        <v>Manuel Torres</v>
      </c>
      <c r="C369" s="18" t="str">
        <f>VLOOKUP($A369,Table1[],5,TRUE)</f>
        <v>Male</v>
      </c>
      <c r="D369" s="3" t="str">
        <f>VLOOKUP($A369,Table1[],7,TRUE)</f>
        <v>31</v>
      </c>
      <c r="E369" s="3" t="str">
        <f>VLOOKUP($A369,Table1[],8,TRUE)</f>
        <v>Japan</v>
      </c>
      <c r="F369" s="3" t="str">
        <f>VLOOKUP($A369,Table1[],9,TRUE)</f>
        <v>Japanese</v>
      </c>
      <c r="G369" s="3" t="str">
        <f>VLOOKUP($A369,Table1[],10,TRUE)</f>
        <v>Data Analysis</v>
      </c>
      <c r="H369" s="13" t="str">
        <f>VLOOKUP($A369,Table1[],12,TRUE)</f>
        <v>11</v>
      </c>
      <c r="I369" s="20">
        <v>50</v>
      </c>
      <c r="J369" s="15">
        <f>VLOOKUP($A369,Table1[],18,TRUE)</f>
        <v>3.3</v>
      </c>
      <c r="K369" s="12" t="str">
        <f>VLOOKUP($A369,Table1[],22,TRUE)</f>
        <v>FALSE</v>
      </c>
      <c r="L369" s="13">
        <f>VLOOKUP($A369,Table1[],25,TRUE)</f>
        <v>0.75</v>
      </c>
    </row>
    <row r="370" spans="1:12" x14ac:dyDescent="0.25">
      <c r="A370" t="s">
        <v>820</v>
      </c>
      <c r="B370" s="18" t="str">
        <f>VLOOKUP(A370,Table1[],3,TRUE)</f>
        <v>Scott Keller</v>
      </c>
      <c r="C370" s="18" t="str">
        <f>VLOOKUP($A370,Table1[],5,TRUE)</f>
        <v>Male</v>
      </c>
      <c r="D370" s="3" t="str">
        <f>VLOOKUP($A370,Table1[],7,TRUE)</f>
        <v>33</v>
      </c>
      <c r="E370" s="3" t="str">
        <f>VLOOKUP($A370,Table1[],8,TRUE)</f>
        <v>South Korea</v>
      </c>
      <c r="F370" s="3" t="str">
        <f>VLOOKUP($A370,Table1[],9,TRUE)</f>
        <v>Korean</v>
      </c>
      <c r="G370" s="3" t="str">
        <f>VLOOKUP($A370,Table1[],10,TRUE)</f>
        <v>Machine Learning</v>
      </c>
      <c r="H370" s="13" t="str">
        <f>VLOOKUP($A370,Table1[],12,TRUE)</f>
        <v>Unknown</v>
      </c>
      <c r="I370" s="20">
        <v>40</v>
      </c>
      <c r="J370" s="15">
        <f>VLOOKUP($A370,Table1[],18,TRUE)</f>
        <v>4.3</v>
      </c>
      <c r="K370" s="12" t="str">
        <f>VLOOKUP($A370,Table1[],22,TRUE)</f>
        <v>TRUE</v>
      </c>
      <c r="L370" s="13">
        <f>VLOOKUP($A370,Table1[],25,TRUE)</f>
        <v>0.63</v>
      </c>
    </row>
    <row r="371" spans="1:12" x14ac:dyDescent="0.25">
      <c r="A371" t="s">
        <v>822</v>
      </c>
      <c r="B371" s="18" t="str">
        <f>VLOOKUP(A371,Table1[],3,TRUE)</f>
        <v>Deborah Brown</v>
      </c>
      <c r="C371" s="18" t="str">
        <f>VLOOKUP($A371,Table1[],5,TRUE)</f>
        <v>Female</v>
      </c>
      <c r="D371" s="3" t="str">
        <f>VLOOKUP($A371,Table1[],7,TRUE)</f>
        <v>31</v>
      </c>
      <c r="E371" s="3" t="str">
        <f>VLOOKUP($A371,Table1[],8,TRUE)</f>
        <v>Brazil</v>
      </c>
      <c r="F371" s="3" t="str">
        <f>VLOOKUP($A371,Table1[],9,TRUE)</f>
        <v>Portuguese</v>
      </c>
      <c r="G371" s="3" t="str">
        <f>VLOOKUP($A371,Table1[],10,TRUE)</f>
        <v>Machine Learning</v>
      </c>
      <c r="H371" s="13" t="str">
        <f>VLOOKUP($A371,Table1[],12,TRUE)</f>
        <v>3</v>
      </c>
      <c r="I371" s="20">
        <v>20</v>
      </c>
      <c r="J371" s="15">
        <f>VLOOKUP($A371,Table1[],18,TRUE)</f>
        <v>2.6</v>
      </c>
      <c r="K371" s="12" t="str">
        <f>VLOOKUP($A371,Table1[],22,TRUE)</f>
        <v>FALSE</v>
      </c>
      <c r="L371" s="13">
        <f>VLOOKUP($A371,Table1[],25,TRUE)</f>
        <v>0.75</v>
      </c>
    </row>
    <row r="372" spans="1:12" x14ac:dyDescent="0.25">
      <c r="A372" t="s">
        <v>824</v>
      </c>
      <c r="B372" s="18" t="str">
        <f>VLOOKUP(A372,Table1[],3,TRUE)</f>
        <v>Jennifer Lara</v>
      </c>
      <c r="C372" s="18" t="str">
        <f>VLOOKUP($A372,Table1[],5,TRUE)</f>
        <v>Female</v>
      </c>
      <c r="D372" s="3" t="str">
        <f>VLOOKUP($A372,Table1[],7,TRUE)</f>
        <v>49</v>
      </c>
      <c r="E372" s="3" t="str">
        <f>VLOOKUP($A372,Table1[],8,TRUE)</f>
        <v>Italy</v>
      </c>
      <c r="F372" s="3" t="str">
        <f>VLOOKUP($A372,Table1[],9,TRUE)</f>
        <v>Italian</v>
      </c>
      <c r="G372" s="3" t="str">
        <f>VLOOKUP($A372,Table1[],10,TRUE)</f>
        <v>Data Analysis</v>
      </c>
      <c r="H372" s="13" t="str">
        <f>VLOOKUP($A372,Table1[],12,TRUE)</f>
        <v>15</v>
      </c>
      <c r="I372" s="20">
        <v>75</v>
      </c>
      <c r="J372" s="15">
        <f>VLOOKUP($A372,Table1[],18,TRUE)</f>
        <v>2.6</v>
      </c>
      <c r="K372" s="12" t="str">
        <f>VLOOKUP($A372,Table1[],22,TRUE)</f>
        <v>FALSE</v>
      </c>
      <c r="L372" s="13">
        <f>VLOOKUP($A372,Table1[],25,TRUE)</f>
        <v>0.83</v>
      </c>
    </row>
    <row r="373" spans="1:12" x14ac:dyDescent="0.25">
      <c r="A373" t="s">
        <v>826</v>
      </c>
      <c r="B373" s="18" t="str">
        <f>VLOOKUP(A373,Table1[],3,TRUE)</f>
        <v>Jason Scott</v>
      </c>
      <c r="C373" s="18" t="str">
        <f>VLOOKUP($A373,Table1[],5,TRUE)</f>
        <v>Male</v>
      </c>
      <c r="D373" s="3" t="str">
        <f>VLOOKUP($A373,Table1[],7,TRUE)</f>
        <v>35</v>
      </c>
      <c r="E373" s="3" t="str">
        <f>VLOOKUP($A373,Table1[],8,TRUE)</f>
        <v>Mexico</v>
      </c>
      <c r="F373" s="3" t="str">
        <f>VLOOKUP($A373,Table1[],9,TRUE)</f>
        <v>Spanish</v>
      </c>
      <c r="G373" s="3" t="str">
        <f>VLOOKUP($A373,Table1[],10,TRUE)</f>
        <v>Graphic Design</v>
      </c>
      <c r="H373" s="13" t="str">
        <f>VLOOKUP($A373,Table1[],12,TRUE)</f>
        <v>12</v>
      </c>
      <c r="I373" s="20">
        <v>20</v>
      </c>
      <c r="J373" s="15">
        <f>VLOOKUP($A373,Table1[],18,TRUE)</f>
        <v>4.0999999999999996</v>
      </c>
      <c r="K373" s="12" t="str">
        <f>VLOOKUP($A373,Table1[],22,TRUE)</f>
        <v>TRUE</v>
      </c>
      <c r="L373" s="13">
        <f>VLOOKUP($A373,Table1[],25,TRUE)</f>
        <v>0.94</v>
      </c>
    </row>
    <row r="374" spans="1:12" x14ac:dyDescent="0.25">
      <c r="A374" t="s">
        <v>828</v>
      </c>
      <c r="B374" s="18" t="str">
        <f>VLOOKUP(A374,Table1[],3,TRUE)</f>
        <v>Gregory Garrison</v>
      </c>
      <c r="C374" s="18" t="str">
        <f>VLOOKUP($A374,Table1[],5,TRUE)</f>
        <v>Male</v>
      </c>
      <c r="D374" s="3" t="str">
        <f>VLOOKUP($A374,Table1[],7,TRUE)</f>
        <v>45</v>
      </c>
      <c r="E374" s="3" t="str">
        <f>VLOOKUP($A374,Table1[],8,TRUE)</f>
        <v>India</v>
      </c>
      <c r="F374" s="3" t="str">
        <f>VLOOKUP($A374,Table1[],9,TRUE)</f>
        <v>Hindi</v>
      </c>
      <c r="G374" s="3" t="str">
        <f>VLOOKUP($A374,Table1[],10,TRUE)</f>
        <v>Data Analysis</v>
      </c>
      <c r="H374" s="13" t="str">
        <f>VLOOKUP($A374,Table1[],12,TRUE)</f>
        <v>19</v>
      </c>
      <c r="I374" s="20">
        <v>40</v>
      </c>
      <c r="J374" s="15">
        <f>VLOOKUP($A374,Table1[],18,TRUE)</f>
        <v>2.2000000000000002</v>
      </c>
      <c r="K374" s="12" t="str">
        <f>VLOOKUP($A374,Table1[],22,TRUE)</f>
        <v>TRUE</v>
      </c>
      <c r="L374" s="13">
        <f>VLOOKUP($A374,Table1[],25,TRUE)</f>
        <v>0.78</v>
      </c>
    </row>
    <row r="375" spans="1:12" x14ac:dyDescent="0.25">
      <c r="A375" t="s">
        <v>830</v>
      </c>
      <c r="B375" s="18" t="str">
        <f>VLOOKUP(A375,Table1[],3,TRUE)</f>
        <v>Chelsea Anderson</v>
      </c>
      <c r="C375" s="18" t="str">
        <f>VLOOKUP($A375,Table1[],5,TRUE)</f>
        <v>Female</v>
      </c>
      <c r="D375" s="3" t="str">
        <f>VLOOKUP($A375,Table1[],7,TRUE)</f>
        <v>39</v>
      </c>
      <c r="E375" s="3" t="str">
        <f>VLOOKUP($A375,Table1[],8,TRUE)</f>
        <v>Netherlands</v>
      </c>
      <c r="F375" s="3" t="str">
        <f>VLOOKUP($A375,Table1[],9,TRUE)</f>
        <v>Dutch</v>
      </c>
      <c r="G375" s="3" t="str">
        <f>VLOOKUP($A375,Table1[],10,TRUE)</f>
        <v>Data Analysis</v>
      </c>
      <c r="H375" s="13" t="str">
        <f>VLOOKUP($A375,Table1[],12,TRUE)</f>
        <v>13</v>
      </c>
      <c r="I375" s="20">
        <v>30</v>
      </c>
      <c r="J375" s="15">
        <f>VLOOKUP($A375,Table1[],18,TRUE)</f>
        <v>1.1000000000000001</v>
      </c>
      <c r="K375" s="12" t="str">
        <f>VLOOKUP($A375,Table1[],22,TRUE)</f>
        <v>TRUE</v>
      </c>
      <c r="L375" s="13">
        <f>VLOOKUP($A375,Table1[],25,TRUE)</f>
        <v>0.75</v>
      </c>
    </row>
    <row r="376" spans="1:12" x14ac:dyDescent="0.25">
      <c r="A376" t="s">
        <v>832</v>
      </c>
      <c r="B376" s="18" t="str">
        <f>VLOOKUP(A376,Table1[],3,TRUE)</f>
        <v>Gerald Johnson</v>
      </c>
      <c r="C376" s="18" t="str">
        <f>VLOOKUP($A376,Table1[],5,TRUE)</f>
        <v>Male</v>
      </c>
      <c r="D376" s="3" t="str">
        <f>VLOOKUP($A376,Table1[],7,TRUE)</f>
        <v>Unknown</v>
      </c>
      <c r="E376" s="3" t="str">
        <f>VLOOKUP($A376,Table1[],8,TRUE)</f>
        <v>Argentina</v>
      </c>
      <c r="F376" s="3" t="str">
        <f>VLOOKUP($A376,Table1[],9,TRUE)</f>
        <v>Spanish</v>
      </c>
      <c r="G376" s="3" t="str">
        <f>VLOOKUP($A376,Table1[],10,TRUE)</f>
        <v>Blockchain Development</v>
      </c>
      <c r="H376" s="13" t="str">
        <f>VLOOKUP($A376,Table1[],12,TRUE)</f>
        <v>Unknown</v>
      </c>
      <c r="I376" s="20">
        <v>50</v>
      </c>
      <c r="J376" s="15">
        <f>VLOOKUP($A376,Table1[],18,TRUE)</f>
        <v>2.1</v>
      </c>
      <c r="K376" s="12" t="str">
        <f>VLOOKUP($A376,Table1[],22,TRUE)</f>
        <v>TRUE</v>
      </c>
      <c r="L376" s="13">
        <f>VLOOKUP($A376,Table1[],25,TRUE)</f>
        <v>0.82</v>
      </c>
    </row>
    <row r="377" spans="1:12" x14ac:dyDescent="0.25">
      <c r="A377" t="s">
        <v>834</v>
      </c>
      <c r="B377" s="18" t="str">
        <f>VLOOKUP(A377,Table1[],3,TRUE)</f>
        <v>Kevin Ellis</v>
      </c>
      <c r="C377" s="18" t="str">
        <f>VLOOKUP($A377,Table1[],5,TRUE)</f>
        <v>Male</v>
      </c>
      <c r="D377" s="3" t="str">
        <f>VLOOKUP($A377,Table1[],7,TRUE)</f>
        <v>24</v>
      </c>
      <c r="E377" s="3" t="str">
        <f>VLOOKUP($A377,Table1[],8,TRUE)</f>
        <v>Germany</v>
      </c>
      <c r="F377" s="3" t="str">
        <f>VLOOKUP($A377,Table1[],9,TRUE)</f>
        <v>German</v>
      </c>
      <c r="G377" s="3" t="str">
        <f>VLOOKUP($A377,Table1[],10,TRUE)</f>
        <v>Cybersecurity</v>
      </c>
      <c r="H377" s="13" t="str">
        <f>VLOOKUP($A377,Table1[],12,TRUE)</f>
        <v>3</v>
      </c>
      <c r="I377" s="20">
        <v>30</v>
      </c>
      <c r="J377" s="15">
        <f>VLOOKUP($A377,Table1[],18,TRUE)</f>
        <v>2.2999999999999998</v>
      </c>
      <c r="K377" s="12" t="str">
        <f>VLOOKUP($A377,Table1[],22,TRUE)</f>
        <v>TRUE</v>
      </c>
      <c r="L377" s="13">
        <f>VLOOKUP($A377,Table1[],25,TRUE)</f>
        <v>0.66</v>
      </c>
    </row>
    <row r="378" spans="1:12" x14ac:dyDescent="0.25">
      <c r="A378" t="s">
        <v>836</v>
      </c>
      <c r="B378" s="18" t="str">
        <f>VLOOKUP(A378,Table1[],3,TRUE)</f>
        <v>Mitchell Keller</v>
      </c>
      <c r="C378" s="18" t="str">
        <f>VLOOKUP($A378,Table1[],5,TRUE)</f>
        <v>Male</v>
      </c>
      <c r="D378" s="3" t="str">
        <f>VLOOKUP($A378,Table1[],7,TRUE)</f>
        <v>50</v>
      </c>
      <c r="E378" s="3" t="str">
        <f>VLOOKUP($A378,Table1[],8,TRUE)</f>
        <v>Australia</v>
      </c>
      <c r="F378" s="3" t="str">
        <f>VLOOKUP($A378,Table1[],9,TRUE)</f>
        <v>English</v>
      </c>
      <c r="G378" s="3" t="str">
        <f>VLOOKUP($A378,Table1[],10,TRUE)</f>
        <v>Graphic Design</v>
      </c>
      <c r="H378" s="13" t="str">
        <f>VLOOKUP($A378,Table1[],12,TRUE)</f>
        <v>26</v>
      </c>
      <c r="I378" s="20">
        <v>50</v>
      </c>
      <c r="J378" s="15">
        <f>VLOOKUP($A378,Table1[],18,TRUE)</f>
        <v>3.6</v>
      </c>
      <c r="K378" s="12" t="str">
        <f>VLOOKUP($A378,Table1[],22,TRUE)</f>
        <v>TRUE</v>
      </c>
      <c r="L378" s="13">
        <f>VLOOKUP($A378,Table1[],25,TRUE)</f>
        <v>0.82</v>
      </c>
    </row>
    <row r="379" spans="1:12" x14ac:dyDescent="0.25">
      <c r="A379" t="s">
        <v>838</v>
      </c>
      <c r="B379" s="18" t="str">
        <f>VLOOKUP(A379,Table1[],3,TRUE)</f>
        <v>Mary Brown</v>
      </c>
      <c r="C379" s="18" t="str">
        <f>VLOOKUP($A379,Table1[],5,TRUE)</f>
        <v>Female</v>
      </c>
      <c r="D379" s="3" t="str">
        <f>VLOOKUP($A379,Table1[],7,TRUE)</f>
        <v>23</v>
      </c>
      <c r="E379" s="3" t="str">
        <f>VLOOKUP($A379,Table1[],8,TRUE)</f>
        <v>Germany</v>
      </c>
      <c r="F379" s="3" t="str">
        <f>VLOOKUP($A379,Table1[],9,TRUE)</f>
        <v>German</v>
      </c>
      <c r="G379" s="3" t="str">
        <f>VLOOKUP($A379,Table1[],10,TRUE)</f>
        <v>Machine Learning</v>
      </c>
      <c r="H379" s="13" t="str">
        <f>VLOOKUP($A379,Table1[],12,TRUE)</f>
        <v>4</v>
      </c>
      <c r="I379" s="20">
        <v>20</v>
      </c>
      <c r="J379" s="15">
        <f>VLOOKUP($A379,Table1[],18,TRUE)</f>
        <v>4.7</v>
      </c>
      <c r="K379" s="12" t="str">
        <f>VLOOKUP($A379,Table1[],22,TRUE)</f>
        <v>TRUE</v>
      </c>
      <c r="L379" s="13">
        <f>VLOOKUP($A379,Table1[],25,TRUE)</f>
        <v>0.84</v>
      </c>
    </row>
    <row r="380" spans="1:12" x14ac:dyDescent="0.25">
      <c r="A380" t="s">
        <v>840</v>
      </c>
      <c r="B380" s="18" t="str">
        <f>VLOOKUP(A380,Table1[],3,TRUE)</f>
        <v>Ronald Walls</v>
      </c>
      <c r="C380" s="18" t="str">
        <f>VLOOKUP($A380,Table1[],5,TRUE)</f>
        <v>Male</v>
      </c>
      <c r="D380" s="3" t="str">
        <f>VLOOKUP($A380,Table1[],7,TRUE)</f>
        <v>27</v>
      </c>
      <c r="E380" s="3" t="str">
        <f>VLOOKUP($A380,Table1[],8,TRUE)</f>
        <v>Canada</v>
      </c>
      <c r="F380" s="3" t="str">
        <f>VLOOKUP($A380,Table1[],9,TRUE)</f>
        <v>English</v>
      </c>
      <c r="G380" s="3" t="str">
        <f>VLOOKUP($A380,Table1[],10,TRUE)</f>
        <v>Cybersecurity</v>
      </c>
      <c r="H380" s="13" t="str">
        <f>VLOOKUP($A380,Table1[],12,TRUE)</f>
        <v>8</v>
      </c>
      <c r="I380" s="20">
        <v>20</v>
      </c>
      <c r="J380" s="15">
        <f>VLOOKUP($A380,Table1[],18,TRUE)</f>
        <v>4.8</v>
      </c>
      <c r="K380" s="12" t="str">
        <f>VLOOKUP($A380,Table1[],22,TRUE)</f>
        <v>FALSE</v>
      </c>
      <c r="L380" s="13">
        <f>VLOOKUP($A380,Table1[],25,TRUE)</f>
        <v>0.81</v>
      </c>
    </row>
    <row r="381" spans="1:12" x14ac:dyDescent="0.25">
      <c r="A381" t="s">
        <v>842</v>
      </c>
      <c r="B381" s="18" t="str">
        <f>VLOOKUP(A381,Table1[],3,TRUE)</f>
        <v>Anthony Avila</v>
      </c>
      <c r="C381" s="18" t="str">
        <f>VLOOKUP($A381,Table1[],5,TRUE)</f>
        <v>Male</v>
      </c>
      <c r="D381" s="3" t="str">
        <f>VLOOKUP($A381,Table1[],7,TRUE)</f>
        <v>58</v>
      </c>
      <c r="E381" s="3" t="str">
        <f>VLOOKUP($A381,Table1[],8,TRUE)</f>
        <v>South Africa</v>
      </c>
      <c r="F381" s="3" t="str">
        <f>VLOOKUP($A381,Table1[],9,TRUE)</f>
        <v>Afrikaans</v>
      </c>
      <c r="G381" s="3" t="str">
        <f>VLOOKUP($A381,Table1[],10,TRUE)</f>
        <v>AI</v>
      </c>
      <c r="H381" s="13" t="str">
        <f>VLOOKUP($A381,Table1[],12,TRUE)</f>
        <v>10</v>
      </c>
      <c r="I381" s="20">
        <v>75</v>
      </c>
      <c r="J381" s="15">
        <f>VLOOKUP($A381,Table1[],18,TRUE)</f>
        <v>4.2</v>
      </c>
      <c r="K381" s="12" t="str">
        <f>VLOOKUP($A381,Table1[],22,TRUE)</f>
        <v>FALSE</v>
      </c>
      <c r="L381" s="13">
        <f>VLOOKUP($A381,Table1[],25,TRUE)</f>
        <v>0.71</v>
      </c>
    </row>
    <row r="382" spans="1:12" x14ac:dyDescent="0.25">
      <c r="A382" t="s">
        <v>844</v>
      </c>
      <c r="B382" s="18" t="str">
        <f>VLOOKUP(A382,Table1[],3,TRUE)</f>
        <v>Douglas Goodwin</v>
      </c>
      <c r="C382" s="18" t="str">
        <f>VLOOKUP($A382,Table1[],5,TRUE)</f>
        <v>Male</v>
      </c>
      <c r="D382" s="3" t="str">
        <f>VLOOKUP($A382,Table1[],7,TRUE)</f>
        <v>37</v>
      </c>
      <c r="E382" s="3" t="str">
        <f>VLOOKUP($A382,Table1[],8,TRUE)</f>
        <v>Italy</v>
      </c>
      <c r="F382" s="3" t="str">
        <f>VLOOKUP($A382,Table1[],9,TRUE)</f>
        <v>Italian</v>
      </c>
      <c r="G382" s="3" t="str">
        <f>VLOOKUP($A382,Table1[],10,TRUE)</f>
        <v>Machine Learning</v>
      </c>
      <c r="H382" s="13" t="str">
        <f>VLOOKUP($A382,Table1[],12,TRUE)</f>
        <v>5</v>
      </c>
      <c r="I382" s="20">
        <v>50</v>
      </c>
      <c r="J382" s="15">
        <f>VLOOKUP($A382,Table1[],18,TRUE)</f>
        <v>4.8</v>
      </c>
      <c r="K382" s="12" t="str">
        <f>VLOOKUP($A382,Table1[],22,TRUE)</f>
        <v>TRUE</v>
      </c>
      <c r="L382" s="13">
        <f>VLOOKUP($A382,Table1[],25,TRUE)</f>
        <v>0.61</v>
      </c>
    </row>
    <row r="383" spans="1:12" x14ac:dyDescent="0.25">
      <c r="A383" t="s">
        <v>846</v>
      </c>
      <c r="B383" s="18" t="str">
        <f>VLOOKUP(A383,Table1[],3,TRUE)</f>
        <v>James Mills</v>
      </c>
      <c r="C383" s="18" t="str">
        <f>VLOOKUP($A383,Table1[],5,TRUE)</f>
        <v>Male</v>
      </c>
      <c r="D383" s="3" t="str">
        <f>VLOOKUP($A383,Table1[],7,TRUE)</f>
        <v>39</v>
      </c>
      <c r="E383" s="3" t="str">
        <f>VLOOKUP($A383,Table1[],8,TRUE)</f>
        <v>Spain</v>
      </c>
      <c r="F383" s="3" t="str">
        <f>VLOOKUP($A383,Table1[],9,TRUE)</f>
        <v>Spanish</v>
      </c>
      <c r="G383" s="3" t="str">
        <f>VLOOKUP($A383,Table1[],10,TRUE)</f>
        <v>Blockchain Development</v>
      </c>
      <c r="H383" s="13" t="str">
        <f>VLOOKUP($A383,Table1[],12,TRUE)</f>
        <v>18</v>
      </c>
      <c r="I383" s="20">
        <v>75</v>
      </c>
      <c r="J383" s="15">
        <f>VLOOKUP($A383,Table1[],18,TRUE)</f>
        <v>4</v>
      </c>
      <c r="K383" s="12" t="str">
        <f>VLOOKUP($A383,Table1[],22,TRUE)</f>
        <v>TRUE</v>
      </c>
      <c r="L383" s="13">
        <f>VLOOKUP($A383,Table1[],25,TRUE)</f>
        <v>0.66</v>
      </c>
    </row>
    <row r="384" spans="1:12" x14ac:dyDescent="0.25">
      <c r="A384" t="s">
        <v>848</v>
      </c>
      <c r="B384" s="18" t="str">
        <f>VLOOKUP(A384,Table1[],3,TRUE)</f>
        <v>Nicole Marks</v>
      </c>
      <c r="C384" s="18" t="str">
        <f>VLOOKUP($A384,Table1[],5,TRUE)</f>
        <v>Female</v>
      </c>
      <c r="D384" s="3" t="str">
        <f>VLOOKUP($A384,Table1[],7,TRUE)</f>
        <v>46</v>
      </c>
      <c r="E384" s="3" t="str">
        <f>VLOOKUP($A384,Table1[],8,TRUE)</f>
        <v>Egypt</v>
      </c>
      <c r="F384" s="3" t="str">
        <f>VLOOKUP($A384,Table1[],9,TRUE)</f>
        <v>Arabic</v>
      </c>
      <c r="G384" s="3" t="str">
        <f>VLOOKUP($A384,Table1[],10,TRUE)</f>
        <v>Data Analysis</v>
      </c>
      <c r="H384" s="13" t="str">
        <f>VLOOKUP($A384,Table1[],12,TRUE)</f>
        <v>10</v>
      </c>
      <c r="I384" s="20">
        <v>20</v>
      </c>
      <c r="J384" s="15">
        <f>VLOOKUP($A384,Table1[],18,TRUE)</f>
        <v>2.5</v>
      </c>
      <c r="K384" s="12" t="str">
        <f>VLOOKUP($A384,Table1[],22,TRUE)</f>
        <v>TRUE</v>
      </c>
      <c r="L384" s="13">
        <f>VLOOKUP($A384,Table1[],25,TRUE)</f>
        <v>0.97</v>
      </c>
    </row>
    <row r="385" spans="1:12" x14ac:dyDescent="0.25">
      <c r="A385" t="s">
        <v>850</v>
      </c>
      <c r="B385" s="18" t="str">
        <f>VLOOKUP(A385,Table1[],3,TRUE)</f>
        <v>Phyllis Dawson</v>
      </c>
      <c r="C385" s="18" t="str">
        <f>VLOOKUP($A385,Table1[],5,TRUE)</f>
        <v>Female</v>
      </c>
      <c r="D385" s="3" t="str">
        <f>VLOOKUP($A385,Table1[],7,TRUE)</f>
        <v>Unknown</v>
      </c>
      <c r="E385" s="3" t="str">
        <f>VLOOKUP($A385,Table1[],8,TRUE)</f>
        <v>United Kingdom</v>
      </c>
      <c r="F385" s="3" t="str">
        <f>VLOOKUP($A385,Table1[],9,TRUE)</f>
        <v>English</v>
      </c>
      <c r="G385" s="3" t="str">
        <f>VLOOKUP($A385,Table1[],10,TRUE)</f>
        <v>UI/UX Design</v>
      </c>
      <c r="H385" s="13" t="str">
        <f>VLOOKUP($A385,Table1[],12,TRUE)</f>
        <v>0</v>
      </c>
      <c r="I385" s="20">
        <v>20</v>
      </c>
      <c r="J385" s="15">
        <f>VLOOKUP($A385,Table1[],18,TRUE)</f>
        <v>4.8</v>
      </c>
      <c r="K385" s="12" t="str">
        <f>VLOOKUP($A385,Table1[],22,TRUE)</f>
        <v>FALSE</v>
      </c>
      <c r="L385" s="13">
        <f>VLOOKUP($A385,Table1[],25,TRUE)</f>
        <v>0.74</v>
      </c>
    </row>
    <row r="386" spans="1:12" x14ac:dyDescent="0.25">
      <c r="A386" t="s">
        <v>852</v>
      </c>
      <c r="B386" s="18" t="str">
        <f>VLOOKUP(A386,Table1[],3,TRUE)</f>
        <v>Renee Arnold</v>
      </c>
      <c r="C386" s="18" t="str">
        <f>VLOOKUP($A386,Table1[],5,TRUE)</f>
        <v>Female</v>
      </c>
      <c r="D386" s="3" t="str">
        <f>VLOOKUP($A386,Table1[],7,TRUE)</f>
        <v>39</v>
      </c>
      <c r="E386" s="3" t="str">
        <f>VLOOKUP($A386,Table1[],8,TRUE)</f>
        <v>Mexico</v>
      </c>
      <c r="F386" s="3" t="str">
        <f>VLOOKUP($A386,Table1[],9,TRUE)</f>
        <v>Spanish</v>
      </c>
      <c r="G386" s="3" t="str">
        <f>VLOOKUP($A386,Table1[],10,TRUE)</f>
        <v>Blockchain Development</v>
      </c>
      <c r="H386" s="13" t="str">
        <f>VLOOKUP($A386,Table1[],12,TRUE)</f>
        <v>21</v>
      </c>
      <c r="I386" s="20">
        <v>30</v>
      </c>
      <c r="J386" s="15">
        <f>VLOOKUP($A386,Table1[],18,TRUE)</f>
        <v>4.7</v>
      </c>
      <c r="K386" s="12" t="str">
        <f>VLOOKUP($A386,Table1[],22,TRUE)</f>
        <v>TRUE</v>
      </c>
      <c r="L386" s="13">
        <f>VLOOKUP($A386,Table1[],25,TRUE)</f>
        <v>0.61</v>
      </c>
    </row>
    <row r="387" spans="1:12" x14ac:dyDescent="0.25">
      <c r="A387" t="s">
        <v>854</v>
      </c>
      <c r="B387" s="18" t="str">
        <f>VLOOKUP(A387,Table1[],3,TRUE)</f>
        <v>Eric Robinson</v>
      </c>
      <c r="C387" s="18" t="str">
        <f>VLOOKUP($A387,Table1[],5,TRUE)</f>
        <v>Male</v>
      </c>
      <c r="D387" s="3" t="str">
        <f>VLOOKUP($A387,Table1[],7,TRUE)</f>
        <v>59</v>
      </c>
      <c r="E387" s="3" t="str">
        <f>VLOOKUP($A387,Table1[],8,TRUE)</f>
        <v>Egypt</v>
      </c>
      <c r="F387" s="3" t="str">
        <f>VLOOKUP($A387,Table1[],9,TRUE)</f>
        <v>Arabic</v>
      </c>
      <c r="G387" s="3" t="str">
        <f>VLOOKUP($A387,Table1[],10,TRUE)</f>
        <v>Blockchain Development</v>
      </c>
      <c r="H387" s="13" t="str">
        <f>VLOOKUP($A387,Table1[],12,TRUE)</f>
        <v>25</v>
      </c>
      <c r="I387" s="20">
        <v>20</v>
      </c>
      <c r="J387" s="15">
        <f>VLOOKUP($A387,Table1[],18,TRUE)</f>
        <v>4</v>
      </c>
      <c r="K387" s="12" t="str">
        <f>VLOOKUP($A387,Table1[],22,TRUE)</f>
        <v>FALSE</v>
      </c>
      <c r="L387" s="13">
        <f>VLOOKUP($A387,Table1[],25,TRUE)</f>
        <v>0.9</v>
      </c>
    </row>
    <row r="388" spans="1:12" x14ac:dyDescent="0.25">
      <c r="A388" t="s">
        <v>856</v>
      </c>
      <c r="B388" s="18" t="str">
        <f>VLOOKUP(A388,Table1[],3,TRUE)</f>
        <v>Paul Brown</v>
      </c>
      <c r="C388" s="18" t="str">
        <f>VLOOKUP($A388,Table1[],5,TRUE)</f>
        <v>Male</v>
      </c>
      <c r="D388" s="3" t="str">
        <f>VLOOKUP($A388,Table1[],7,TRUE)</f>
        <v>21</v>
      </c>
      <c r="E388" s="3" t="str">
        <f>VLOOKUP($A388,Table1[],8,TRUE)</f>
        <v>Netherlands</v>
      </c>
      <c r="F388" s="3" t="str">
        <f>VLOOKUP($A388,Table1[],9,TRUE)</f>
        <v>Dutch</v>
      </c>
      <c r="G388" s="3" t="str">
        <f>VLOOKUP($A388,Table1[],10,TRUE)</f>
        <v>DevOps</v>
      </c>
      <c r="H388" s="13" t="str">
        <f>VLOOKUP($A388,Table1[],12,TRUE)</f>
        <v>0</v>
      </c>
      <c r="I388" s="20">
        <v>40</v>
      </c>
      <c r="J388" s="15">
        <f>VLOOKUP($A388,Table1[],18,TRUE)</f>
        <v>4.0999999999999996</v>
      </c>
      <c r="K388" s="12" t="str">
        <f>VLOOKUP($A388,Table1[],22,TRUE)</f>
        <v>TRUE</v>
      </c>
      <c r="L388" s="13">
        <f>VLOOKUP($A388,Table1[],25,TRUE)</f>
        <v>0.97</v>
      </c>
    </row>
    <row r="389" spans="1:12" x14ac:dyDescent="0.25">
      <c r="A389" t="s">
        <v>858</v>
      </c>
      <c r="B389" s="18" t="str">
        <f>VLOOKUP(A389,Table1[],3,TRUE)</f>
        <v>Sarah Proctor</v>
      </c>
      <c r="C389" s="18" t="str">
        <f>VLOOKUP($A389,Table1[],5,TRUE)</f>
        <v>Female</v>
      </c>
      <c r="D389" s="3" t="str">
        <f>VLOOKUP($A389,Table1[],7,TRUE)</f>
        <v>23</v>
      </c>
      <c r="E389" s="3" t="str">
        <f>VLOOKUP($A389,Table1[],8,TRUE)</f>
        <v>Canada</v>
      </c>
      <c r="F389" s="3" t="str">
        <f>VLOOKUP($A389,Table1[],9,TRUE)</f>
        <v>English</v>
      </c>
      <c r="G389" s="3" t="str">
        <f>VLOOKUP($A389,Table1[],10,TRUE)</f>
        <v>DevOps</v>
      </c>
      <c r="H389" s="13" t="str">
        <f>VLOOKUP($A389,Table1[],12,TRUE)</f>
        <v>5</v>
      </c>
      <c r="I389" s="20">
        <v>100</v>
      </c>
      <c r="J389" s="15">
        <f>VLOOKUP($A389,Table1[],18,TRUE)</f>
        <v>3.2</v>
      </c>
      <c r="K389" s="12" t="str">
        <f>VLOOKUP($A389,Table1[],22,TRUE)</f>
        <v>TRUE</v>
      </c>
      <c r="L389" s="13">
        <f>VLOOKUP($A389,Table1[],25,TRUE)</f>
        <v>0.75</v>
      </c>
    </row>
    <row r="390" spans="1:12" x14ac:dyDescent="0.25">
      <c r="A390" t="s">
        <v>860</v>
      </c>
      <c r="B390" s="18" t="str">
        <f>VLOOKUP(A390,Table1[],3,TRUE)</f>
        <v>Matthew Hicks</v>
      </c>
      <c r="C390" s="18" t="str">
        <f>VLOOKUP($A390,Table1[],5,TRUE)</f>
        <v>Male</v>
      </c>
      <c r="D390" s="3" t="str">
        <f>VLOOKUP($A390,Table1[],7,TRUE)</f>
        <v>27</v>
      </c>
      <c r="E390" s="3" t="str">
        <f>VLOOKUP($A390,Table1[],8,TRUE)</f>
        <v>Egypt</v>
      </c>
      <c r="F390" s="3" t="str">
        <f>VLOOKUP($A390,Table1[],9,TRUE)</f>
        <v>Arabic</v>
      </c>
      <c r="G390" s="3" t="str">
        <f>VLOOKUP($A390,Table1[],10,TRUE)</f>
        <v>Web Development</v>
      </c>
      <c r="H390" s="13" t="str">
        <f>VLOOKUP($A390,Table1[],12,TRUE)</f>
        <v>1</v>
      </c>
      <c r="I390" s="20">
        <v>20</v>
      </c>
      <c r="J390" s="15">
        <f>VLOOKUP($A390,Table1[],18,TRUE)</f>
        <v>4.3</v>
      </c>
      <c r="K390" s="12" t="str">
        <f>VLOOKUP($A390,Table1[],22,TRUE)</f>
        <v>FALSE</v>
      </c>
      <c r="L390" s="13">
        <f>VLOOKUP($A390,Table1[],25,TRUE)</f>
        <v>0.76</v>
      </c>
    </row>
    <row r="391" spans="1:12" x14ac:dyDescent="0.25">
      <c r="A391" t="s">
        <v>862</v>
      </c>
      <c r="B391" s="18" t="str">
        <f>VLOOKUP(A391,Table1[],3,TRUE)</f>
        <v>Christopher Black</v>
      </c>
      <c r="C391" s="18" t="str">
        <f>VLOOKUP($A391,Table1[],5,TRUE)</f>
        <v>Male</v>
      </c>
      <c r="D391" s="3" t="str">
        <f>VLOOKUP($A391,Table1[],7,TRUE)</f>
        <v>27</v>
      </c>
      <c r="E391" s="3" t="str">
        <f>VLOOKUP($A391,Table1[],8,TRUE)</f>
        <v>China</v>
      </c>
      <c r="F391" s="3" t="str">
        <f>VLOOKUP($A391,Table1[],9,TRUE)</f>
        <v>Mandarin</v>
      </c>
      <c r="G391" s="3" t="str">
        <f>VLOOKUP($A391,Table1[],10,TRUE)</f>
        <v>Cybersecurity</v>
      </c>
      <c r="H391" s="13" t="str">
        <f>VLOOKUP($A391,Table1[],12,TRUE)</f>
        <v>4</v>
      </c>
      <c r="I391" s="20">
        <v>40</v>
      </c>
      <c r="J391" s="15">
        <f>VLOOKUP($A391,Table1[],18,TRUE)</f>
        <v>4.4000000000000004</v>
      </c>
      <c r="K391" s="12" t="str">
        <f>VLOOKUP($A391,Table1[],22,TRUE)</f>
        <v>FALSE</v>
      </c>
      <c r="L391" s="13">
        <f>VLOOKUP($A391,Table1[],25,TRUE)</f>
        <v>0.92</v>
      </c>
    </row>
    <row r="392" spans="1:12" x14ac:dyDescent="0.25">
      <c r="A392" t="s">
        <v>864</v>
      </c>
      <c r="B392" s="18" t="str">
        <f>VLOOKUP(A392,Table1[],3,TRUE)</f>
        <v>Joanne Reyes</v>
      </c>
      <c r="C392" s="18" t="str">
        <f>VLOOKUP($A392,Table1[],5,TRUE)</f>
        <v>Female</v>
      </c>
      <c r="D392" s="3" t="str">
        <f>VLOOKUP($A392,Table1[],7,TRUE)</f>
        <v>48</v>
      </c>
      <c r="E392" s="3" t="str">
        <f>VLOOKUP($A392,Table1[],8,TRUE)</f>
        <v>South Africa</v>
      </c>
      <c r="F392" s="3" t="str">
        <f>VLOOKUP($A392,Table1[],9,TRUE)</f>
        <v>Afrikaans</v>
      </c>
      <c r="G392" s="3" t="str">
        <f>VLOOKUP($A392,Table1[],10,TRUE)</f>
        <v>Data Analysis</v>
      </c>
      <c r="H392" s="13" t="str">
        <f>VLOOKUP($A392,Table1[],12,TRUE)</f>
        <v>21</v>
      </c>
      <c r="I392" s="20">
        <v>40</v>
      </c>
      <c r="J392" s="15">
        <f>VLOOKUP($A392,Table1[],18,TRUE)</f>
        <v>2.2999999999999998</v>
      </c>
      <c r="K392" s="12" t="str">
        <f>VLOOKUP($A392,Table1[],22,TRUE)</f>
        <v>FALSE</v>
      </c>
      <c r="L392" s="13">
        <f>VLOOKUP($A392,Table1[],25,TRUE)</f>
        <v>0.75</v>
      </c>
    </row>
    <row r="393" spans="1:12" x14ac:dyDescent="0.25">
      <c r="A393" t="s">
        <v>866</v>
      </c>
      <c r="B393" s="18" t="str">
        <f>VLOOKUP(A393,Table1[],3,TRUE)</f>
        <v>Isaac Gray</v>
      </c>
      <c r="C393" s="18" t="str">
        <f>VLOOKUP($A393,Table1[],5,TRUE)</f>
        <v>Male</v>
      </c>
      <c r="D393" s="3" t="str">
        <f>VLOOKUP($A393,Table1[],7,TRUE)</f>
        <v>21</v>
      </c>
      <c r="E393" s="3" t="str">
        <f>VLOOKUP($A393,Table1[],8,TRUE)</f>
        <v>South Africa</v>
      </c>
      <c r="F393" s="3" t="str">
        <f>VLOOKUP($A393,Table1[],9,TRUE)</f>
        <v>Afrikaans</v>
      </c>
      <c r="G393" s="3" t="str">
        <f>VLOOKUP($A393,Table1[],10,TRUE)</f>
        <v>AI</v>
      </c>
      <c r="H393" s="13" t="str">
        <f>VLOOKUP($A393,Table1[],12,TRUE)</f>
        <v>1</v>
      </c>
      <c r="I393" s="20">
        <v>20</v>
      </c>
      <c r="J393" s="15">
        <f>VLOOKUP($A393,Table1[],18,TRUE)</f>
        <v>2.4</v>
      </c>
      <c r="K393" s="12" t="str">
        <f>VLOOKUP($A393,Table1[],22,TRUE)</f>
        <v>TRUE</v>
      </c>
      <c r="L393" s="13">
        <f>VLOOKUP($A393,Table1[],25,TRUE)</f>
        <v>0.66</v>
      </c>
    </row>
    <row r="394" spans="1:12" x14ac:dyDescent="0.25">
      <c r="A394" t="s">
        <v>868</v>
      </c>
      <c r="B394" s="18" t="str">
        <f>VLOOKUP(A394,Table1[],3,TRUE)</f>
        <v>Joshua Roberts</v>
      </c>
      <c r="C394" s="18" t="str">
        <f>VLOOKUP($A394,Table1[],5,TRUE)</f>
        <v>Male</v>
      </c>
      <c r="D394" s="3" t="str">
        <f>VLOOKUP($A394,Table1[],7,TRUE)</f>
        <v>37</v>
      </c>
      <c r="E394" s="3" t="str">
        <f>VLOOKUP($A394,Table1[],8,TRUE)</f>
        <v>Italy</v>
      </c>
      <c r="F394" s="3" t="str">
        <f>VLOOKUP($A394,Table1[],9,TRUE)</f>
        <v>Italian</v>
      </c>
      <c r="G394" s="3" t="str">
        <f>VLOOKUP($A394,Table1[],10,TRUE)</f>
        <v>DevOps</v>
      </c>
      <c r="H394" s="13" t="str">
        <f>VLOOKUP($A394,Table1[],12,TRUE)</f>
        <v>Unknown</v>
      </c>
      <c r="I394" s="20">
        <v>50</v>
      </c>
      <c r="J394" s="15">
        <f>VLOOKUP($A394,Table1[],18,TRUE)</f>
        <v>4.5999999999999996</v>
      </c>
      <c r="K394" s="12" t="str">
        <f>VLOOKUP($A394,Table1[],22,TRUE)</f>
        <v>FALSE</v>
      </c>
      <c r="L394" s="13">
        <f>VLOOKUP($A394,Table1[],25,TRUE)</f>
        <v>0.83</v>
      </c>
    </row>
    <row r="395" spans="1:12" x14ac:dyDescent="0.25">
      <c r="A395" t="s">
        <v>870</v>
      </c>
      <c r="B395" s="18" t="str">
        <f>VLOOKUP(A395,Table1[],3,TRUE)</f>
        <v>Elizabeth Estrada</v>
      </c>
      <c r="C395" s="18" t="str">
        <f>VLOOKUP($A395,Table1[],5,TRUE)</f>
        <v>Female</v>
      </c>
      <c r="D395" s="3" t="str">
        <f>VLOOKUP($A395,Table1[],7,TRUE)</f>
        <v>31</v>
      </c>
      <c r="E395" s="3" t="str">
        <f>VLOOKUP($A395,Table1[],8,TRUE)</f>
        <v>Germany</v>
      </c>
      <c r="F395" s="3" t="str">
        <f>VLOOKUP($A395,Table1[],9,TRUE)</f>
        <v>German</v>
      </c>
      <c r="G395" s="3" t="str">
        <f>VLOOKUP($A395,Table1[],10,TRUE)</f>
        <v>UI/UX Design</v>
      </c>
      <c r="H395" s="13" t="str">
        <f>VLOOKUP($A395,Table1[],12,TRUE)</f>
        <v>10</v>
      </c>
      <c r="I395" s="20">
        <v>50</v>
      </c>
      <c r="J395" s="15">
        <f>VLOOKUP($A395,Table1[],18,TRUE)</f>
        <v>0</v>
      </c>
      <c r="K395" s="12" t="str">
        <f>VLOOKUP($A395,Table1[],22,TRUE)</f>
        <v>FALSE</v>
      </c>
      <c r="L395" s="13">
        <f>VLOOKUP($A395,Table1[],25,TRUE)</f>
        <v>0.75</v>
      </c>
    </row>
    <row r="396" spans="1:12" x14ac:dyDescent="0.25">
      <c r="A396" t="s">
        <v>872</v>
      </c>
      <c r="B396" s="18" t="str">
        <f>VLOOKUP(A396,Table1[],3,TRUE)</f>
        <v>Lori Malone</v>
      </c>
      <c r="C396" s="18" t="str">
        <f>VLOOKUP($A396,Table1[],5,TRUE)</f>
        <v>Female</v>
      </c>
      <c r="D396" s="3" t="str">
        <f>VLOOKUP($A396,Table1[],7,TRUE)</f>
        <v>41</v>
      </c>
      <c r="E396" s="3" t="str">
        <f>VLOOKUP($A396,Table1[],8,TRUE)</f>
        <v>Egypt</v>
      </c>
      <c r="F396" s="3" t="str">
        <f>VLOOKUP($A396,Table1[],9,TRUE)</f>
        <v>Arabic</v>
      </c>
      <c r="G396" s="3" t="str">
        <f>VLOOKUP($A396,Table1[],10,TRUE)</f>
        <v>Blockchain Development</v>
      </c>
      <c r="H396" s="13" t="str">
        <f>VLOOKUP($A396,Table1[],12,TRUE)</f>
        <v>21</v>
      </c>
      <c r="I396" s="20">
        <v>50</v>
      </c>
      <c r="J396" s="15">
        <f>VLOOKUP($A396,Table1[],18,TRUE)</f>
        <v>0</v>
      </c>
      <c r="K396" s="12" t="str">
        <f>VLOOKUP($A396,Table1[],22,TRUE)</f>
        <v>TRUE</v>
      </c>
      <c r="L396" s="13">
        <f>VLOOKUP($A396,Table1[],25,TRUE)</f>
        <v>0.75</v>
      </c>
    </row>
    <row r="397" spans="1:12" x14ac:dyDescent="0.25">
      <c r="A397" t="s">
        <v>874</v>
      </c>
      <c r="B397" s="18" t="str">
        <f>VLOOKUP(A397,Table1[],3,TRUE)</f>
        <v>Anthony Huynh Md</v>
      </c>
      <c r="C397" s="18" t="str">
        <f>VLOOKUP($A397,Table1[],5,TRUE)</f>
        <v>Male</v>
      </c>
      <c r="D397" s="3" t="str">
        <f>VLOOKUP($A397,Table1[],7,TRUE)</f>
        <v>31</v>
      </c>
      <c r="E397" s="3" t="str">
        <f>VLOOKUP($A397,Table1[],8,TRUE)</f>
        <v>Russia</v>
      </c>
      <c r="F397" s="3" t="str">
        <f>VLOOKUP($A397,Table1[],9,TRUE)</f>
        <v>Russian</v>
      </c>
      <c r="G397" s="3" t="str">
        <f>VLOOKUP($A397,Table1[],10,TRUE)</f>
        <v>Cybersecurity</v>
      </c>
      <c r="H397" s="13" t="str">
        <f>VLOOKUP($A397,Table1[],12,TRUE)</f>
        <v>0</v>
      </c>
      <c r="I397" s="20">
        <v>20</v>
      </c>
      <c r="J397" s="15">
        <f>VLOOKUP($A397,Table1[],18,TRUE)</f>
        <v>4.2</v>
      </c>
      <c r="K397" s="12" t="str">
        <f>VLOOKUP($A397,Table1[],22,TRUE)</f>
        <v>TRUE</v>
      </c>
      <c r="L397" s="13">
        <f>VLOOKUP($A397,Table1[],25,TRUE)</f>
        <v>0.82</v>
      </c>
    </row>
    <row r="398" spans="1:12" x14ac:dyDescent="0.25">
      <c r="A398" t="s">
        <v>876</v>
      </c>
      <c r="B398" s="18" t="str">
        <f>VLOOKUP(A398,Table1[],3,TRUE)</f>
        <v>Mindy York</v>
      </c>
      <c r="C398" s="18" t="str">
        <f>VLOOKUP($A398,Table1[],5,TRUE)</f>
        <v>Female</v>
      </c>
      <c r="D398" s="3" t="str">
        <f>VLOOKUP($A398,Table1[],7,TRUE)</f>
        <v>58</v>
      </c>
      <c r="E398" s="3" t="str">
        <f>VLOOKUP($A398,Table1[],8,TRUE)</f>
        <v>Argentina</v>
      </c>
      <c r="F398" s="3" t="str">
        <f>VLOOKUP($A398,Table1[],9,TRUE)</f>
        <v>Spanish</v>
      </c>
      <c r="G398" s="3" t="str">
        <f>VLOOKUP($A398,Table1[],10,TRUE)</f>
        <v>Data Analysis</v>
      </c>
      <c r="H398" s="13" t="str">
        <f>VLOOKUP($A398,Table1[],12,TRUE)</f>
        <v>0</v>
      </c>
      <c r="I398" s="20">
        <v>50</v>
      </c>
      <c r="J398" s="15">
        <f>VLOOKUP($A398,Table1[],18,TRUE)</f>
        <v>2.2999999999999998</v>
      </c>
      <c r="K398" s="12" t="str">
        <f>VLOOKUP($A398,Table1[],22,TRUE)</f>
        <v>FALSE</v>
      </c>
      <c r="L398" s="13">
        <f>VLOOKUP($A398,Table1[],25,TRUE)</f>
        <v>0.77</v>
      </c>
    </row>
    <row r="399" spans="1:12" x14ac:dyDescent="0.25">
      <c r="A399" t="s">
        <v>878</v>
      </c>
      <c r="B399" s="18" t="str">
        <f>VLOOKUP(A399,Table1[],3,TRUE)</f>
        <v>Christine Cherry</v>
      </c>
      <c r="C399" s="18" t="str">
        <f>VLOOKUP($A399,Table1[],5,TRUE)</f>
        <v>Female</v>
      </c>
      <c r="D399" s="3" t="str">
        <f>VLOOKUP($A399,Table1[],7,TRUE)</f>
        <v>45</v>
      </c>
      <c r="E399" s="3" t="str">
        <f>VLOOKUP($A399,Table1[],8,TRUE)</f>
        <v>Netherlands</v>
      </c>
      <c r="F399" s="3" t="str">
        <f>VLOOKUP($A399,Table1[],9,TRUE)</f>
        <v>Dutch</v>
      </c>
      <c r="G399" s="3" t="str">
        <f>VLOOKUP($A399,Table1[],10,TRUE)</f>
        <v>Data Analysis</v>
      </c>
      <c r="H399" s="13" t="str">
        <f>VLOOKUP($A399,Table1[],12,TRUE)</f>
        <v>17</v>
      </c>
      <c r="I399" s="20">
        <v>50</v>
      </c>
      <c r="J399" s="15">
        <f>VLOOKUP($A399,Table1[],18,TRUE)</f>
        <v>4.7</v>
      </c>
      <c r="K399" s="12" t="str">
        <f>VLOOKUP($A399,Table1[],22,TRUE)</f>
        <v>TRUE</v>
      </c>
      <c r="L399" s="13">
        <f>VLOOKUP($A399,Table1[],25,TRUE)</f>
        <v>0.73</v>
      </c>
    </row>
    <row r="400" spans="1:12" x14ac:dyDescent="0.25">
      <c r="A400" t="s">
        <v>880</v>
      </c>
      <c r="B400" s="18" t="str">
        <f>VLOOKUP(A400,Table1[],3,TRUE)</f>
        <v>Daniel Foster</v>
      </c>
      <c r="C400" s="18" t="str">
        <f>VLOOKUP($A400,Table1[],5,TRUE)</f>
        <v>Male</v>
      </c>
      <c r="D400" s="3" t="str">
        <f>VLOOKUP($A400,Table1[],7,TRUE)</f>
        <v>51</v>
      </c>
      <c r="E400" s="3" t="str">
        <f>VLOOKUP($A400,Table1[],8,TRUE)</f>
        <v>South Korea</v>
      </c>
      <c r="F400" s="3" t="str">
        <f>VLOOKUP($A400,Table1[],9,TRUE)</f>
        <v>Korean</v>
      </c>
      <c r="G400" s="3" t="str">
        <f>VLOOKUP($A400,Table1[],10,TRUE)</f>
        <v>Cybersecurity</v>
      </c>
      <c r="H400" s="13" t="str">
        <f>VLOOKUP($A400,Table1[],12,TRUE)</f>
        <v>5</v>
      </c>
      <c r="I400" s="20">
        <v>50</v>
      </c>
      <c r="J400" s="15">
        <f>VLOOKUP($A400,Table1[],18,TRUE)</f>
        <v>3</v>
      </c>
      <c r="K400" s="12" t="str">
        <f>VLOOKUP($A400,Table1[],22,TRUE)</f>
        <v>TRUE</v>
      </c>
      <c r="L400" s="13">
        <f>VLOOKUP($A400,Table1[],25,TRUE)</f>
        <v>0.88</v>
      </c>
    </row>
    <row r="401" spans="1:12" x14ac:dyDescent="0.25">
      <c r="A401" t="s">
        <v>882</v>
      </c>
      <c r="B401" s="18" t="str">
        <f>VLOOKUP(A401,Table1[],3,TRUE)</f>
        <v>David Valencia</v>
      </c>
      <c r="C401" s="18" t="str">
        <f>VLOOKUP($A401,Table1[],5,TRUE)</f>
        <v>Male</v>
      </c>
      <c r="D401" s="3" t="str">
        <f>VLOOKUP($A401,Table1[],7,TRUE)</f>
        <v>54</v>
      </c>
      <c r="E401" s="3" t="str">
        <f>VLOOKUP($A401,Table1[],8,TRUE)</f>
        <v>United States</v>
      </c>
      <c r="F401" s="3" t="str">
        <f>VLOOKUP($A401,Table1[],9,TRUE)</f>
        <v>English</v>
      </c>
      <c r="G401" s="3" t="str">
        <f>VLOOKUP($A401,Table1[],10,TRUE)</f>
        <v>UI/UX Design</v>
      </c>
      <c r="H401" s="13" t="str">
        <f>VLOOKUP($A401,Table1[],12,TRUE)</f>
        <v>3</v>
      </c>
      <c r="I401" s="20">
        <v>30</v>
      </c>
      <c r="J401" s="15">
        <f>VLOOKUP($A401,Table1[],18,TRUE)</f>
        <v>2.4</v>
      </c>
      <c r="K401" s="12" t="str">
        <f>VLOOKUP($A401,Table1[],22,TRUE)</f>
        <v>FALSE</v>
      </c>
      <c r="L401" s="13">
        <f>VLOOKUP($A401,Table1[],25,TRUE)</f>
        <v>0.81</v>
      </c>
    </row>
    <row r="402" spans="1:12" x14ac:dyDescent="0.25">
      <c r="A402" t="s">
        <v>884</v>
      </c>
      <c r="B402" s="18" t="str">
        <f>VLOOKUP(A402,Table1[],3,TRUE)</f>
        <v>Ethan Adams</v>
      </c>
      <c r="C402" s="18" t="str">
        <f>VLOOKUP($A402,Table1[],5,TRUE)</f>
        <v>Male</v>
      </c>
      <c r="D402" s="3" t="str">
        <f>VLOOKUP($A402,Table1[],7,TRUE)</f>
        <v>22</v>
      </c>
      <c r="E402" s="3" t="str">
        <f>VLOOKUP($A402,Table1[],8,TRUE)</f>
        <v>Russia</v>
      </c>
      <c r="F402" s="3" t="str">
        <f>VLOOKUP($A402,Table1[],9,TRUE)</f>
        <v>Russian</v>
      </c>
      <c r="G402" s="3" t="str">
        <f>VLOOKUP($A402,Table1[],10,TRUE)</f>
        <v>Data Analysis</v>
      </c>
      <c r="H402" s="13" t="str">
        <f>VLOOKUP($A402,Table1[],12,TRUE)</f>
        <v>1</v>
      </c>
      <c r="I402" s="20">
        <v>20</v>
      </c>
      <c r="J402" s="15">
        <f>VLOOKUP($A402,Table1[],18,TRUE)</f>
        <v>1.7</v>
      </c>
      <c r="K402" s="12" t="str">
        <f>VLOOKUP($A402,Table1[],22,TRUE)</f>
        <v>FALSE</v>
      </c>
      <c r="L402" s="13">
        <f>VLOOKUP($A402,Table1[],25,TRUE)</f>
        <v>0.78</v>
      </c>
    </row>
    <row r="403" spans="1:12" x14ac:dyDescent="0.25">
      <c r="A403" t="s">
        <v>886</v>
      </c>
      <c r="B403" s="18" t="str">
        <f>VLOOKUP(A403,Table1[],3,TRUE)</f>
        <v>Brett Moore</v>
      </c>
      <c r="C403" s="18" t="str">
        <f>VLOOKUP($A403,Table1[],5,TRUE)</f>
        <v>Male</v>
      </c>
      <c r="D403" s="3" t="str">
        <f>VLOOKUP($A403,Table1[],7,TRUE)</f>
        <v>36</v>
      </c>
      <c r="E403" s="3" t="str">
        <f>VLOOKUP($A403,Table1[],8,TRUE)</f>
        <v>Turkey</v>
      </c>
      <c r="F403" s="3" t="str">
        <f>VLOOKUP($A403,Table1[],9,TRUE)</f>
        <v>Turkish</v>
      </c>
      <c r="G403" s="3" t="str">
        <f>VLOOKUP($A403,Table1[],10,TRUE)</f>
        <v>Cybersecurity</v>
      </c>
      <c r="H403" s="13" t="str">
        <f>VLOOKUP($A403,Table1[],12,TRUE)</f>
        <v>2</v>
      </c>
      <c r="I403" s="20">
        <v>75</v>
      </c>
      <c r="J403" s="15">
        <f>VLOOKUP($A403,Table1[],18,TRUE)</f>
        <v>0</v>
      </c>
      <c r="K403" s="12" t="str">
        <f>VLOOKUP($A403,Table1[],22,TRUE)</f>
        <v>TRUE</v>
      </c>
      <c r="L403" s="13">
        <f>VLOOKUP($A403,Table1[],25,TRUE)</f>
        <v>0.92</v>
      </c>
    </row>
    <row r="404" spans="1:12" x14ac:dyDescent="0.25">
      <c r="A404" t="s">
        <v>888</v>
      </c>
      <c r="B404" s="18" t="str">
        <f>VLOOKUP(A404,Table1[],3,TRUE)</f>
        <v>Phillip Griffin</v>
      </c>
      <c r="C404" s="18" t="str">
        <f>VLOOKUP($A404,Table1[],5,TRUE)</f>
        <v>Male</v>
      </c>
      <c r="D404" s="3" t="str">
        <f>VLOOKUP($A404,Table1[],7,TRUE)</f>
        <v>50</v>
      </c>
      <c r="E404" s="3" t="str">
        <f>VLOOKUP($A404,Table1[],8,TRUE)</f>
        <v>Germany</v>
      </c>
      <c r="F404" s="3" t="str">
        <f>VLOOKUP($A404,Table1[],9,TRUE)</f>
        <v>German</v>
      </c>
      <c r="G404" s="3" t="str">
        <f>VLOOKUP($A404,Table1[],10,TRUE)</f>
        <v>DevOps</v>
      </c>
      <c r="H404" s="13" t="str">
        <f>VLOOKUP($A404,Table1[],12,TRUE)</f>
        <v>32</v>
      </c>
      <c r="I404" s="20">
        <v>30</v>
      </c>
      <c r="J404" s="15">
        <f>VLOOKUP($A404,Table1[],18,TRUE)</f>
        <v>2.6</v>
      </c>
      <c r="K404" s="12" t="str">
        <f>VLOOKUP($A404,Table1[],22,TRUE)</f>
        <v>FALSE</v>
      </c>
      <c r="L404" s="13">
        <f>VLOOKUP($A404,Table1[],25,TRUE)</f>
        <v>0.64</v>
      </c>
    </row>
    <row r="405" spans="1:12" x14ac:dyDescent="0.25">
      <c r="A405" t="s">
        <v>890</v>
      </c>
      <c r="B405" s="18" t="str">
        <f>VLOOKUP(A405,Table1[],3,TRUE)</f>
        <v>Stacie Wall</v>
      </c>
      <c r="C405" s="18" t="str">
        <f>VLOOKUP($A405,Table1[],5,TRUE)</f>
        <v>Female</v>
      </c>
      <c r="D405" s="3" t="str">
        <f>VLOOKUP($A405,Table1[],7,TRUE)</f>
        <v>41</v>
      </c>
      <c r="E405" s="3" t="str">
        <f>VLOOKUP($A405,Table1[],8,TRUE)</f>
        <v>Australia</v>
      </c>
      <c r="F405" s="3" t="str">
        <f>VLOOKUP($A405,Table1[],9,TRUE)</f>
        <v>English</v>
      </c>
      <c r="G405" s="3" t="str">
        <f>VLOOKUP($A405,Table1[],10,TRUE)</f>
        <v>Blockchain Development</v>
      </c>
      <c r="H405" s="13" t="str">
        <f>VLOOKUP($A405,Table1[],12,TRUE)</f>
        <v>14</v>
      </c>
      <c r="I405" s="20">
        <v>30</v>
      </c>
      <c r="J405" s="15">
        <f>VLOOKUP($A405,Table1[],18,TRUE)</f>
        <v>0</v>
      </c>
      <c r="K405" s="12" t="str">
        <f>VLOOKUP($A405,Table1[],22,TRUE)</f>
        <v>TRUE</v>
      </c>
      <c r="L405" s="13">
        <f>VLOOKUP($A405,Table1[],25,TRUE)</f>
        <v>0.78</v>
      </c>
    </row>
    <row r="406" spans="1:12" x14ac:dyDescent="0.25">
      <c r="A406" t="s">
        <v>892</v>
      </c>
      <c r="B406" s="18" t="str">
        <f>VLOOKUP(A406,Table1[],3,TRUE)</f>
        <v>Jacob Austin</v>
      </c>
      <c r="C406" s="18" t="str">
        <f>VLOOKUP($A406,Table1[],5,TRUE)</f>
        <v>Male</v>
      </c>
      <c r="D406" s="3" t="str">
        <f>VLOOKUP($A406,Table1[],7,TRUE)</f>
        <v>Unknown</v>
      </c>
      <c r="E406" s="3" t="str">
        <f>VLOOKUP($A406,Table1[],8,TRUE)</f>
        <v>South Africa</v>
      </c>
      <c r="F406" s="3" t="str">
        <f>VLOOKUP($A406,Table1[],9,TRUE)</f>
        <v>Afrikaans</v>
      </c>
      <c r="G406" s="3" t="str">
        <f>VLOOKUP($A406,Table1[],10,TRUE)</f>
        <v>Web Development</v>
      </c>
      <c r="H406" s="13" t="str">
        <f>VLOOKUP($A406,Table1[],12,TRUE)</f>
        <v>10</v>
      </c>
      <c r="I406" s="20">
        <v>20</v>
      </c>
      <c r="J406" s="15">
        <f>VLOOKUP($A406,Table1[],18,TRUE)</f>
        <v>1.8</v>
      </c>
      <c r="K406" s="12" t="str">
        <f>VLOOKUP($A406,Table1[],22,TRUE)</f>
        <v>TRUE</v>
      </c>
      <c r="L406" s="13">
        <f>VLOOKUP($A406,Table1[],25,TRUE)</f>
        <v>0.85</v>
      </c>
    </row>
    <row r="407" spans="1:12" x14ac:dyDescent="0.25">
      <c r="A407" t="s">
        <v>894</v>
      </c>
      <c r="B407" s="18" t="str">
        <f>VLOOKUP(A407,Table1[],3,TRUE)</f>
        <v>Sabrina Davidson</v>
      </c>
      <c r="C407" s="18" t="str">
        <f>VLOOKUP($A407,Table1[],5,TRUE)</f>
        <v>Female</v>
      </c>
      <c r="D407" s="3" t="str">
        <f>VLOOKUP($A407,Table1[],7,TRUE)</f>
        <v>51</v>
      </c>
      <c r="E407" s="3" t="str">
        <f>VLOOKUP($A407,Table1[],8,TRUE)</f>
        <v>Netherlands</v>
      </c>
      <c r="F407" s="3" t="str">
        <f>VLOOKUP($A407,Table1[],9,TRUE)</f>
        <v>Dutch</v>
      </c>
      <c r="G407" s="3" t="str">
        <f>VLOOKUP($A407,Table1[],10,TRUE)</f>
        <v>Cybersecurity</v>
      </c>
      <c r="H407" s="13" t="str">
        <f>VLOOKUP($A407,Table1[],12,TRUE)</f>
        <v>27</v>
      </c>
      <c r="I407" s="20">
        <v>50</v>
      </c>
      <c r="J407" s="15">
        <f>VLOOKUP($A407,Table1[],18,TRUE)</f>
        <v>0</v>
      </c>
      <c r="K407" s="12" t="str">
        <f>VLOOKUP($A407,Table1[],22,TRUE)</f>
        <v>FALSE</v>
      </c>
      <c r="L407" s="13">
        <f>VLOOKUP($A407,Table1[],25,TRUE)</f>
        <v>0.78</v>
      </c>
    </row>
    <row r="408" spans="1:12" x14ac:dyDescent="0.25">
      <c r="A408" t="s">
        <v>896</v>
      </c>
      <c r="B408" s="18" t="str">
        <f>VLOOKUP(A408,Table1[],3,TRUE)</f>
        <v>Dustin Douglas</v>
      </c>
      <c r="C408" s="18" t="str">
        <f>VLOOKUP($A408,Table1[],5,TRUE)</f>
        <v>Male</v>
      </c>
      <c r="D408" s="3" t="str">
        <f>VLOOKUP($A408,Table1[],7,TRUE)</f>
        <v>21</v>
      </c>
      <c r="E408" s="3" t="str">
        <f>VLOOKUP($A408,Table1[],8,TRUE)</f>
        <v>France</v>
      </c>
      <c r="F408" s="3" t="str">
        <f>VLOOKUP($A408,Table1[],9,TRUE)</f>
        <v>French</v>
      </c>
      <c r="G408" s="3" t="str">
        <f>VLOOKUP($A408,Table1[],10,TRUE)</f>
        <v>AI</v>
      </c>
      <c r="H408" s="13" t="str">
        <f>VLOOKUP($A408,Table1[],12,TRUE)</f>
        <v>2</v>
      </c>
      <c r="I408" s="20">
        <v>30</v>
      </c>
      <c r="J408" s="15">
        <f>VLOOKUP($A408,Table1[],18,TRUE)</f>
        <v>3.8</v>
      </c>
      <c r="K408" s="12" t="str">
        <f>VLOOKUP($A408,Table1[],22,TRUE)</f>
        <v>TRUE</v>
      </c>
      <c r="L408" s="13">
        <f>VLOOKUP($A408,Table1[],25,TRUE)</f>
        <v>0.98</v>
      </c>
    </row>
    <row r="409" spans="1:12" x14ac:dyDescent="0.25">
      <c r="A409" t="s">
        <v>898</v>
      </c>
      <c r="B409" s="18" t="str">
        <f>VLOOKUP(A409,Table1[],3,TRUE)</f>
        <v>Steven Norris</v>
      </c>
      <c r="C409" s="18" t="str">
        <f>VLOOKUP($A409,Table1[],5,TRUE)</f>
        <v>Male</v>
      </c>
      <c r="D409" s="3" t="str">
        <f>VLOOKUP($A409,Table1[],7,TRUE)</f>
        <v>51</v>
      </c>
      <c r="E409" s="3" t="str">
        <f>VLOOKUP($A409,Table1[],8,TRUE)</f>
        <v>Japan</v>
      </c>
      <c r="F409" s="3" t="str">
        <f>VLOOKUP($A409,Table1[],9,TRUE)</f>
        <v>Japanese</v>
      </c>
      <c r="G409" s="3" t="str">
        <f>VLOOKUP($A409,Table1[],10,TRUE)</f>
        <v>AI</v>
      </c>
      <c r="H409" s="13" t="str">
        <f>VLOOKUP($A409,Table1[],12,TRUE)</f>
        <v>33</v>
      </c>
      <c r="I409" s="20">
        <v>40</v>
      </c>
      <c r="J409" s="15">
        <f>VLOOKUP($A409,Table1[],18,TRUE)</f>
        <v>0</v>
      </c>
      <c r="K409" s="12" t="str">
        <f>VLOOKUP($A409,Table1[],22,TRUE)</f>
        <v>TRUE</v>
      </c>
      <c r="L409" s="13">
        <f>VLOOKUP($A409,Table1[],25,TRUE)</f>
        <v>0.63</v>
      </c>
    </row>
    <row r="410" spans="1:12" x14ac:dyDescent="0.25">
      <c r="A410" t="s">
        <v>900</v>
      </c>
      <c r="B410" s="18" t="str">
        <f>VLOOKUP(A410,Table1[],3,TRUE)</f>
        <v>Mindy Sullivan</v>
      </c>
      <c r="C410" s="18" t="str">
        <f>VLOOKUP($A410,Table1[],5,TRUE)</f>
        <v>Female</v>
      </c>
      <c r="D410" s="3" t="str">
        <f>VLOOKUP($A410,Table1[],7,TRUE)</f>
        <v>37</v>
      </c>
      <c r="E410" s="3" t="str">
        <f>VLOOKUP($A410,Table1[],8,TRUE)</f>
        <v>Indonesia</v>
      </c>
      <c r="F410" s="3" t="str">
        <f>VLOOKUP($A410,Table1[],9,TRUE)</f>
        <v>Indonesian</v>
      </c>
      <c r="G410" s="3" t="str">
        <f>VLOOKUP($A410,Table1[],10,TRUE)</f>
        <v>Graphic Design</v>
      </c>
      <c r="H410" s="13" t="str">
        <f>VLOOKUP($A410,Table1[],12,TRUE)</f>
        <v>11</v>
      </c>
      <c r="I410" s="20">
        <v>40</v>
      </c>
      <c r="J410" s="15">
        <f>VLOOKUP($A410,Table1[],18,TRUE)</f>
        <v>3.6</v>
      </c>
      <c r="K410" s="12" t="str">
        <f>VLOOKUP($A410,Table1[],22,TRUE)</f>
        <v>FALSE</v>
      </c>
      <c r="L410" s="13">
        <f>VLOOKUP($A410,Table1[],25,TRUE)</f>
        <v>0.73</v>
      </c>
    </row>
    <row r="411" spans="1:12" x14ac:dyDescent="0.25">
      <c r="A411" t="s">
        <v>902</v>
      </c>
      <c r="B411" s="18" t="str">
        <f>VLOOKUP(A411,Table1[],3,TRUE)</f>
        <v>Elizabeth Stone</v>
      </c>
      <c r="C411" s="18" t="str">
        <f>VLOOKUP($A411,Table1[],5,TRUE)</f>
        <v>Female</v>
      </c>
      <c r="D411" s="3" t="str">
        <f>VLOOKUP($A411,Table1[],7,TRUE)</f>
        <v>20</v>
      </c>
      <c r="E411" s="3" t="str">
        <f>VLOOKUP($A411,Table1[],8,TRUE)</f>
        <v>Spain</v>
      </c>
      <c r="F411" s="3" t="str">
        <f>VLOOKUP($A411,Table1[],9,TRUE)</f>
        <v>Spanish</v>
      </c>
      <c r="G411" s="3" t="str">
        <f>VLOOKUP($A411,Table1[],10,TRUE)</f>
        <v>Graphic Design</v>
      </c>
      <c r="H411" s="13" t="str">
        <f>VLOOKUP($A411,Table1[],12,TRUE)</f>
        <v>2</v>
      </c>
      <c r="I411" s="20">
        <v>30</v>
      </c>
      <c r="J411" s="15">
        <f>VLOOKUP($A411,Table1[],18,TRUE)</f>
        <v>0</v>
      </c>
      <c r="K411" s="12" t="str">
        <f>VLOOKUP($A411,Table1[],22,TRUE)</f>
        <v>FALSE</v>
      </c>
      <c r="L411" s="13">
        <f>VLOOKUP($A411,Table1[],25,TRUE)</f>
        <v>0.94</v>
      </c>
    </row>
    <row r="412" spans="1:12" x14ac:dyDescent="0.25">
      <c r="A412" t="s">
        <v>904</v>
      </c>
      <c r="B412" s="18" t="str">
        <f>VLOOKUP(A412,Table1[],3,TRUE)</f>
        <v>Diane Flores</v>
      </c>
      <c r="C412" s="18" t="str">
        <f>VLOOKUP($A412,Table1[],5,TRUE)</f>
        <v>Female</v>
      </c>
      <c r="D412" s="3" t="str">
        <f>VLOOKUP($A412,Table1[],7,TRUE)</f>
        <v>50</v>
      </c>
      <c r="E412" s="3" t="str">
        <f>VLOOKUP($A412,Table1[],8,TRUE)</f>
        <v>Australia</v>
      </c>
      <c r="F412" s="3" t="str">
        <f>VLOOKUP($A412,Table1[],9,TRUE)</f>
        <v>English</v>
      </c>
      <c r="G412" s="3" t="str">
        <f>VLOOKUP($A412,Table1[],10,TRUE)</f>
        <v>Web Development</v>
      </c>
      <c r="H412" s="13" t="str">
        <f>VLOOKUP($A412,Table1[],12,TRUE)</f>
        <v>31</v>
      </c>
      <c r="I412" s="20">
        <v>50</v>
      </c>
      <c r="J412" s="15">
        <f>VLOOKUP($A412,Table1[],18,TRUE)</f>
        <v>4.0999999999999996</v>
      </c>
      <c r="K412" s="12" t="str">
        <f>VLOOKUP($A412,Table1[],22,TRUE)</f>
        <v>TRUE</v>
      </c>
      <c r="L412" s="13">
        <f>VLOOKUP($A412,Table1[],25,TRUE)</f>
        <v>0.81</v>
      </c>
    </row>
    <row r="413" spans="1:12" x14ac:dyDescent="0.25">
      <c r="A413" t="s">
        <v>906</v>
      </c>
      <c r="B413" s="18" t="str">
        <f>VLOOKUP(A413,Table1[],3,TRUE)</f>
        <v>Jessica Erickson</v>
      </c>
      <c r="C413" s="18" t="str">
        <f>VLOOKUP($A413,Table1[],5,TRUE)</f>
        <v>Female</v>
      </c>
      <c r="D413" s="3" t="str">
        <f>VLOOKUP($A413,Table1[],7,TRUE)</f>
        <v>58</v>
      </c>
      <c r="E413" s="3" t="str">
        <f>VLOOKUP($A413,Table1[],8,TRUE)</f>
        <v>Turkey</v>
      </c>
      <c r="F413" s="3" t="str">
        <f>VLOOKUP($A413,Table1[],9,TRUE)</f>
        <v>Turkish</v>
      </c>
      <c r="G413" s="3" t="str">
        <f>VLOOKUP($A413,Table1[],10,TRUE)</f>
        <v>Graphic Design</v>
      </c>
      <c r="H413" s="13" t="str">
        <f>VLOOKUP($A413,Table1[],12,TRUE)</f>
        <v>17</v>
      </c>
      <c r="I413" s="20">
        <v>50</v>
      </c>
      <c r="J413" s="15">
        <f>VLOOKUP($A413,Table1[],18,TRUE)</f>
        <v>2.6</v>
      </c>
      <c r="K413" s="12" t="str">
        <f>VLOOKUP($A413,Table1[],22,TRUE)</f>
        <v>TRUE</v>
      </c>
      <c r="L413" s="13">
        <f>VLOOKUP($A413,Table1[],25,TRUE)</f>
        <v>0.61</v>
      </c>
    </row>
    <row r="414" spans="1:12" x14ac:dyDescent="0.25">
      <c r="A414" t="s">
        <v>908</v>
      </c>
      <c r="B414" s="18" t="str">
        <f>VLOOKUP(A414,Table1[],3,TRUE)</f>
        <v>Sara Moses</v>
      </c>
      <c r="C414" s="18" t="str">
        <f>VLOOKUP($A414,Table1[],5,TRUE)</f>
        <v>Female</v>
      </c>
      <c r="D414" s="3" t="str">
        <f>VLOOKUP($A414,Table1[],7,TRUE)</f>
        <v>40</v>
      </c>
      <c r="E414" s="3" t="str">
        <f>VLOOKUP($A414,Table1[],8,TRUE)</f>
        <v>Brazil</v>
      </c>
      <c r="F414" s="3" t="str">
        <f>VLOOKUP($A414,Table1[],9,TRUE)</f>
        <v>Portuguese</v>
      </c>
      <c r="G414" s="3" t="str">
        <f>VLOOKUP($A414,Table1[],10,TRUE)</f>
        <v>UI/UX Design</v>
      </c>
      <c r="H414" s="13" t="str">
        <f>VLOOKUP($A414,Table1[],12,TRUE)</f>
        <v>2</v>
      </c>
      <c r="I414" s="20">
        <v>100</v>
      </c>
      <c r="J414" s="15">
        <f>VLOOKUP($A414,Table1[],18,TRUE)</f>
        <v>0</v>
      </c>
      <c r="K414" s="12" t="str">
        <f>VLOOKUP($A414,Table1[],22,TRUE)</f>
        <v>FALSE</v>
      </c>
      <c r="L414" s="13">
        <f>VLOOKUP($A414,Table1[],25,TRUE)</f>
        <v>0.75</v>
      </c>
    </row>
    <row r="415" spans="1:12" x14ac:dyDescent="0.25">
      <c r="A415" t="s">
        <v>910</v>
      </c>
      <c r="B415" s="18" t="str">
        <f>VLOOKUP(A415,Table1[],3,TRUE)</f>
        <v>Allison Henderson</v>
      </c>
      <c r="C415" s="18" t="str">
        <f>VLOOKUP($A415,Table1[],5,TRUE)</f>
        <v>Female</v>
      </c>
      <c r="D415" s="3" t="str">
        <f>VLOOKUP($A415,Table1[],7,TRUE)</f>
        <v>26</v>
      </c>
      <c r="E415" s="3" t="str">
        <f>VLOOKUP($A415,Table1[],8,TRUE)</f>
        <v>Egypt</v>
      </c>
      <c r="F415" s="3" t="str">
        <f>VLOOKUP($A415,Table1[],9,TRUE)</f>
        <v>Arabic</v>
      </c>
      <c r="G415" s="3" t="str">
        <f>VLOOKUP($A415,Table1[],10,TRUE)</f>
        <v>Web Development</v>
      </c>
      <c r="H415" s="13" t="str">
        <f>VLOOKUP($A415,Table1[],12,TRUE)</f>
        <v>2</v>
      </c>
      <c r="I415" s="20">
        <v>20</v>
      </c>
      <c r="J415" s="15">
        <f>VLOOKUP($A415,Table1[],18,TRUE)</f>
        <v>1.3</v>
      </c>
      <c r="K415" s="12" t="str">
        <f>VLOOKUP($A415,Table1[],22,TRUE)</f>
        <v>FALSE</v>
      </c>
      <c r="L415" s="13">
        <f>VLOOKUP($A415,Table1[],25,TRUE)</f>
        <v>0.83</v>
      </c>
    </row>
    <row r="416" spans="1:12" x14ac:dyDescent="0.25">
      <c r="A416" t="s">
        <v>912</v>
      </c>
      <c r="B416" s="18" t="str">
        <f>VLOOKUP(A416,Table1[],3,TRUE)</f>
        <v>Susan Dixon</v>
      </c>
      <c r="C416" s="18" t="str">
        <f>VLOOKUP($A416,Table1[],5,TRUE)</f>
        <v>Female</v>
      </c>
      <c r="D416" s="3" t="str">
        <f>VLOOKUP($A416,Table1[],7,TRUE)</f>
        <v>44</v>
      </c>
      <c r="E416" s="3" t="str">
        <f>VLOOKUP($A416,Table1[],8,TRUE)</f>
        <v>South Korea</v>
      </c>
      <c r="F416" s="3" t="str">
        <f>VLOOKUP($A416,Table1[],9,TRUE)</f>
        <v>Korean</v>
      </c>
      <c r="G416" s="3" t="str">
        <f>VLOOKUP($A416,Table1[],10,TRUE)</f>
        <v>Cybersecurity</v>
      </c>
      <c r="H416" s="13" t="str">
        <f>VLOOKUP($A416,Table1[],12,TRUE)</f>
        <v>22</v>
      </c>
      <c r="I416" s="20">
        <v>30</v>
      </c>
      <c r="J416" s="15">
        <f>VLOOKUP($A416,Table1[],18,TRUE)</f>
        <v>4.0999999999999996</v>
      </c>
      <c r="K416" s="12" t="str">
        <f>VLOOKUP($A416,Table1[],22,TRUE)</f>
        <v>TRUE</v>
      </c>
      <c r="L416" s="13">
        <f>VLOOKUP($A416,Table1[],25,TRUE)</f>
        <v>0.75</v>
      </c>
    </row>
    <row r="417" spans="1:12" x14ac:dyDescent="0.25">
      <c r="A417" t="s">
        <v>914</v>
      </c>
      <c r="B417" s="18" t="str">
        <f>VLOOKUP(A417,Table1[],3,TRUE)</f>
        <v>David Morrison</v>
      </c>
      <c r="C417" s="18" t="str">
        <f>VLOOKUP($A417,Table1[],5,TRUE)</f>
        <v>Male</v>
      </c>
      <c r="D417" s="3" t="str">
        <f>VLOOKUP($A417,Table1[],7,TRUE)</f>
        <v>42</v>
      </c>
      <c r="E417" s="3" t="str">
        <f>VLOOKUP($A417,Table1[],8,TRUE)</f>
        <v>Mexico</v>
      </c>
      <c r="F417" s="3" t="str">
        <f>VLOOKUP($A417,Table1[],9,TRUE)</f>
        <v>Spanish</v>
      </c>
      <c r="G417" s="3" t="str">
        <f>VLOOKUP($A417,Table1[],10,TRUE)</f>
        <v>Machine Learning</v>
      </c>
      <c r="H417" s="13" t="str">
        <f>VLOOKUP($A417,Table1[],12,TRUE)</f>
        <v>8</v>
      </c>
      <c r="I417" s="20">
        <v>50</v>
      </c>
      <c r="J417" s="15">
        <f>VLOOKUP($A417,Table1[],18,TRUE)</f>
        <v>2.4</v>
      </c>
      <c r="K417" s="12" t="str">
        <f>VLOOKUP($A417,Table1[],22,TRUE)</f>
        <v>FALSE</v>
      </c>
      <c r="L417" s="13">
        <f>VLOOKUP($A417,Table1[],25,TRUE)</f>
        <v>0.68</v>
      </c>
    </row>
    <row r="418" spans="1:12" x14ac:dyDescent="0.25">
      <c r="A418" t="s">
        <v>916</v>
      </c>
      <c r="B418" s="18" t="str">
        <f>VLOOKUP(A418,Table1[],3,TRUE)</f>
        <v>Jason Carter</v>
      </c>
      <c r="C418" s="18" t="str">
        <f>VLOOKUP($A418,Table1[],5,TRUE)</f>
        <v>Male</v>
      </c>
      <c r="D418" s="3" t="str">
        <f>VLOOKUP($A418,Table1[],7,TRUE)</f>
        <v>38</v>
      </c>
      <c r="E418" s="3" t="str">
        <f>VLOOKUP($A418,Table1[],8,TRUE)</f>
        <v>Mexico</v>
      </c>
      <c r="F418" s="3" t="str">
        <f>VLOOKUP($A418,Table1[],9,TRUE)</f>
        <v>Spanish</v>
      </c>
      <c r="G418" s="3" t="str">
        <f>VLOOKUP($A418,Table1[],10,TRUE)</f>
        <v>Data Analysis</v>
      </c>
      <c r="H418" s="13" t="str">
        <f>VLOOKUP($A418,Table1[],12,TRUE)</f>
        <v>9</v>
      </c>
      <c r="I418" s="20">
        <v>50</v>
      </c>
      <c r="J418" s="15">
        <f>VLOOKUP($A418,Table1[],18,TRUE)</f>
        <v>0</v>
      </c>
      <c r="K418" s="12" t="str">
        <f>VLOOKUP($A418,Table1[],22,TRUE)</f>
        <v>FALSE</v>
      </c>
      <c r="L418" s="13">
        <f>VLOOKUP($A418,Table1[],25,TRUE)</f>
        <v>0.74</v>
      </c>
    </row>
    <row r="419" spans="1:12" x14ac:dyDescent="0.25">
      <c r="A419" t="s">
        <v>917</v>
      </c>
      <c r="B419" s="18" t="str">
        <f>VLOOKUP(A419,Table1[],3,TRUE)</f>
        <v>James Jacobs</v>
      </c>
      <c r="C419" s="18" t="str">
        <f>VLOOKUP($A419,Table1[],5,TRUE)</f>
        <v>Male</v>
      </c>
      <c r="D419" s="3" t="str">
        <f>VLOOKUP($A419,Table1[],7,TRUE)</f>
        <v>51</v>
      </c>
      <c r="E419" s="3" t="str">
        <f>VLOOKUP($A419,Table1[],8,TRUE)</f>
        <v>Egypt</v>
      </c>
      <c r="F419" s="3" t="str">
        <f>VLOOKUP($A419,Table1[],9,TRUE)</f>
        <v>Arabic</v>
      </c>
      <c r="G419" s="3" t="str">
        <f>VLOOKUP($A419,Table1[],10,TRUE)</f>
        <v>Web Development</v>
      </c>
      <c r="H419" s="13" t="str">
        <f>VLOOKUP($A419,Table1[],12,TRUE)</f>
        <v>32</v>
      </c>
      <c r="I419" s="20">
        <v>100</v>
      </c>
      <c r="J419" s="15">
        <f>VLOOKUP($A419,Table1[],18,TRUE)</f>
        <v>4.4000000000000004</v>
      </c>
      <c r="K419" s="12" t="str">
        <f>VLOOKUP($A419,Table1[],22,TRUE)</f>
        <v>TRUE</v>
      </c>
      <c r="L419" s="13">
        <f>VLOOKUP($A419,Table1[],25,TRUE)</f>
        <v>0.91</v>
      </c>
    </row>
    <row r="420" spans="1:12" x14ac:dyDescent="0.25">
      <c r="A420" t="s">
        <v>919</v>
      </c>
      <c r="B420" s="18" t="str">
        <f>VLOOKUP(A420,Table1[],3,TRUE)</f>
        <v>Kathleen Quinn</v>
      </c>
      <c r="C420" s="18" t="str">
        <f>VLOOKUP($A420,Table1[],5,TRUE)</f>
        <v>Female</v>
      </c>
      <c r="D420" s="3" t="str">
        <f>VLOOKUP($A420,Table1[],7,TRUE)</f>
        <v>36</v>
      </c>
      <c r="E420" s="3" t="str">
        <f>VLOOKUP($A420,Table1[],8,TRUE)</f>
        <v>France</v>
      </c>
      <c r="F420" s="3" t="str">
        <f>VLOOKUP($A420,Table1[],9,TRUE)</f>
        <v>French</v>
      </c>
      <c r="G420" s="3" t="str">
        <f>VLOOKUP($A420,Table1[],10,TRUE)</f>
        <v>AI</v>
      </c>
      <c r="H420" s="13" t="str">
        <f>VLOOKUP($A420,Table1[],12,TRUE)</f>
        <v>8</v>
      </c>
      <c r="I420" s="20">
        <v>100</v>
      </c>
      <c r="J420" s="15">
        <f>VLOOKUP($A420,Table1[],18,TRUE)</f>
        <v>2.2000000000000002</v>
      </c>
      <c r="K420" s="12" t="str">
        <f>VLOOKUP($A420,Table1[],22,TRUE)</f>
        <v>TRUE</v>
      </c>
      <c r="L420" s="13">
        <f>VLOOKUP($A420,Table1[],25,TRUE)</f>
        <v>0.97</v>
      </c>
    </row>
    <row r="421" spans="1:12" x14ac:dyDescent="0.25">
      <c r="A421" t="s">
        <v>921</v>
      </c>
      <c r="B421" s="18" t="str">
        <f>VLOOKUP(A421,Table1[],3,TRUE)</f>
        <v>Natalie Frank Md</v>
      </c>
      <c r="C421" s="18" t="str">
        <f>VLOOKUP($A421,Table1[],5,TRUE)</f>
        <v>Female</v>
      </c>
      <c r="D421" s="3" t="str">
        <f>VLOOKUP($A421,Table1[],7,TRUE)</f>
        <v>37</v>
      </c>
      <c r="E421" s="3" t="str">
        <f>VLOOKUP($A421,Table1[],8,TRUE)</f>
        <v>Australia</v>
      </c>
      <c r="F421" s="3" t="str">
        <f>VLOOKUP($A421,Table1[],9,TRUE)</f>
        <v>English</v>
      </c>
      <c r="G421" s="3" t="str">
        <f>VLOOKUP($A421,Table1[],10,TRUE)</f>
        <v>Mobile Apps</v>
      </c>
      <c r="H421" s="13" t="str">
        <f>VLOOKUP($A421,Table1[],12,TRUE)</f>
        <v>10</v>
      </c>
      <c r="I421" s="20">
        <v>30</v>
      </c>
      <c r="J421" s="15">
        <f>VLOOKUP($A421,Table1[],18,TRUE)</f>
        <v>0</v>
      </c>
      <c r="K421" s="12" t="str">
        <f>VLOOKUP($A421,Table1[],22,TRUE)</f>
        <v>FALSE</v>
      </c>
      <c r="L421" s="13">
        <f>VLOOKUP($A421,Table1[],25,TRUE)</f>
        <v>0.96</v>
      </c>
    </row>
    <row r="422" spans="1:12" x14ac:dyDescent="0.25">
      <c r="A422" t="s">
        <v>923</v>
      </c>
      <c r="B422" s="18" t="str">
        <f>VLOOKUP(A422,Table1[],3,TRUE)</f>
        <v>Michael Reed</v>
      </c>
      <c r="C422" s="18" t="str">
        <f>VLOOKUP($A422,Table1[],5,TRUE)</f>
        <v>Male</v>
      </c>
      <c r="D422" s="3" t="str">
        <f>VLOOKUP($A422,Table1[],7,TRUE)</f>
        <v>31</v>
      </c>
      <c r="E422" s="3" t="str">
        <f>VLOOKUP($A422,Table1[],8,TRUE)</f>
        <v>South Africa</v>
      </c>
      <c r="F422" s="3" t="str">
        <f>VLOOKUP($A422,Table1[],9,TRUE)</f>
        <v>Afrikaans</v>
      </c>
      <c r="G422" s="3" t="str">
        <f>VLOOKUP($A422,Table1[],10,TRUE)</f>
        <v>DevOps</v>
      </c>
      <c r="H422" s="13" t="str">
        <f>VLOOKUP($A422,Table1[],12,TRUE)</f>
        <v>0</v>
      </c>
      <c r="I422" s="20">
        <v>50</v>
      </c>
      <c r="J422" s="15">
        <f>VLOOKUP($A422,Table1[],18,TRUE)</f>
        <v>1.1000000000000001</v>
      </c>
      <c r="K422" s="12" t="str">
        <f>VLOOKUP($A422,Table1[],22,TRUE)</f>
        <v>TRUE</v>
      </c>
      <c r="L422" s="13">
        <f>VLOOKUP($A422,Table1[],25,TRUE)</f>
        <v>0.73</v>
      </c>
    </row>
    <row r="423" spans="1:12" x14ac:dyDescent="0.25">
      <c r="A423" t="s">
        <v>925</v>
      </c>
      <c r="B423" s="18" t="str">
        <f>VLOOKUP(A423,Table1[],3,TRUE)</f>
        <v>Sheila Smith</v>
      </c>
      <c r="C423" s="18" t="str">
        <f>VLOOKUP($A423,Table1[],5,TRUE)</f>
        <v>Female</v>
      </c>
      <c r="D423" s="3" t="str">
        <f>VLOOKUP($A423,Table1[],7,TRUE)</f>
        <v>47</v>
      </c>
      <c r="E423" s="3" t="str">
        <f>VLOOKUP($A423,Table1[],8,TRUE)</f>
        <v>India</v>
      </c>
      <c r="F423" s="3" t="str">
        <f>VLOOKUP($A423,Table1[],9,TRUE)</f>
        <v>Hindi</v>
      </c>
      <c r="G423" s="3" t="str">
        <f>VLOOKUP($A423,Table1[],10,TRUE)</f>
        <v>Cybersecurity</v>
      </c>
      <c r="H423" s="13" t="str">
        <f>VLOOKUP($A423,Table1[],12,TRUE)</f>
        <v>22</v>
      </c>
      <c r="I423" s="20">
        <v>50</v>
      </c>
      <c r="J423" s="15">
        <f>VLOOKUP($A423,Table1[],18,TRUE)</f>
        <v>1.4</v>
      </c>
      <c r="K423" s="12" t="str">
        <f>VLOOKUP($A423,Table1[],22,TRUE)</f>
        <v>TRUE</v>
      </c>
      <c r="L423" s="13">
        <f>VLOOKUP($A423,Table1[],25,TRUE)</f>
        <v>0.72</v>
      </c>
    </row>
    <row r="424" spans="1:12" x14ac:dyDescent="0.25">
      <c r="A424" t="s">
        <v>927</v>
      </c>
      <c r="B424" s="18" t="str">
        <f>VLOOKUP(A424,Table1[],3,TRUE)</f>
        <v>Morgan Ford</v>
      </c>
      <c r="C424" s="18" t="str">
        <f>VLOOKUP($A424,Table1[],5,TRUE)</f>
        <v>Female</v>
      </c>
      <c r="D424" s="3" t="str">
        <f>VLOOKUP($A424,Table1[],7,TRUE)</f>
        <v>60</v>
      </c>
      <c r="E424" s="3" t="str">
        <f>VLOOKUP($A424,Table1[],8,TRUE)</f>
        <v>Mexico</v>
      </c>
      <c r="F424" s="3" t="str">
        <f>VLOOKUP($A424,Table1[],9,TRUE)</f>
        <v>Spanish</v>
      </c>
      <c r="G424" s="3" t="str">
        <f>VLOOKUP($A424,Table1[],10,TRUE)</f>
        <v>UI/UX Design</v>
      </c>
      <c r="H424" s="13" t="str">
        <f>VLOOKUP($A424,Table1[],12,TRUE)</f>
        <v>34</v>
      </c>
      <c r="I424" s="20">
        <v>100</v>
      </c>
      <c r="J424" s="15">
        <f>VLOOKUP($A424,Table1[],18,TRUE)</f>
        <v>0</v>
      </c>
      <c r="K424" s="12" t="str">
        <f>VLOOKUP($A424,Table1[],22,TRUE)</f>
        <v>TRUE</v>
      </c>
      <c r="L424" s="13">
        <f>VLOOKUP($A424,Table1[],25,TRUE)</f>
        <v>0.74</v>
      </c>
    </row>
    <row r="425" spans="1:12" x14ac:dyDescent="0.25">
      <c r="A425" t="s">
        <v>929</v>
      </c>
      <c r="B425" s="18" t="str">
        <f>VLOOKUP(A425,Table1[],3,TRUE)</f>
        <v>Linda Schultz</v>
      </c>
      <c r="C425" s="18" t="str">
        <f>VLOOKUP($A425,Table1[],5,TRUE)</f>
        <v>Female</v>
      </c>
      <c r="D425" s="3" t="str">
        <f>VLOOKUP($A425,Table1[],7,TRUE)</f>
        <v>48</v>
      </c>
      <c r="E425" s="3" t="str">
        <f>VLOOKUP($A425,Table1[],8,TRUE)</f>
        <v>Argentina</v>
      </c>
      <c r="F425" s="3" t="str">
        <f>VLOOKUP($A425,Table1[],9,TRUE)</f>
        <v>Spanish</v>
      </c>
      <c r="G425" s="3" t="str">
        <f>VLOOKUP($A425,Table1[],10,TRUE)</f>
        <v>Mobile Apps</v>
      </c>
      <c r="H425" s="13" t="str">
        <f>VLOOKUP($A425,Table1[],12,TRUE)</f>
        <v>5</v>
      </c>
      <c r="I425" s="20">
        <v>30</v>
      </c>
      <c r="J425" s="15">
        <f>VLOOKUP($A425,Table1[],18,TRUE)</f>
        <v>1.5</v>
      </c>
      <c r="K425" s="12" t="str">
        <f>VLOOKUP($A425,Table1[],22,TRUE)</f>
        <v>FALSE</v>
      </c>
      <c r="L425" s="13">
        <f>VLOOKUP($A425,Table1[],25,TRUE)</f>
        <v>0.75</v>
      </c>
    </row>
    <row r="426" spans="1:12" x14ac:dyDescent="0.25">
      <c r="A426" t="s">
        <v>931</v>
      </c>
      <c r="B426" s="18" t="str">
        <f>VLOOKUP(A426,Table1[],3,TRUE)</f>
        <v>Regina Daniel</v>
      </c>
      <c r="C426" s="18" t="str">
        <f>VLOOKUP($A426,Table1[],5,TRUE)</f>
        <v>Female</v>
      </c>
      <c r="D426" s="3" t="str">
        <f>VLOOKUP($A426,Table1[],7,TRUE)</f>
        <v>24</v>
      </c>
      <c r="E426" s="3" t="str">
        <f>VLOOKUP($A426,Table1[],8,TRUE)</f>
        <v>India</v>
      </c>
      <c r="F426" s="3" t="str">
        <f>VLOOKUP($A426,Table1[],9,TRUE)</f>
        <v>Hindi</v>
      </c>
      <c r="G426" s="3" t="str">
        <f>VLOOKUP($A426,Table1[],10,TRUE)</f>
        <v>AI</v>
      </c>
      <c r="H426" s="13" t="str">
        <f>VLOOKUP($A426,Table1[],12,TRUE)</f>
        <v>3</v>
      </c>
      <c r="I426" s="20">
        <v>20</v>
      </c>
      <c r="J426" s="15">
        <f>VLOOKUP($A426,Table1[],18,TRUE)</f>
        <v>0</v>
      </c>
      <c r="K426" s="12" t="str">
        <f>VLOOKUP($A426,Table1[],22,TRUE)</f>
        <v>TRUE</v>
      </c>
      <c r="L426" s="13">
        <f>VLOOKUP($A426,Table1[],25,TRUE)</f>
        <v>0.75</v>
      </c>
    </row>
    <row r="427" spans="1:12" x14ac:dyDescent="0.25">
      <c r="A427" t="s">
        <v>933</v>
      </c>
      <c r="B427" s="18" t="str">
        <f>VLOOKUP(A427,Table1[],3,TRUE)</f>
        <v>Allison Perkins</v>
      </c>
      <c r="C427" s="18" t="str">
        <f>VLOOKUP($A427,Table1[],5,TRUE)</f>
        <v>Female</v>
      </c>
      <c r="D427" s="3" t="str">
        <f>VLOOKUP($A427,Table1[],7,TRUE)</f>
        <v>35</v>
      </c>
      <c r="E427" s="3" t="str">
        <f>VLOOKUP($A427,Table1[],8,TRUE)</f>
        <v>Netherlands</v>
      </c>
      <c r="F427" s="3" t="str">
        <f>VLOOKUP($A427,Table1[],9,TRUE)</f>
        <v>Dutch</v>
      </c>
      <c r="G427" s="3" t="str">
        <f>VLOOKUP($A427,Table1[],10,TRUE)</f>
        <v>Machine Learning</v>
      </c>
      <c r="H427" s="13" t="str">
        <f>VLOOKUP($A427,Table1[],12,TRUE)</f>
        <v>10</v>
      </c>
      <c r="I427" s="20">
        <v>75</v>
      </c>
      <c r="J427" s="15">
        <f>VLOOKUP($A427,Table1[],18,TRUE)</f>
        <v>0</v>
      </c>
      <c r="K427" s="12" t="str">
        <f>VLOOKUP($A427,Table1[],22,TRUE)</f>
        <v>TRUE</v>
      </c>
      <c r="L427" s="13">
        <f>VLOOKUP($A427,Table1[],25,TRUE)</f>
        <v>0.74</v>
      </c>
    </row>
    <row r="428" spans="1:12" x14ac:dyDescent="0.25">
      <c r="A428" t="s">
        <v>935</v>
      </c>
      <c r="B428" s="18" t="str">
        <f>VLOOKUP(A428,Table1[],3,TRUE)</f>
        <v>Bradley Weaver</v>
      </c>
      <c r="C428" s="18" t="str">
        <f>VLOOKUP($A428,Table1[],5,TRUE)</f>
        <v>Male</v>
      </c>
      <c r="D428" s="3" t="str">
        <f>VLOOKUP($A428,Table1[],7,TRUE)</f>
        <v>35</v>
      </c>
      <c r="E428" s="3" t="str">
        <f>VLOOKUP($A428,Table1[],8,TRUE)</f>
        <v>United States</v>
      </c>
      <c r="F428" s="3" t="str">
        <f>VLOOKUP($A428,Table1[],9,TRUE)</f>
        <v>English</v>
      </c>
      <c r="G428" s="3" t="str">
        <f>VLOOKUP($A428,Table1[],10,TRUE)</f>
        <v>DevOps</v>
      </c>
      <c r="H428" s="13" t="str">
        <f>VLOOKUP($A428,Table1[],12,TRUE)</f>
        <v>Unknown</v>
      </c>
      <c r="I428" s="20">
        <v>100</v>
      </c>
      <c r="J428" s="15">
        <f>VLOOKUP($A428,Table1[],18,TRUE)</f>
        <v>3.5</v>
      </c>
      <c r="K428" s="12" t="str">
        <f>VLOOKUP($A428,Table1[],22,TRUE)</f>
        <v>TRUE</v>
      </c>
      <c r="L428" s="13">
        <f>VLOOKUP($A428,Table1[],25,TRUE)</f>
        <v>0.71</v>
      </c>
    </row>
    <row r="429" spans="1:12" x14ac:dyDescent="0.25">
      <c r="A429" t="s">
        <v>937</v>
      </c>
      <c r="B429" s="18" t="str">
        <f>VLOOKUP(A429,Table1[],3,TRUE)</f>
        <v>Sarah Hall</v>
      </c>
      <c r="C429" s="18" t="str">
        <f>VLOOKUP($A429,Table1[],5,TRUE)</f>
        <v>Female</v>
      </c>
      <c r="D429" s="3" t="str">
        <f>VLOOKUP($A429,Table1[],7,TRUE)</f>
        <v>29</v>
      </c>
      <c r="E429" s="3" t="str">
        <f>VLOOKUP($A429,Table1[],8,TRUE)</f>
        <v>Netherlands</v>
      </c>
      <c r="F429" s="3" t="str">
        <f>VLOOKUP($A429,Table1[],9,TRUE)</f>
        <v>Dutch</v>
      </c>
      <c r="G429" s="3" t="str">
        <f>VLOOKUP($A429,Table1[],10,TRUE)</f>
        <v>UI/UX Design</v>
      </c>
      <c r="H429" s="13" t="str">
        <f>VLOOKUP($A429,Table1[],12,TRUE)</f>
        <v>6</v>
      </c>
      <c r="I429" s="20">
        <v>50</v>
      </c>
      <c r="J429" s="15">
        <f>VLOOKUP($A429,Table1[],18,TRUE)</f>
        <v>4.8</v>
      </c>
      <c r="K429" s="12" t="str">
        <f>VLOOKUP($A429,Table1[],22,TRUE)</f>
        <v>FALSE</v>
      </c>
      <c r="L429" s="13">
        <f>VLOOKUP($A429,Table1[],25,TRUE)</f>
        <v>0.83</v>
      </c>
    </row>
    <row r="430" spans="1:12" x14ac:dyDescent="0.25">
      <c r="A430" t="s">
        <v>939</v>
      </c>
      <c r="B430" s="18" t="str">
        <f>VLOOKUP(A430,Table1[],3,TRUE)</f>
        <v>Diana Walton</v>
      </c>
      <c r="C430" s="18" t="str">
        <f>VLOOKUP($A430,Table1[],5,TRUE)</f>
        <v>Female</v>
      </c>
      <c r="D430" s="3" t="str">
        <f>VLOOKUP($A430,Table1[],7,TRUE)</f>
        <v>36</v>
      </c>
      <c r="E430" s="3" t="str">
        <f>VLOOKUP($A430,Table1[],8,TRUE)</f>
        <v>Italy</v>
      </c>
      <c r="F430" s="3" t="str">
        <f>VLOOKUP($A430,Table1[],9,TRUE)</f>
        <v>Italian</v>
      </c>
      <c r="G430" s="3" t="str">
        <f>VLOOKUP($A430,Table1[],10,TRUE)</f>
        <v>Machine Learning</v>
      </c>
      <c r="H430" s="13" t="str">
        <f>VLOOKUP($A430,Table1[],12,TRUE)</f>
        <v>1</v>
      </c>
      <c r="I430" s="20">
        <v>75</v>
      </c>
      <c r="J430" s="15">
        <f>VLOOKUP($A430,Table1[],18,TRUE)</f>
        <v>2.6</v>
      </c>
      <c r="K430" s="12" t="str">
        <f>VLOOKUP($A430,Table1[],22,TRUE)</f>
        <v>TRUE</v>
      </c>
      <c r="L430" s="13">
        <f>VLOOKUP($A430,Table1[],25,TRUE)</f>
        <v>0.63</v>
      </c>
    </row>
    <row r="431" spans="1:12" x14ac:dyDescent="0.25">
      <c r="A431" t="s">
        <v>941</v>
      </c>
      <c r="B431" s="18" t="str">
        <f>VLOOKUP(A431,Table1[],3,TRUE)</f>
        <v>Donna Davis</v>
      </c>
      <c r="C431" s="18" t="str">
        <f>VLOOKUP($A431,Table1[],5,TRUE)</f>
        <v>Female</v>
      </c>
      <c r="D431" s="3" t="str">
        <f>VLOOKUP($A431,Table1[],7,TRUE)</f>
        <v>44</v>
      </c>
      <c r="E431" s="3" t="str">
        <f>VLOOKUP($A431,Table1[],8,TRUE)</f>
        <v>Canada</v>
      </c>
      <c r="F431" s="3" t="str">
        <f>VLOOKUP($A431,Table1[],9,TRUE)</f>
        <v>English</v>
      </c>
      <c r="G431" s="3" t="str">
        <f>VLOOKUP($A431,Table1[],10,TRUE)</f>
        <v>AI</v>
      </c>
      <c r="H431" s="13" t="str">
        <f>VLOOKUP($A431,Table1[],12,TRUE)</f>
        <v>0</v>
      </c>
      <c r="I431" s="20">
        <v>50</v>
      </c>
      <c r="J431" s="15">
        <f>VLOOKUP($A431,Table1[],18,TRUE)</f>
        <v>4.8</v>
      </c>
      <c r="K431" s="12" t="str">
        <f>VLOOKUP($A431,Table1[],22,TRUE)</f>
        <v>TRUE</v>
      </c>
      <c r="L431" s="13">
        <f>VLOOKUP($A431,Table1[],25,TRUE)</f>
        <v>0.84</v>
      </c>
    </row>
    <row r="432" spans="1:12" x14ac:dyDescent="0.25">
      <c r="A432" t="s">
        <v>943</v>
      </c>
      <c r="B432" s="18" t="str">
        <f>VLOOKUP(A432,Table1[],3,TRUE)</f>
        <v>Christopher Mcclain</v>
      </c>
      <c r="C432" s="18" t="str">
        <f>VLOOKUP($A432,Table1[],5,TRUE)</f>
        <v>Male</v>
      </c>
      <c r="D432" s="3" t="str">
        <f>VLOOKUP($A432,Table1[],7,TRUE)</f>
        <v>44</v>
      </c>
      <c r="E432" s="3" t="str">
        <f>VLOOKUP($A432,Table1[],8,TRUE)</f>
        <v>South Africa</v>
      </c>
      <c r="F432" s="3" t="str">
        <f>VLOOKUP($A432,Table1[],9,TRUE)</f>
        <v>Afrikaans</v>
      </c>
      <c r="G432" s="3" t="str">
        <f>VLOOKUP($A432,Table1[],10,TRUE)</f>
        <v>Web Development</v>
      </c>
      <c r="H432" s="13" t="str">
        <f>VLOOKUP($A432,Table1[],12,TRUE)</f>
        <v>Unknown</v>
      </c>
      <c r="I432" s="20">
        <v>50</v>
      </c>
      <c r="J432" s="15">
        <f>VLOOKUP($A432,Table1[],18,TRUE)</f>
        <v>1.4</v>
      </c>
      <c r="K432" s="12" t="str">
        <f>VLOOKUP($A432,Table1[],22,TRUE)</f>
        <v>FALSE</v>
      </c>
      <c r="L432" s="13">
        <f>VLOOKUP($A432,Table1[],25,TRUE)</f>
        <v>0.93</v>
      </c>
    </row>
    <row r="433" spans="1:12" x14ac:dyDescent="0.25">
      <c r="A433" t="s">
        <v>945</v>
      </c>
      <c r="B433" s="18" t="str">
        <f>VLOOKUP(A433,Table1[],3,TRUE)</f>
        <v>Dr. Paul Williamson</v>
      </c>
      <c r="C433" s="18" t="str">
        <f>VLOOKUP($A433,Table1[],5,TRUE)</f>
        <v>Male</v>
      </c>
      <c r="D433" s="3" t="str">
        <f>VLOOKUP($A433,Table1[],7,TRUE)</f>
        <v>40</v>
      </c>
      <c r="E433" s="3" t="str">
        <f>VLOOKUP($A433,Table1[],8,TRUE)</f>
        <v>India</v>
      </c>
      <c r="F433" s="3" t="str">
        <f>VLOOKUP($A433,Table1[],9,TRUE)</f>
        <v>Hindi</v>
      </c>
      <c r="G433" s="3" t="str">
        <f>VLOOKUP($A433,Table1[],10,TRUE)</f>
        <v>AI</v>
      </c>
      <c r="H433" s="13" t="str">
        <f>VLOOKUP($A433,Table1[],12,TRUE)</f>
        <v>13</v>
      </c>
      <c r="I433" s="20">
        <v>100</v>
      </c>
      <c r="J433" s="15">
        <f>VLOOKUP($A433,Table1[],18,TRUE)</f>
        <v>1.1000000000000001</v>
      </c>
      <c r="K433" s="12" t="str">
        <f>VLOOKUP($A433,Table1[],22,TRUE)</f>
        <v>TRUE</v>
      </c>
      <c r="L433" s="13">
        <f>VLOOKUP($A433,Table1[],25,TRUE)</f>
        <v>0.75</v>
      </c>
    </row>
    <row r="434" spans="1:12" x14ac:dyDescent="0.25">
      <c r="A434" t="s">
        <v>947</v>
      </c>
      <c r="B434" s="18" t="str">
        <f>VLOOKUP(A434,Table1[],3,TRUE)</f>
        <v>Barbara Brown</v>
      </c>
      <c r="C434" s="18" t="str">
        <f>VLOOKUP($A434,Table1[],5,TRUE)</f>
        <v>Female</v>
      </c>
      <c r="D434" s="3" t="str">
        <f>VLOOKUP($A434,Table1[],7,TRUE)</f>
        <v>53</v>
      </c>
      <c r="E434" s="3" t="str">
        <f>VLOOKUP($A434,Table1[],8,TRUE)</f>
        <v>Netherlands</v>
      </c>
      <c r="F434" s="3" t="str">
        <f>VLOOKUP($A434,Table1[],9,TRUE)</f>
        <v>Dutch</v>
      </c>
      <c r="G434" s="3" t="str">
        <f>VLOOKUP($A434,Table1[],10,TRUE)</f>
        <v>Machine Learning</v>
      </c>
      <c r="H434" s="13" t="str">
        <f>VLOOKUP($A434,Table1[],12,TRUE)</f>
        <v>13</v>
      </c>
      <c r="I434" s="20">
        <v>50</v>
      </c>
      <c r="J434" s="15">
        <f>VLOOKUP($A434,Table1[],18,TRUE)</f>
        <v>3.3</v>
      </c>
      <c r="K434" s="12" t="str">
        <f>VLOOKUP($A434,Table1[],22,TRUE)</f>
        <v>TRUE</v>
      </c>
      <c r="L434" s="13">
        <f>VLOOKUP($A434,Table1[],25,TRUE)</f>
        <v>0.93</v>
      </c>
    </row>
    <row r="435" spans="1:12" x14ac:dyDescent="0.25">
      <c r="A435" t="s">
        <v>949</v>
      </c>
      <c r="B435" s="18" t="str">
        <f>VLOOKUP(A435,Table1[],3,TRUE)</f>
        <v>Kimberly Allen</v>
      </c>
      <c r="C435" s="18" t="str">
        <f>VLOOKUP($A435,Table1[],5,TRUE)</f>
        <v>Female</v>
      </c>
      <c r="D435" s="3" t="str">
        <f>VLOOKUP($A435,Table1[],7,TRUE)</f>
        <v>35</v>
      </c>
      <c r="E435" s="3" t="str">
        <f>VLOOKUP($A435,Table1[],8,TRUE)</f>
        <v>Germany</v>
      </c>
      <c r="F435" s="3" t="str">
        <f>VLOOKUP($A435,Table1[],9,TRUE)</f>
        <v>German</v>
      </c>
      <c r="G435" s="3" t="str">
        <f>VLOOKUP($A435,Table1[],10,TRUE)</f>
        <v>Blockchain Development</v>
      </c>
      <c r="H435" s="13" t="str">
        <f>VLOOKUP($A435,Table1[],12,TRUE)</f>
        <v>0</v>
      </c>
      <c r="I435" s="20">
        <v>30</v>
      </c>
      <c r="J435" s="15">
        <f>VLOOKUP($A435,Table1[],18,TRUE)</f>
        <v>4.5999999999999996</v>
      </c>
      <c r="K435" s="12" t="str">
        <f>VLOOKUP($A435,Table1[],22,TRUE)</f>
        <v>TRUE</v>
      </c>
      <c r="L435" s="13">
        <f>VLOOKUP($A435,Table1[],25,TRUE)</f>
        <v>0.97</v>
      </c>
    </row>
    <row r="436" spans="1:12" x14ac:dyDescent="0.25">
      <c r="A436" t="s">
        <v>951</v>
      </c>
      <c r="B436" s="18" t="str">
        <f>VLOOKUP(A436,Table1[],3,TRUE)</f>
        <v>Elizabeth Edwards</v>
      </c>
      <c r="C436" s="18" t="str">
        <f>VLOOKUP($A436,Table1[],5,TRUE)</f>
        <v>Female</v>
      </c>
      <c r="D436" s="3" t="str">
        <f>VLOOKUP($A436,Table1[],7,TRUE)</f>
        <v>27</v>
      </c>
      <c r="E436" s="3" t="str">
        <f>VLOOKUP($A436,Table1[],8,TRUE)</f>
        <v>Argentina</v>
      </c>
      <c r="F436" s="3" t="str">
        <f>VLOOKUP($A436,Table1[],9,TRUE)</f>
        <v>Spanish</v>
      </c>
      <c r="G436" s="3" t="str">
        <f>VLOOKUP($A436,Table1[],10,TRUE)</f>
        <v>Machine Learning</v>
      </c>
      <c r="H436" s="13" t="str">
        <f>VLOOKUP($A436,Table1[],12,TRUE)</f>
        <v>7</v>
      </c>
      <c r="I436" s="20">
        <v>75</v>
      </c>
      <c r="J436" s="15">
        <f>VLOOKUP($A436,Table1[],18,TRUE)</f>
        <v>2.8</v>
      </c>
      <c r="K436" s="12" t="str">
        <f>VLOOKUP($A436,Table1[],22,TRUE)</f>
        <v>TRUE</v>
      </c>
      <c r="L436" s="13">
        <f>VLOOKUP($A436,Table1[],25,TRUE)</f>
        <v>0.92</v>
      </c>
    </row>
    <row r="437" spans="1:12" x14ac:dyDescent="0.25">
      <c r="A437" t="s">
        <v>953</v>
      </c>
      <c r="B437" s="18" t="str">
        <f>VLOOKUP(A437,Table1[],3,TRUE)</f>
        <v>Anthony Downs</v>
      </c>
      <c r="C437" s="18" t="str">
        <f>VLOOKUP($A437,Table1[],5,TRUE)</f>
        <v>Male</v>
      </c>
      <c r="D437" s="3" t="str">
        <f>VLOOKUP($A437,Table1[],7,TRUE)</f>
        <v>34</v>
      </c>
      <c r="E437" s="3" t="str">
        <f>VLOOKUP($A437,Table1[],8,TRUE)</f>
        <v>Australia</v>
      </c>
      <c r="F437" s="3" t="str">
        <f>VLOOKUP($A437,Table1[],9,TRUE)</f>
        <v>English</v>
      </c>
      <c r="G437" s="3" t="str">
        <f>VLOOKUP($A437,Table1[],10,TRUE)</f>
        <v>DevOps</v>
      </c>
      <c r="H437" s="13" t="str">
        <f>VLOOKUP($A437,Table1[],12,TRUE)</f>
        <v>6</v>
      </c>
      <c r="I437" s="20">
        <v>50</v>
      </c>
      <c r="J437" s="15">
        <f>VLOOKUP($A437,Table1[],18,TRUE)</f>
        <v>5</v>
      </c>
      <c r="K437" s="12" t="str">
        <f>VLOOKUP($A437,Table1[],22,TRUE)</f>
        <v>TRUE</v>
      </c>
      <c r="L437" s="13">
        <f>VLOOKUP($A437,Table1[],25,TRUE)</f>
        <v>0.92</v>
      </c>
    </row>
    <row r="438" spans="1:12" x14ac:dyDescent="0.25">
      <c r="A438" t="s">
        <v>955</v>
      </c>
      <c r="B438" s="18" t="str">
        <f>VLOOKUP(A438,Table1[],3,TRUE)</f>
        <v>Jack Ortega</v>
      </c>
      <c r="C438" s="18" t="str">
        <f>VLOOKUP($A438,Table1[],5,TRUE)</f>
        <v>Male</v>
      </c>
      <c r="D438" s="3" t="str">
        <f>VLOOKUP($A438,Table1[],7,TRUE)</f>
        <v>24</v>
      </c>
      <c r="E438" s="3" t="str">
        <f>VLOOKUP($A438,Table1[],8,TRUE)</f>
        <v>India</v>
      </c>
      <c r="F438" s="3" t="str">
        <f>VLOOKUP($A438,Table1[],9,TRUE)</f>
        <v>Hindi</v>
      </c>
      <c r="G438" s="3" t="str">
        <f>VLOOKUP($A438,Table1[],10,TRUE)</f>
        <v>Cybersecurity</v>
      </c>
      <c r="H438" s="13" t="str">
        <f>VLOOKUP($A438,Table1[],12,TRUE)</f>
        <v>2</v>
      </c>
      <c r="I438" s="20">
        <v>75</v>
      </c>
      <c r="J438" s="15">
        <f>VLOOKUP($A438,Table1[],18,TRUE)</f>
        <v>4.7</v>
      </c>
      <c r="K438" s="12" t="str">
        <f>VLOOKUP($A438,Table1[],22,TRUE)</f>
        <v>FALSE</v>
      </c>
      <c r="L438" s="13">
        <f>VLOOKUP($A438,Table1[],25,TRUE)</f>
        <v>0.68</v>
      </c>
    </row>
    <row r="439" spans="1:12" x14ac:dyDescent="0.25">
      <c r="A439" t="s">
        <v>957</v>
      </c>
      <c r="B439" s="18" t="str">
        <f>VLOOKUP(A439,Table1[],3,TRUE)</f>
        <v>Marvin Moore</v>
      </c>
      <c r="C439" s="18" t="str">
        <f>VLOOKUP($A439,Table1[],5,TRUE)</f>
        <v>Male</v>
      </c>
      <c r="D439" s="3" t="str">
        <f>VLOOKUP($A439,Table1[],7,TRUE)</f>
        <v>57</v>
      </c>
      <c r="E439" s="3" t="str">
        <f>VLOOKUP($A439,Table1[],8,TRUE)</f>
        <v>United States</v>
      </c>
      <c r="F439" s="3" t="str">
        <f>VLOOKUP($A439,Table1[],9,TRUE)</f>
        <v>English</v>
      </c>
      <c r="G439" s="3" t="str">
        <f>VLOOKUP($A439,Table1[],10,TRUE)</f>
        <v>UI/UX Design</v>
      </c>
      <c r="H439" s="13" t="str">
        <f>VLOOKUP($A439,Table1[],12,TRUE)</f>
        <v>13</v>
      </c>
      <c r="I439" s="20">
        <v>100</v>
      </c>
      <c r="J439" s="15">
        <f>VLOOKUP($A439,Table1[],18,TRUE)</f>
        <v>3.5</v>
      </c>
      <c r="K439" s="12" t="str">
        <f>VLOOKUP($A439,Table1[],22,TRUE)</f>
        <v>FALSE</v>
      </c>
      <c r="L439" s="13">
        <f>VLOOKUP($A439,Table1[],25,TRUE)</f>
        <v>0.95</v>
      </c>
    </row>
    <row r="440" spans="1:12" x14ac:dyDescent="0.25">
      <c r="A440" t="s">
        <v>959</v>
      </c>
      <c r="B440" s="18" t="str">
        <f>VLOOKUP(A440,Table1[],3,TRUE)</f>
        <v>Tony French</v>
      </c>
      <c r="C440" s="18" t="str">
        <f>VLOOKUP($A440,Table1[],5,TRUE)</f>
        <v>Male</v>
      </c>
      <c r="D440" s="3" t="str">
        <f>VLOOKUP($A440,Table1[],7,TRUE)</f>
        <v>28</v>
      </c>
      <c r="E440" s="3" t="str">
        <f>VLOOKUP($A440,Table1[],8,TRUE)</f>
        <v>South Korea</v>
      </c>
      <c r="F440" s="3" t="str">
        <f>VLOOKUP($A440,Table1[],9,TRUE)</f>
        <v>Korean</v>
      </c>
      <c r="G440" s="3" t="str">
        <f>VLOOKUP($A440,Table1[],10,TRUE)</f>
        <v>UI/UX Design</v>
      </c>
      <c r="H440" s="13" t="str">
        <f>VLOOKUP($A440,Table1[],12,TRUE)</f>
        <v>7</v>
      </c>
      <c r="I440" s="20">
        <v>100</v>
      </c>
      <c r="J440" s="15">
        <f>VLOOKUP($A440,Table1[],18,TRUE)</f>
        <v>4.3</v>
      </c>
      <c r="K440" s="12" t="str">
        <f>VLOOKUP($A440,Table1[],22,TRUE)</f>
        <v>TRUE</v>
      </c>
      <c r="L440" s="13">
        <f>VLOOKUP($A440,Table1[],25,TRUE)</f>
        <v>0.76</v>
      </c>
    </row>
    <row r="441" spans="1:12" x14ac:dyDescent="0.25">
      <c r="A441" t="s">
        <v>961</v>
      </c>
      <c r="B441" s="18" t="str">
        <f>VLOOKUP(A441,Table1[],3,TRUE)</f>
        <v>Stacy Hudson</v>
      </c>
      <c r="C441" s="18" t="str">
        <f>VLOOKUP($A441,Table1[],5,TRUE)</f>
        <v>Female</v>
      </c>
      <c r="D441" s="3" t="str">
        <f>VLOOKUP($A441,Table1[],7,TRUE)</f>
        <v>26</v>
      </c>
      <c r="E441" s="3" t="str">
        <f>VLOOKUP($A441,Table1[],8,TRUE)</f>
        <v>Italy</v>
      </c>
      <c r="F441" s="3" t="str">
        <f>VLOOKUP($A441,Table1[],9,TRUE)</f>
        <v>Italian</v>
      </c>
      <c r="G441" s="3" t="str">
        <f>VLOOKUP($A441,Table1[],10,TRUE)</f>
        <v>DevOps</v>
      </c>
      <c r="H441" s="13" t="str">
        <f>VLOOKUP($A441,Table1[],12,TRUE)</f>
        <v>7</v>
      </c>
      <c r="I441" s="20">
        <v>100</v>
      </c>
      <c r="J441" s="15">
        <f>VLOOKUP($A441,Table1[],18,TRUE)</f>
        <v>3.3</v>
      </c>
      <c r="K441" s="12" t="str">
        <f>VLOOKUP($A441,Table1[],22,TRUE)</f>
        <v>TRUE</v>
      </c>
      <c r="L441" s="13">
        <f>VLOOKUP($A441,Table1[],25,TRUE)</f>
        <v>0.66</v>
      </c>
    </row>
    <row r="442" spans="1:12" x14ac:dyDescent="0.25">
      <c r="A442" t="s">
        <v>963</v>
      </c>
      <c r="B442" s="18" t="str">
        <f>VLOOKUP(A442,Table1[],3,TRUE)</f>
        <v>Scott Washington</v>
      </c>
      <c r="C442" s="18" t="str">
        <f>VLOOKUP($A442,Table1[],5,TRUE)</f>
        <v>Male</v>
      </c>
      <c r="D442" s="3" t="str">
        <f>VLOOKUP($A442,Table1[],7,TRUE)</f>
        <v>34</v>
      </c>
      <c r="E442" s="3" t="str">
        <f>VLOOKUP($A442,Table1[],8,TRUE)</f>
        <v>Argentina</v>
      </c>
      <c r="F442" s="3" t="str">
        <f>VLOOKUP($A442,Table1[],9,TRUE)</f>
        <v>Spanish</v>
      </c>
      <c r="G442" s="3" t="str">
        <f>VLOOKUP($A442,Table1[],10,TRUE)</f>
        <v>Mobile Apps</v>
      </c>
      <c r="H442" s="13" t="str">
        <f>VLOOKUP($A442,Table1[],12,TRUE)</f>
        <v>15</v>
      </c>
      <c r="I442" s="20">
        <v>75</v>
      </c>
      <c r="J442" s="15">
        <f>VLOOKUP($A442,Table1[],18,TRUE)</f>
        <v>2.6</v>
      </c>
      <c r="K442" s="12" t="str">
        <f>VLOOKUP($A442,Table1[],22,TRUE)</f>
        <v>FALSE</v>
      </c>
      <c r="L442" s="13">
        <f>VLOOKUP($A442,Table1[],25,TRUE)</f>
        <v>0.73</v>
      </c>
    </row>
    <row r="443" spans="1:12" x14ac:dyDescent="0.25">
      <c r="A443" t="s">
        <v>965</v>
      </c>
      <c r="B443" s="18" t="str">
        <f>VLOOKUP(A443,Table1[],3,TRUE)</f>
        <v>Timothy Wright</v>
      </c>
      <c r="C443" s="18" t="str">
        <f>VLOOKUP($A443,Table1[],5,TRUE)</f>
        <v>Male</v>
      </c>
      <c r="D443" s="3" t="str">
        <f>VLOOKUP($A443,Table1[],7,TRUE)</f>
        <v>43</v>
      </c>
      <c r="E443" s="3" t="str">
        <f>VLOOKUP($A443,Table1[],8,TRUE)</f>
        <v>Japan</v>
      </c>
      <c r="F443" s="3" t="str">
        <f>VLOOKUP($A443,Table1[],9,TRUE)</f>
        <v>Japanese</v>
      </c>
      <c r="G443" s="3" t="str">
        <f>VLOOKUP($A443,Table1[],10,TRUE)</f>
        <v>AI</v>
      </c>
      <c r="H443" s="13" t="str">
        <f>VLOOKUP($A443,Table1[],12,TRUE)</f>
        <v>Unknown</v>
      </c>
      <c r="I443" s="20">
        <v>20</v>
      </c>
      <c r="J443" s="15">
        <f>VLOOKUP($A443,Table1[],18,TRUE)</f>
        <v>2.8</v>
      </c>
      <c r="K443" s="12" t="str">
        <f>VLOOKUP($A443,Table1[],22,TRUE)</f>
        <v>TRUE</v>
      </c>
      <c r="L443" s="13">
        <f>VLOOKUP($A443,Table1[],25,TRUE)</f>
        <v>0.99</v>
      </c>
    </row>
    <row r="444" spans="1:12" x14ac:dyDescent="0.25">
      <c r="A444" t="s">
        <v>967</v>
      </c>
      <c r="B444" s="18" t="str">
        <f>VLOOKUP(A444,Table1[],3,TRUE)</f>
        <v>Joseph Gonzalez</v>
      </c>
      <c r="C444" s="18" t="str">
        <f>VLOOKUP($A444,Table1[],5,TRUE)</f>
        <v>Male</v>
      </c>
      <c r="D444" s="3" t="str">
        <f>VLOOKUP($A444,Table1[],7,TRUE)</f>
        <v>31</v>
      </c>
      <c r="E444" s="3" t="str">
        <f>VLOOKUP($A444,Table1[],8,TRUE)</f>
        <v>China</v>
      </c>
      <c r="F444" s="3" t="str">
        <f>VLOOKUP($A444,Table1[],9,TRUE)</f>
        <v>Mandarin</v>
      </c>
      <c r="G444" s="3" t="str">
        <f>VLOOKUP($A444,Table1[],10,TRUE)</f>
        <v>Graphic Design</v>
      </c>
      <c r="H444" s="13" t="str">
        <f>VLOOKUP($A444,Table1[],12,TRUE)</f>
        <v>5</v>
      </c>
      <c r="I444" s="20">
        <v>50</v>
      </c>
      <c r="J444" s="15">
        <f>VLOOKUP($A444,Table1[],18,TRUE)</f>
        <v>2.7</v>
      </c>
      <c r="K444" s="12" t="str">
        <f>VLOOKUP($A444,Table1[],22,TRUE)</f>
        <v>TRUE</v>
      </c>
      <c r="L444" s="13">
        <f>VLOOKUP($A444,Table1[],25,TRUE)</f>
        <v>0.94</v>
      </c>
    </row>
    <row r="445" spans="1:12" x14ac:dyDescent="0.25">
      <c r="A445" t="s">
        <v>969</v>
      </c>
      <c r="B445" s="18" t="str">
        <f>VLOOKUP(A445,Table1[],3,TRUE)</f>
        <v>Andrea Perez</v>
      </c>
      <c r="C445" s="18" t="str">
        <f>VLOOKUP($A445,Table1[],5,TRUE)</f>
        <v>Female</v>
      </c>
      <c r="D445" s="3" t="str">
        <f>VLOOKUP($A445,Table1[],7,TRUE)</f>
        <v>34</v>
      </c>
      <c r="E445" s="3" t="str">
        <f>VLOOKUP($A445,Table1[],8,TRUE)</f>
        <v>China</v>
      </c>
      <c r="F445" s="3" t="str">
        <f>VLOOKUP($A445,Table1[],9,TRUE)</f>
        <v>Mandarin</v>
      </c>
      <c r="G445" s="3" t="str">
        <f>VLOOKUP($A445,Table1[],10,TRUE)</f>
        <v>Blockchain Development</v>
      </c>
      <c r="H445" s="13" t="str">
        <f>VLOOKUP($A445,Table1[],12,TRUE)</f>
        <v>Unknown</v>
      </c>
      <c r="I445" s="20">
        <v>50</v>
      </c>
      <c r="J445" s="15">
        <f>VLOOKUP($A445,Table1[],18,TRUE)</f>
        <v>0</v>
      </c>
      <c r="K445" s="12" t="str">
        <f>VLOOKUP($A445,Table1[],22,TRUE)</f>
        <v>TRUE</v>
      </c>
      <c r="L445" s="13">
        <f>VLOOKUP($A445,Table1[],25,TRUE)</f>
        <v>0.84</v>
      </c>
    </row>
    <row r="446" spans="1:12" x14ac:dyDescent="0.25">
      <c r="A446" t="s">
        <v>971</v>
      </c>
      <c r="B446" s="18" t="str">
        <f>VLOOKUP(A446,Table1[],3,TRUE)</f>
        <v>Angel Collins</v>
      </c>
      <c r="C446" s="18" t="str">
        <f>VLOOKUP($A446,Table1[],5,TRUE)</f>
        <v>Female</v>
      </c>
      <c r="D446" s="3" t="str">
        <f>VLOOKUP($A446,Table1[],7,TRUE)</f>
        <v>32</v>
      </c>
      <c r="E446" s="3" t="str">
        <f>VLOOKUP($A446,Table1[],8,TRUE)</f>
        <v>Russia</v>
      </c>
      <c r="F446" s="3" t="str">
        <f>VLOOKUP($A446,Table1[],9,TRUE)</f>
        <v>Russian</v>
      </c>
      <c r="G446" s="3" t="str">
        <f>VLOOKUP($A446,Table1[],10,TRUE)</f>
        <v>Cybersecurity</v>
      </c>
      <c r="H446" s="13" t="str">
        <f>VLOOKUP($A446,Table1[],12,TRUE)</f>
        <v>10</v>
      </c>
      <c r="I446" s="20">
        <v>20</v>
      </c>
      <c r="J446" s="15">
        <f>VLOOKUP($A446,Table1[],18,TRUE)</f>
        <v>2.6</v>
      </c>
      <c r="K446" s="12" t="str">
        <f>VLOOKUP($A446,Table1[],22,TRUE)</f>
        <v>TRUE</v>
      </c>
      <c r="L446" s="13">
        <f>VLOOKUP($A446,Table1[],25,TRUE)</f>
        <v>0.92</v>
      </c>
    </row>
    <row r="447" spans="1:12" x14ac:dyDescent="0.25">
      <c r="A447" t="s">
        <v>973</v>
      </c>
      <c r="B447" s="18" t="str">
        <f>VLOOKUP(A447,Table1[],3,TRUE)</f>
        <v>Daniel Terry</v>
      </c>
      <c r="C447" s="18" t="str">
        <f>VLOOKUP($A447,Table1[],5,TRUE)</f>
        <v>Male</v>
      </c>
      <c r="D447" s="3" t="str">
        <f>VLOOKUP($A447,Table1[],7,TRUE)</f>
        <v>24</v>
      </c>
      <c r="E447" s="3" t="str">
        <f>VLOOKUP($A447,Table1[],8,TRUE)</f>
        <v>Egypt</v>
      </c>
      <c r="F447" s="3" t="str">
        <f>VLOOKUP($A447,Table1[],9,TRUE)</f>
        <v>Arabic</v>
      </c>
      <c r="G447" s="3" t="str">
        <f>VLOOKUP($A447,Table1[],10,TRUE)</f>
        <v>DevOps</v>
      </c>
      <c r="H447" s="13" t="str">
        <f>VLOOKUP($A447,Table1[],12,TRUE)</f>
        <v>6</v>
      </c>
      <c r="I447" s="20">
        <v>75</v>
      </c>
      <c r="J447" s="15">
        <f>VLOOKUP($A447,Table1[],18,TRUE)</f>
        <v>4.3</v>
      </c>
      <c r="K447" s="12" t="str">
        <f>VLOOKUP($A447,Table1[],22,TRUE)</f>
        <v>TRUE</v>
      </c>
      <c r="L447" s="13">
        <f>VLOOKUP($A447,Table1[],25,TRUE)</f>
        <v>0.75</v>
      </c>
    </row>
    <row r="448" spans="1:12" x14ac:dyDescent="0.25">
      <c r="A448" t="s">
        <v>975</v>
      </c>
      <c r="B448" s="18" t="str">
        <f>VLOOKUP(A448,Table1[],3,TRUE)</f>
        <v>Steven Whitaker</v>
      </c>
      <c r="C448" s="18" t="str">
        <f>VLOOKUP($A448,Table1[],5,TRUE)</f>
        <v>Male</v>
      </c>
      <c r="D448" s="3" t="str">
        <f>VLOOKUP($A448,Table1[],7,TRUE)</f>
        <v>35</v>
      </c>
      <c r="E448" s="3" t="str">
        <f>VLOOKUP($A448,Table1[],8,TRUE)</f>
        <v>United Kingdom</v>
      </c>
      <c r="F448" s="3" t="str">
        <f>VLOOKUP($A448,Table1[],9,TRUE)</f>
        <v>English</v>
      </c>
      <c r="G448" s="3" t="str">
        <f>VLOOKUP($A448,Table1[],10,TRUE)</f>
        <v>AI</v>
      </c>
      <c r="H448" s="13" t="str">
        <f>VLOOKUP($A448,Table1[],12,TRUE)</f>
        <v>8</v>
      </c>
      <c r="I448" s="20">
        <v>50</v>
      </c>
      <c r="J448" s="15">
        <f>VLOOKUP($A448,Table1[],18,TRUE)</f>
        <v>2.6</v>
      </c>
      <c r="K448" s="12" t="str">
        <f>VLOOKUP($A448,Table1[],22,TRUE)</f>
        <v>FALSE</v>
      </c>
      <c r="L448" s="13">
        <f>VLOOKUP($A448,Table1[],25,TRUE)</f>
        <v>0.9</v>
      </c>
    </row>
    <row r="449" spans="1:12" x14ac:dyDescent="0.25">
      <c r="A449" t="s">
        <v>977</v>
      </c>
      <c r="B449" s="18" t="str">
        <f>VLOOKUP(A449,Table1[],3,TRUE)</f>
        <v>Denise Neal</v>
      </c>
      <c r="C449" s="18" t="str">
        <f>VLOOKUP($A449,Table1[],5,TRUE)</f>
        <v>Female</v>
      </c>
      <c r="D449" s="3" t="str">
        <f>VLOOKUP($A449,Table1[],7,TRUE)</f>
        <v>22</v>
      </c>
      <c r="E449" s="3" t="str">
        <f>VLOOKUP($A449,Table1[],8,TRUE)</f>
        <v>Australia</v>
      </c>
      <c r="F449" s="3" t="str">
        <f>VLOOKUP($A449,Table1[],9,TRUE)</f>
        <v>English</v>
      </c>
      <c r="G449" s="3" t="str">
        <f>VLOOKUP($A449,Table1[],10,TRUE)</f>
        <v>Mobile Apps</v>
      </c>
      <c r="H449" s="13" t="str">
        <f>VLOOKUP($A449,Table1[],12,TRUE)</f>
        <v>4</v>
      </c>
      <c r="I449" s="20">
        <v>20</v>
      </c>
      <c r="J449" s="15">
        <f>VLOOKUP($A449,Table1[],18,TRUE)</f>
        <v>2.6</v>
      </c>
      <c r="K449" s="12" t="str">
        <f>VLOOKUP($A449,Table1[],22,TRUE)</f>
        <v>FALSE</v>
      </c>
      <c r="L449" s="13">
        <f>VLOOKUP($A449,Table1[],25,TRUE)</f>
        <v>0.73</v>
      </c>
    </row>
    <row r="450" spans="1:12" x14ac:dyDescent="0.25">
      <c r="A450" t="s">
        <v>979</v>
      </c>
      <c r="B450" s="18" t="str">
        <f>VLOOKUP(A450,Table1[],3,TRUE)</f>
        <v>Amanda Jacobs</v>
      </c>
      <c r="C450" s="18" t="str">
        <f>VLOOKUP($A450,Table1[],5,TRUE)</f>
        <v>Female</v>
      </c>
      <c r="D450" s="3" t="str">
        <f>VLOOKUP($A450,Table1[],7,TRUE)</f>
        <v>55</v>
      </c>
      <c r="E450" s="3" t="str">
        <f>VLOOKUP($A450,Table1[],8,TRUE)</f>
        <v>Egypt</v>
      </c>
      <c r="F450" s="3" t="str">
        <f>VLOOKUP($A450,Table1[],9,TRUE)</f>
        <v>Arabic</v>
      </c>
      <c r="G450" s="3" t="str">
        <f>VLOOKUP($A450,Table1[],10,TRUE)</f>
        <v>AI</v>
      </c>
      <c r="H450" s="13" t="str">
        <f>VLOOKUP($A450,Table1[],12,TRUE)</f>
        <v>3</v>
      </c>
      <c r="I450" s="20">
        <v>100</v>
      </c>
      <c r="J450" s="15">
        <f>VLOOKUP($A450,Table1[],18,TRUE)</f>
        <v>2.6</v>
      </c>
      <c r="K450" s="12" t="str">
        <f>VLOOKUP($A450,Table1[],22,TRUE)</f>
        <v>TRUE</v>
      </c>
      <c r="L450" s="13">
        <f>VLOOKUP($A450,Table1[],25,TRUE)</f>
        <v>0.73</v>
      </c>
    </row>
    <row r="451" spans="1:12" x14ac:dyDescent="0.25">
      <c r="A451" t="s">
        <v>981</v>
      </c>
      <c r="B451" s="18" t="str">
        <f>VLOOKUP(A451,Table1[],3,TRUE)</f>
        <v>Karen Mercer</v>
      </c>
      <c r="C451" s="18" t="str">
        <f>VLOOKUP($A451,Table1[],5,TRUE)</f>
        <v>Female</v>
      </c>
      <c r="D451" s="3" t="str">
        <f>VLOOKUP($A451,Table1[],7,TRUE)</f>
        <v>54</v>
      </c>
      <c r="E451" s="3" t="str">
        <f>VLOOKUP($A451,Table1[],8,TRUE)</f>
        <v>Argentina</v>
      </c>
      <c r="F451" s="3" t="str">
        <f>VLOOKUP($A451,Table1[],9,TRUE)</f>
        <v>Spanish</v>
      </c>
      <c r="G451" s="3" t="str">
        <f>VLOOKUP($A451,Table1[],10,TRUE)</f>
        <v>Machine Learning</v>
      </c>
      <c r="H451" s="13" t="str">
        <f>VLOOKUP($A451,Table1[],12,TRUE)</f>
        <v>Unknown</v>
      </c>
      <c r="I451" s="20">
        <v>30</v>
      </c>
      <c r="J451" s="15">
        <f>VLOOKUP($A451,Table1[],18,TRUE)</f>
        <v>2.9</v>
      </c>
      <c r="K451" s="12" t="str">
        <f>VLOOKUP($A451,Table1[],22,TRUE)</f>
        <v>TRUE</v>
      </c>
      <c r="L451" s="13">
        <f>VLOOKUP($A451,Table1[],25,TRUE)</f>
        <v>0.78</v>
      </c>
    </row>
    <row r="452" spans="1:12" x14ac:dyDescent="0.25">
      <c r="A452" t="s">
        <v>983</v>
      </c>
      <c r="B452" s="18" t="str">
        <f>VLOOKUP(A452,Table1[],3,TRUE)</f>
        <v>Lindsay Hudson</v>
      </c>
      <c r="C452" s="18" t="str">
        <f>VLOOKUP($A452,Table1[],5,TRUE)</f>
        <v>Female</v>
      </c>
      <c r="D452" s="3" t="str">
        <f>VLOOKUP($A452,Table1[],7,TRUE)</f>
        <v>36</v>
      </c>
      <c r="E452" s="3" t="str">
        <f>VLOOKUP($A452,Table1[],8,TRUE)</f>
        <v>Netherlands</v>
      </c>
      <c r="F452" s="3" t="str">
        <f>VLOOKUP($A452,Table1[],9,TRUE)</f>
        <v>Dutch</v>
      </c>
      <c r="G452" s="3" t="str">
        <f>VLOOKUP($A452,Table1[],10,TRUE)</f>
        <v>Cybersecurity</v>
      </c>
      <c r="H452" s="13" t="str">
        <f>VLOOKUP($A452,Table1[],12,TRUE)</f>
        <v>11</v>
      </c>
      <c r="I452" s="20">
        <v>30</v>
      </c>
      <c r="J452" s="15">
        <f>VLOOKUP($A452,Table1[],18,TRUE)</f>
        <v>0</v>
      </c>
      <c r="K452" s="12" t="str">
        <f>VLOOKUP($A452,Table1[],22,TRUE)</f>
        <v>TRUE</v>
      </c>
      <c r="L452" s="13">
        <f>VLOOKUP($A452,Table1[],25,TRUE)</f>
        <v>0.63</v>
      </c>
    </row>
    <row r="453" spans="1:12" x14ac:dyDescent="0.25">
      <c r="A453" t="s">
        <v>985</v>
      </c>
      <c r="B453" s="18" t="str">
        <f>VLOOKUP(A453,Table1[],3,TRUE)</f>
        <v>Stephanie Armstrong</v>
      </c>
      <c r="C453" s="18" t="str">
        <f>VLOOKUP($A453,Table1[],5,TRUE)</f>
        <v>Female</v>
      </c>
      <c r="D453" s="3" t="str">
        <f>VLOOKUP($A453,Table1[],7,TRUE)</f>
        <v>36</v>
      </c>
      <c r="E453" s="3" t="str">
        <f>VLOOKUP($A453,Table1[],8,TRUE)</f>
        <v>Netherlands</v>
      </c>
      <c r="F453" s="3" t="str">
        <f>VLOOKUP($A453,Table1[],9,TRUE)</f>
        <v>Dutch</v>
      </c>
      <c r="G453" s="3" t="str">
        <f>VLOOKUP($A453,Table1[],10,TRUE)</f>
        <v>AI</v>
      </c>
      <c r="H453" s="13" t="str">
        <f>VLOOKUP($A453,Table1[],12,TRUE)</f>
        <v>17</v>
      </c>
      <c r="I453" s="20">
        <v>50</v>
      </c>
      <c r="J453" s="15">
        <f>VLOOKUP($A453,Table1[],18,TRUE)</f>
        <v>1.3</v>
      </c>
      <c r="K453" s="12" t="str">
        <f>VLOOKUP($A453,Table1[],22,TRUE)</f>
        <v>TRUE</v>
      </c>
      <c r="L453" s="13">
        <f>VLOOKUP($A453,Table1[],25,TRUE)</f>
        <v>0.64</v>
      </c>
    </row>
    <row r="454" spans="1:12" x14ac:dyDescent="0.25">
      <c r="A454" t="s">
        <v>987</v>
      </c>
      <c r="B454" s="18" t="str">
        <f>VLOOKUP(A454,Table1[],3,TRUE)</f>
        <v>Dr. Jessica Campbell</v>
      </c>
      <c r="C454" s="18" t="str">
        <f>VLOOKUP($A454,Table1[],5,TRUE)</f>
        <v>Female</v>
      </c>
      <c r="D454" s="3" t="str">
        <f>VLOOKUP($A454,Table1[],7,TRUE)</f>
        <v>25</v>
      </c>
      <c r="E454" s="3" t="str">
        <f>VLOOKUP($A454,Table1[],8,TRUE)</f>
        <v>Argentina</v>
      </c>
      <c r="F454" s="3" t="str">
        <f>VLOOKUP($A454,Table1[],9,TRUE)</f>
        <v>Spanish</v>
      </c>
      <c r="G454" s="3" t="str">
        <f>VLOOKUP($A454,Table1[],10,TRUE)</f>
        <v>Web Development</v>
      </c>
      <c r="H454" s="13" t="str">
        <f>VLOOKUP($A454,Table1[],12,TRUE)</f>
        <v>1</v>
      </c>
      <c r="I454" s="20">
        <v>75</v>
      </c>
      <c r="J454" s="15">
        <f>VLOOKUP($A454,Table1[],18,TRUE)</f>
        <v>0</v>
      </c>
      <c r="K454" s="12" t="str">
        <f>VLOOKUP($A454,Table1[],22,TRUE)</f>
        <v>TRUE</v>
      </c>
      <c r="L454" s="13">
        <f>VLOOKUP($A454,Table1[],25,TRUE)</f>
        <v>0.75</v>
      </c>
    </row>
    <row r="455" spans="1:12" x14ac:dyDescent="0.25">
      <c r="A455" t="s">
        <v>989</v>
      </c>
      <c r="B455" s="18" t="str">
        <f>VLOOKUP(A455,Table1[],3,TRUE)</f>
        <v>Curtis Maxwell</v>
      </c>
      <c r="C455" s="18" t="str">
        <f>VLOOKUP($A455,Table1[],5,TRUE)</f>
        <v>Male</v>
      </c>
      <c r="D455" s="3" t="str">
        <f>VLOOKUP($A455,Table1[],7,TRUE)</f>
        <v>46</v>
      </c>
      <c r="E455" s="3" t="str">
        <f>VLOOKUP($A455,Table1[],8,TRUE)</f>
        <v>Indonesia</v>
      </c>
      <c r="F455" s="3" t="str">
        <f>VLOOKUP($A455,Table1[],9,TRUE)</f>
        <v>Indonesian</v>
      </c>
      <c r="G455" s="3" t="str">
        <f>VLOOKUP($A455,Table1[],10,TRUE)</f>
        <v>AI</v>
      </c>
      <c r="H455" s="13" t="str">
        <f>VLOOKUP($A455,Table1[],12,TRUE)</f>
        <v>16</v>
      </c>
      <c r="I455" s="20">
        <v>20</v>
      </c>
      <c r="J455" s="15">
        <f>VLOOKUP($A455,Table1[],18,TRUE)</f>
        <v>4.8</v>
      </c>
      <c r="K455" s="12" t="str">
        <f>VLOOKUP($A455,Table1[],22,TRUE)</f>
        <v>TRUE</v>
      </c>
      <c r="L455" s="13">
        <f>VLOOKUP($A455,Table1[],25,TRUE)</f>
        <v>0.86</v>
      </c>
    </row>
    <row r="456" spans="1:12" x14ac:dyDescent="0.25">
      <c r="A456" t="s">
        <v>991</v>
      </c>
      <c r="B456" s="18" t="str">
        <f>VLOOKUP(A456,Table1[],3,TRUE)</f>
        <v>Adam Kelly Phd</v>
      </c>
      <c r="C456" s="18" t="str">
        <f>VLOOKUP($A456,Table1[],5,TRUE)</f>
        <v>Male</v>
      </c>
      <c r="D456" s="3" t="str">
        <f>VLOOKUP($A456,Table1[],7,TRUE)</f>
        <v>41</v>
      </c>
      <c r="E456" s="3" t="str">
        <f>VLOOKUP($A456,Table1[],8,TRUE)</f>
        <v>Argentina</v>
      </c>
      <c r="F456" s="3" t="str">
        <f>VLOOKUP($A456,Table1[],9,TRUE)</f>
        <v>Spanish</v>
      </c>
      <c r="G456" s="3" t="str">
        <f>VLOOKUP($A456,Table1[],10,TRUE)</f>
        <v>Machine Learning</v>
      </c>
      <c r="H456" s="13" t="str">
        <f>VLOOKUP($A456,Table1[],12,TRUE)</f>
        <v>11</v>
      </c>
      <c r="I456" s="20">
        <v>40</v>
      </c>
      <c r="J456" s="15">
        <f>VLOOKUP($A456,Table1[],18,TRUE)</f>
        <v>2.4</v>
      </c>
      <c r="K456" s="12" t="str">
        <f>VLOOKUP($A456,Table1[],22,TRUE)</f>
        <v>TRUE</v>
      </c>
      <c r="L456" s="13">
        <f>VLOOKUP($A456,Table1[],25,TRUE)</f>
        <v>0.75</v>
      </c>
    </row>
    <row r="457" spans="1:12" x14ac:dyDescent="0.25">
      <c r="A457" t="s">
        <v>993</v>
      </c>
      <c r="B457" s="18" t="str">
        <f>VLOOKUP(A457,Table1[],3,TRUE)</f>
        <v>Julie Becker</v>
      </c>
      <c r="C457" s="18" t="str">
        <f>VLOOKUP($A457,Table1[],5,TRUE)</f>
        <v>Female</v>
      </c>
      <c r="D457" s="3" t="str">
        <f>VLOOKUP($A457,Table1[],7,TRUE)</f>
        <v>21</v>
      </c>
      <c r="E457" s="3" t="str">
        <f>VLOOKUP($A457,Table1[],8,TRUE)</f>
        <v>Russia</v>
      </c>
      <c r="F457" s="3" t="str">
        <f>VLOOKUP($A457,Table1[],9,TRUE)</f>
        <v>Russian</v>
      </c>
      <c r="G457" s="3" t="str">
        <f>VLOOKUP($A457,Table1[],10,TRUE)</f>
        <v>Mobile Apps</v>
      </c>
      <c r="H457" s="13" t="str">
        <f>VLOOKUP($A457,Table1[],12,TRUE)</f>
        <v>3</v>
      </c>
      <c r="I457" s="20">
        <v>100</v>
      </c>
      <c r="J457" s="15">
        <f>VLOOKUP($A457,Table1[],18,TRUE)</f>
        <v>4.7</v>
      </c>
      <c r="K457" s="12" t="str">
        <f>VLOOKUP($A457,Table1[],22,TRUE)</f>
        <v>FALSE</v>
      </c>
      <c r="L457" s="13">
        <f>VLOOKUP($A457,Table1[],25,TRUE)</f>
        <v>0.96</v>
      </c>
    </row>
    <row r="458" spans="1:12" x14ac:dyDescent="0.25">
      <c r="A458" t="s">
        <v>995</v>
      </c>
      <c r="B458" s="18" t="str">
        <f>VLOOKUP(A458,Table1[],3,TRUE)</f>
        <v>James Moore</v>
      </c>
      <c r="C458" s="18" t="str">
        <f>VLOOKUP($A458,Table1[],5,TRUE)</f>
        <v>Male</v>
      </c>
      <c r="D458" s="3" t="str">
        <f>VLOOKUP($A458,Table1[],7,TRUE)</f>
        <v>29</v>
      </c>
      <c r="E458" s="3" t="str">
        <f>VLOOKUP($A458,Table1[],8,TRUE)</f>
        <v>United States</v>
      </c>
      <c r="F458" s="3" t="str">
        <f>VLOOKUP($A458,Table1[],9,TRUE)</f>
        <v>English</v>
      </c>
      <c r="G458" s="3" t="str">
        <f>VLOOKUP($A458,Table1[],10,TRUE)</f>
        <v>Graphic Design</v>
      </c>
      <c r="H458" s="13" t="str">
        <f>VLOOKUP($A458,Table1[],12,TRUE)</f>
        <v>Unknown</v>
      </c>
      <c r="I458" s="20">
        <v>75</v>
      </c>
      <c r="J458" s="15">
        <f>VLOOKUP($A458,Table1[],18,TRUE)</f>
        <v>2</v>
      </c>
      <c r="K458" s="12" t="str">
        <f>VLOOKUP($A458,Table1[],22,TRUE)</f>
        <v>FALSE</v>
      </c>
      <c r="L458" s="13">
        <f>VLOOKUP($A458,Table1[],25,TRUE)</f>
        <v>0.75</v>
      </c>
    </row>
    <row r="459" spans="1:12" x14ac:dyDescent="0.25">
      <c r="A459" t="s">
        <v>997</v>
      </c>
      <c r="B459" s="18" t="str">
        <f>VLOOKUP(A459,Table1[],3,TRUE)</f>
        <v>Danielle Barrera</v>
      </c>
      <c r="C459" s="18" t="str">
        <f>VLOOKUP($A459,Table1[],5,TRUE)</f>
        <v>Female</v>
      </c>
      <c r="D459" s="3" t="str">
        <f>VLOOKUP($A459,Table1[],7,TRUE)</f>
        <v>44</v>
      </c>
      <c r="E459" s="3" t="str">
        <f>VLOOKUP($A459,Table1[],8,TRUE)</f>
        <v>United States</v>
      </c>
      <c r="F459" s="3" t="str">
        <f>VLOOKUP($A459,Table1[],9,TRUE)</f>
        <v>English</v>
      </c>
      <c r="G459" s="3" t="str">
        <f>VLOOKUP($A459,Table1[],10,TRUE)</f>
        <v>Mobile Apps</v>
      </c>
      <c r="H459" s="13" t="str">
        <f>VLOOKUP($A459,Table1[],12,TRUE)</f>
        <v>3</v>
      </c>
      <c r="I459" s="20">
        <v>50</v>
      </c>
      <c r="J459" s="15">
        <f>VLOOKUP($A459,Table1[],18,TRUE)</f>
        <v>2.2000000000000002</v>
      </c>
      <c r="K459" s="12" t="str">
        <f>VLOOKUP($A459,Table1[],22,TRUE)</f>
        <v>FALSE</v>
      </c>
      <c r="L459" s="13">
        <f>VLOOKUP($A459,Table1[],25,TRUE)</f>
        <v>0.77</v>
      </c>
    </row>
    <row r="460" spans="1:12" x14ac:dyDescent="0.25">
      <c r="A460" t="s">
        <v>999</v>
      </c>
      <c r="B460" s="18" t="str">
        <f>VLOOKUP(A460,Table1[],3,TRUE)</f>
        <v>David Sanchez</v>
      </c>
      <c r="C460" s="18" t="str">
        <f>VLOOKUP($A460,Table1[],5,TRUE)</f>
        <v>Male</v>
      </c>
      <c r="D460" s="3" t="str">
        <f>VLOOKUP($A460,Table1[],7,TRUE)</f>
        <v>40</v>
      </c>
      <c r="E460" s="3" t="str">
        <f>VLOOKUP($A460,Table1[],8,TRUE)</f>
        <v>Canada</v>
      </c>
      <c r="F460" s="3" t="str">
        <f>VLOOKUP($A460,Table1[],9,TRUE)</f>
        <v>English</v>
      </c>
      <c r="G460" s="3" t="str">
        <f>VLOOKUP($A460,Table1[],10,TRUE)</f>
        <v>Machine Learning</v>
      </c>
      <c r="H460" s="13" t="str">
        <f>VLOOKUP($A460,Table1[],12,TRUE)</f>
        <v>1</v>
      </c>
      <c r="I460" s="20">
        <v>100</v>
      </c>
      <c r="J460" s="15">
        <f>VLOOKUP($A460,Table1[],18,TRUE)</f>
        <v>2.1</v>
      </c>
      <c r="K460" s="12" t="str">
        <f>VLOOKUP($A460,Table1[],22,TRUE)</f>
        <v>TRUE</v>
      </c>
      <c r="L460" s="13">
        <f>VLOOKUP($A460,Table1[],25,TRUE)</f>
        <v>0.75</v>
      </c>
    </row>
    <row r="461" spans="1:12" x14ac:dyDescent="0.25">
      <c r="A461" t="s">
        <v>1001</v>
      </c>
      <c r="B461" s="18" t="str">
        <f>VLOOKUP(A461,Table1[],3,TRUE)</f>
        <v>Tiffany Bowman</v>
      </c>
      <c r="C461" s="18" t="str">
        <f>VLOOKUP($A461,Table1[],5,TRUE)</f>
        <v>Female</v>
      </c>
      <c r="D461" s="3" t="str">
        <f>VLOOKUP($A461,Table1[],7,TRUE)</f>
        <v>27</v>
      </c>
      <c r="E461" s="3" t="str">
        <f>VLOOKUP($A461,Table1[],8,TRUE)</f>
        <v>Egypt</v>
      </c>
      <c r="F461" s="3" t="str">
        <f>VLOOKUP($A461,Table1[],9,TRUE)</f>
        <v>Arabic</v>
      </c>
      <c r="G461" s="3" t="str">
        <f>VLOOKUP($A461,Table1[],10,TRUE)</f>
        <v>Data Analysis</v>
      </c>
      <c r="H461" s="13" t="str">
        <f>VLOOKUP($A461,Table1[],12,TRUE)</f>
        <v>1</v>
      </c>
      <c r="I461" s="20">
        <v>30</v>
      </c>
      <c r="J461" s="15">
        <f>VLOOKUP($A461,Table1[],18,TRUE)</f>
        <v>1.7</v>
      </c>
      <c r="K461" s="12" t="str">
        <f>VLOOKUP($A461,Table1[],22,TRUE)</f>
        <v>TRUE</v>
      </c>
      <c r="L461" s="13">
        <f>VLOOKUP($A461,Table1[],25,TRUE)</f>
        <v>0.65</v>
      </c>
    </row>
    <row r="462" spans="1:12" x14ac:dyDescent="0.25">
      <c r="A462" t="s">
        <v>1003</v>
      </c>
      <c r="B462" s="18" t="str">
        <f>VLOOKUP(A462,Table1[],3,TRUE)</f>
        <v>Jesus Quinn</v>
      </c>
      <c r="C462" s="18" t="str">
        <f>VLOOKUP($A462,Table1[],5,TRUE)</f>
        <v>Male</v>
      </c>
      <c r="D462" s="3" t="str">
        <f>VLOOKUP($A462,Table1[],7,TRUE)</f>
        <v>53</v>
      </c>
      <c r="E462" s="3" t="str">
        <f>VLOOKUP($A462,Table1[],8,TRUE)</f>
        <v>France</v>
      </c>
      <c r="F462" s="3" t="str">
        <f>VLOOKUP($A462,Table1[],9,TRUE)</f>
        <v>French</v>
      </c>
      <c r="G462" s="3" t="str">
        <f>VLOOKUP($A462,Table1[],10,TRUE)</f>
        <v>Mobile Apps</v>
      </c>
      <c r="H462" s="13" t="str">
        <f>VLOOKUP($A462,Table1[],12,TRUE)</f>
        <v>35</v>
      </c>
      <c r="I462" s="20">
        <v>50</v>
      </c>
      <c r="J462" s="15">
        <f>VLOOKUP($A462,Table1[],18,TRUE)</f>
        <v>5</v>
      </c>
      <c r="K462" s="12" t="str">
        <f>VLOOKUP($A462,Table1[],22,TRUE)</f>
        <v>TRUE</v>
      </c>
      <c r="L462" s="13">
        <f>VLOOKUP($A462,Table1[],25,TRUE)</f>
        <v>0.62</v>
      </c>
    </row>
    <row r="463" spans="1:12" x14ac:dyDescent="0.25">
      <c r="A463" t="s">
        <v>1005</v>
      </c>
      <c r="B463" s="18" t="str">
        <f>VLOOKUP(A463,Table1[],3,TRUE)</f>
        <v>Danny Morris Dds</v>
      </c>
      <c r="C463" s="18" t="str">
        <f>VLOOKUP($A463,Table1[],5,TRUE)</f>
        <v>Male</v>
      </c>
      <c r="D463" s="3" t="str">
        <f>VLOOKUP($A463,Table1[],7,TRUE)</f>
        <v>20</v>
      </c>
      <c r="E463" s="3" t="str">
        <f>VLOOKUP($A463,Table1[],8,TRUE)</f>
        <v>Turkey</v>
      </c>
      <c r="F463" s="3" t="str">
        <f>VLOOKUP($A463,Table1[],9,TRUE)</f>
        <v>Turkish</v>
      </c>
      <c r="G463" s="3" t="str">
        <f>VLOOKUP($A463,Table1[],10,TRUE)</f>
        <v>Data Analysis</v>
      </c>
      <c r="H463" s="13" t="str">
        <f>VLOOKUP($A463,Table1[],12,TRUE)</f>
        <v>1</v>
      </c>
      <c r="I463" s="20">
        <v>50</v>
      </c>
      <c r="J463" s="15">
        <f>VLOOKUP($A463,Table1[],18,TRUE)</f>
        <v>2.9</v>
      </c>
      <c r="K463" s="12" t="str">
        <f>VLOOKUP($A463,Table1[],22,TRUE)</f>
        <v>FALSE</v>
      </c>
      <c r="L463" s="13">
        <f>VLOOKUP($A463,Table1[],25,TRUE)</f>
        <v>0.81</v>
      </c>
    </row>
    <row r="464" spans="1:12" x14ac:dyDescent="0.25">
      <c r="A464" t="s">
        <v>1007</v>
      </c>
      <c r="B464" s="18" t="str">
        <f>VLOOKUP(A464,Table1[],3,TRUE)</f>
        <v>Nicole York</v>
      </c>
      <c r="C464" s="18" t="str">
        <f>VLOOKUP($A464,Table1[],5,TRUE)</f>
        <v>Female</v>
      </c>
      <c r="D464" s="3" t="str">
        <f>VLOOKUP($A464,Table1[],7,TRUE)</f>
        <v>Unknown</v>
      </c>
      <c r="E464" s="3" t="str">
        <f>VLOOKUP($A464,Table1[],8,TRUE)</f>
        <v>Japan</v>
      </c>
      <c r="F464" s="3" t="str">
        <f>VLOOKUP($A464,Table1[],9,TRUE)</f>
        <v>Japanese</v>
      </c>
      <c r="G464" s="3" t="str">
        <f>VLOOKUP($A464,Table1[],10,TRUE)</f>
        <v>DevOps</v>
      </c>
      <c r="H464" s="13" t="str">
        <f>VLOOKUP($A464,Table1[],12,TRUE)</f>
        <v>12</v>
      </c>
      <c r="I464" s="20">
        <v>50</v>
      </c>
      <c r="J464" s="15">
        <f>VLOOKUP($A464,Table1[],18,TRUE)</f>
        <v>4.0999999999999996</v>
      </c>
      <c r="K464" s="12" t="str">
        <f>VLOOKUP($A464,Table1[],22,TRUE)</f>
        <v>TRUE</v>
      </c>
      <c r="L464" s="13">
        <f>VLOOKUP($A464,Table1[],25,TRUE)</f>
        <v>0.62</v>
      </c>
    </row>
    <row r="465" spans="1:12" x14ac:dyDescent="0.25">
      <c r="A465" t="s">
        <v>1009</v>
      </c>
      <c r="B465" s="18" t="str">
        <f>VLOOKUP(A465,Table1[],3,TRUE)</f>
        <v>John Mathis</v>
      </c>
      <c r="C465" s="18" t="str">
        <f>VLOOKUP($A465,Table1[],5,TRUE)</f>
        <v>Male</v>
      </c>
      <c r="D465" s="3" t="str">
        <f>VLOOKUP($A465,Table1[],7,TRUE)</f>
        <v>26</v>
      </c>
      <c r="E465" s="3" t="str">
        <f>VLOOKUP($A465,Table1[],8,TRUE)</f>
        <v>Mexico</v>
      </c>
      <c r="F465" s="3" t="str">
        <f>VLOOKUP($A465,Table1[],9,TRUE)</f>
        <v>Spanish</v>
      </c>
      <c r="G465" s="3" t="str">
        <f>VLOOKUP($A465,Table1[],10,TRUE)</f>
        <v>Web Development</v>
      </c>
      <c r="H465" s="13" t="str">
        <f>VLOOKUP($A465,Table1[],12,TRUE)</f>
        <v>8</v>
      </c>
      <c r="I465" s="20">
        <v>40</v>
      </c>
      <c r="J465" s="15">
        <f>VLOOKUP($A465,Table1[],18,TRUE)</f>
        <v>4.9000000000000004</v>
      </c>
      <c r="K465" s="12" t="str">
        <f>VLOOKUP($A465,Table1[],22,TRUE)</f>
        <v>FALSE</v>
      </c>
      <c r="L465" s="13">
        <f>VLOOKUP($A465,Table1[],25,TRUE)</f>
        <v>0.87</v>
      </c>
    </row>
    <row r="466" spans="1:12" x14ac:dyDescent="0.25">
      <c r="A466" t="s">
        <v>1011</v>
      </c>
      <c r="B466" s="18" t="str">
        <f>VLOOKUP(A466,Table1[],3,TRUE)</f>
        <v>Julie Barnett</v>
      </c>
      <c r="C466" s="18" t="str">
        <f>VLOOKUP($A466,Table1[],5,TRUE)</f>
        <v>Female</v>
      </c>
      <c r="D466" s="3" t="str">
        <f>VLOOKUP($A466,Table1[],7,TRUE)</f>
        <v>49</v>
      </c>
      <c r="E466" s="3" t="str">
        <f>VLOOKUP($A466,Table1[],8,TRUE)</f>
        <v>Brazil</v>
      </c>
      <c r="F466" s="3" t="str">
        <f>VLOOKUP($A466,Table1[],9,TRUE)</f>
        <v>Portuguese</v>
      </c>
      <c r="G466" s="3" t="str">
        <f>VLOOKUP($A466,Table1[],10,TRUE)</f>
        <v>Machine Learning</v>
      </c>
      <c r="H466" s="13" t="str">
        <f>VLOOKUP($A466,Table1[],12,TRUE)</f>
        <v>13</v>
      </c>
      <c r="I466" s="20">
        <v>100</v>
      </c>
      <c r="J466" s="15">
        <f>VLOOKUP($A466,Table1[],18,TRUE)</f>
        <v>2.5</v>
      </c>
      <c r="K466" s="12" t="str">
        <f>VLOOKUP($A466,Table1[],22,TRUE)</f>
        <v>TRUE</v>
      </c>
      <c r="L466" s="13">
        <f>VLOOKUP($A466,Table1[],25,TRUE)</f>
        <v>0.75</v>
      </c>
    </row>
    <row r="467" spans="1:12" x14ac:dyDescent="0.25">
      <c r="A467" t="s">
        <v>1013</v>
      </c>
      <c r="B467" s="18" t="str">
        <f>VLOOKUP(A467,Table1[],3,TRUE)</f>
        <v>Jasmine Harris</v>
      </c>
      <c r="C467" s="18" t="str">
        <f>VLOOKUP($A467,Table1[],5,TRUE)</f>
        <v>Female</v>
      </c>
      <c r="D467" s="3" t="str">
        <f>VLOOKUP($A467,Table1[],7,TRUE)</f>
        <v>20</v>
      </c>
      <c r="E467" s="3" t="str">
        <f>VLOOKUP($A467,Table1[],8,TRUE)</f>
        <v>Egypt</v>
      </c>
      <c r="F467" s="3" t="str">
        <f>VLOOKUP($A467,Table1[],9,TRUE)</f>
        <v>Arabic</v>
      </c>
      <c r="G467" s="3" t="str">
        <f>VLOOKUP($A467,Table1[],10,TRUE)</f>
        <v>Data Analysis</v>
      </c>
      <c r="H467" s="13" t="str">
        <f>VLOOKUP($A467,Table1[],12,TRUE)</f>
        <v>0</v>
      </c>
      <c r="I467" s="20">
        <v>30</v>
      </c>
      <c r="J467" s="15">
        <f>VLOOKUP($A467,Table1[],18,TRUE)</f>
        <v>0</v>
      </c>
      <c r="K467" s="12" t="str">
        <f>VLOOKUP($A467,Table1[],22,TRUE)</f>
        <v>TRUE</v>
      </c>
      <c r="L467" s="13">
        <f>VLOOKUP($A467,Table1[],25,TRUE)</f>
        <v>0.76</v>
      </c>
    </row>
    <row r="468" spans="1:12" x14ac:dyDescent="0.25">
      <c r="A468" t="s">
        <v>1015</v>
      </c>
      <c r="B468" s="18" t="str">
        <f>VLOOKUP(A468,Table1[],3,TRUE)</f>
        <v>Mary Henry</v>
      </c>
      <c r="C468" s="18" t="str">
        <f>VLOOKUP($A468,Table1[],5,TRUE)</f>
        <v>Female</v>
      </c>
      <c r="D468" s="3" t="str">
        <f>VLOOKUP($A468,Table1[],7,TRUE)</f>
        <v>39</v>
      </c>
      <c r="E468" s="3" t="str">
        <f>VLOOKUP($A468,Table1[],8,TRUE)</f>
        <v>China</v>
      </c>
      <c r="F468" s="3" t="str">
        <f>VLOOKUP($A468,Table1[],9,TRUE)</f>
        <v>Mandarin</v>
      </c>
      <c r="G468" s="3" t="str">
        <f>VLOOKUP($A468,Table1[],10,TRUE)</f>
        <v>Blockchain Development</v>
      </c>
      <c r="H468" s="13" t="str">
        <f>VLOOKUP($A468,Table1[],12,TRUE)</f>
        <v>11</v>
      </c>
      <c r="I468" s="20">
        <v>100</v>
      </c>
      <c r="J468" s="15">
        <f>VLOOKUP($A468,Table1[],18,TRUE)</f>
        <v>2.8</v>
      </c>
      <c r="K468" s="12" t="str">
        <f>VLOOKUP($A468,Table1[],22,TRUE)</f>
        <v>TRUE</v>
      </c>
      <c r="L468" s="13">
        <f>VLOOKUP($A468,Table1[],25,TRUE)</f>
        <v>0.7</v>
      </c>
    </row>
    <row r="469" spans="1:12" x14ac:dyDescent="0.25">
      <c r="A469" t="s">
        <v>1017</v>
      </c>
      <c r="B469" s="18" t="str">
        <f>VLOOKUP(A469,Table1[],3,TRUE)</f>
        <v>Judith Riggs</v>
      </c>
      <c r="C469" s="18" t="str">
        <f>VLOOKUP($A469,Table1[],5,TRUE)</f>
        <v>Female</v>
      </c>
      <c r="D469" s="3" t="str">
        <f>VLOOKUP($A469,Table1[],7,TRUE)</f>
        <v>41</v>
      </c>
      <c r="E469" s="3" t="str">
        <f>VLOOKUP($A469,Table1[],8,TRUE)</f>
        <v>China</v>
      </c>
      <c r="F469" s="3" t="str">
        <f>VLOOKUP($A469,Table1[],9,TRUE)</f>
        <v>Mandarin</v>
      </c>
      <c r="G469" s="3" t="str">
        <f>VLOOKUP($A469,Table1[],10,TRUE)</f>
        <v>Machine Learning</v>
      </c>
      <c r="H469" s="13" t="str">
        <f>VLOOKUP($A469,Table1[],12,TRUE)</f>
        <v>19</v>
      </c>
      <c r="I469" s="20">
        <v>100</v>
      </c>
      <c r="J469" s="15">
        <f>VLOOKUP($A469,Table1[],18,TRUE)</f>
        <v>3.8</v>
      </c>
      <c r="K469" s="12" t="str">
        <f>VLOOKUP($A469,Table1[],22,TRUE)</f>
        <v>TRUE</v>
      </c>
      <c r="L469" s="13">
        <f>VLOOKUP($A469,Table1[],25,TRUE)</f>
        <v>0.71</v>
      </c>
    </row>
    <row r="470" spans="1:12" x14ac:dyDescent="0.25">
      <c r="A470" t="s">
        <v>1019</v>
      </c>
      <c r="B470" s="18" t="str">
        <f>VLOOKUP(A470,Table1[],3,TRUE)</f>
        <v>Justin Ruiz</v>
      </c>
      <c r="C470" s="18" t="str">
        <f>VLOOKUP($A470,Table1[],5,TRUE)</f>
        <v>Male</v>
      </c>
      <c r="D470" s="3" t="str">
        <f>VLOOKUP($A470,Table1[],7,TRUE)</f>
        <v>59</v>
      </c>
      <c r="E470" s="3" t="str">
        <f>VLOOKUP($A470,Table1[],8,TRUE)</f>
        <v>Canada</v>
      </c>
      <c r="F470" s="3" t="str">
        <f>VLOOKUP($A470,Table1[],9,TRUE)</f>
        <v>English</v>
      </c>
      <c r="G470" s="3" t="str">
        <f>VLOOKUP($A470,Table1[],10,TRUE)</f>
        <v>Mobile Apps</v>
      </c>
      <c r="H470" s="13" t="str">
        <f>VLOOKUP($A470,Table1[],12,TRUE)</f>
        <v>30</v>
      </c>
      <c r="I470" s="20">
        <v>30</v>
      </c>
      <c r="J470" s="15">
        <f>VLOOKUP($A470,Table1[],18,TRUE)</f>
        <v>4.3</v>
      </c>
      <c r="K470" s="12" t="str">
        <f>VLOOKUP($A470,Table1[],22,TRUE)</f>
        <v>TRUE</v>
      </c>
      <c r="L470" s="13">
        <f>VLOOKUP($A470,Table1[],25,TRUE)</f>
        <v>0.83</v>
      </c>
    </row>
    <row r="471" spans="1:12" x14ac:dyDescent="0.25">
      <c r="A471" t="s">
        <v>1021</v>
      </c>
      <c r="B471" s="18" t="str">
        <f>VLOOKUP(A471,Table1[],3,TRUE)</f>
        <v>Jennifer Sullivan</v>
      </c>
      <c r="C471" s="18" t="str">
        <f>VLOOKUP($A471,Table1[],5,TRUE)</f>
        <v>Female</v>
      </c>
      <c r="D471" s="3" t="str">
        <f>VLOOKUP($A471,Table1[],7,TRUE)</f>
        <v>45</v>
      </c>
      <c r="E471" s="3" t="str">
        <f>VLOOKUP($A471,Table1[],8,TRUE)</f>
        <v>Australia</v>
      </c>
      <c r="F471" s="3" t="str">
        <f>VLOOKUP($A471,Table1[],9,TRUE)</f>
        <v>English</v>
      </c>
      <c r="G471" s="3" t="str">
        <f>VLOOKUP($A471,Table1[],10,TRUE)</f>
        <v>Blockchain Development</v>
      </c>
      <c r="H471" s="13" t="str">
        <f>VLOOKUP($A471,Table1[],12,TRUE)</f>
        <v>8</v>
      </c>
      <c r="I471" s="20">
        <v>40</v>
      </c>
      <c r="J471" s="15">
        <f>VLOOKUP($A471,Table1[],18,TRUE)</f>
        <v>0</v>
      </c>
      <c r="K471" s="12" t="str">
        <f>VLOOKUP($A471,Table1[],22,TRUE)</f>
        <v>FALSE</v>
      </c>
      <c r="L471" s="13">
        <f>VLOOKUP($A471,Table1[],25,TRUE)</f>
        <v>0.78</v>
      </c>
    </row>
    <row r="472" spans="1:12" x14ac:dyDescent="0.25">
      <c r="A472" t="s">
        <v>1023</v>
      </c>
      <c r="B472" s="18" t="str">
        <f>VLOOKUP(A472,Table1[],3,TRUE)</f>
        <v>Jesse Moran</v>
      </c>
      <c r="C472" s="18" t="str">
        <f>VLOOKUP($A472,Table1[],5,TRUE)</f>
        <v>Male</v>
      </c>
      <c r="D472" s="3" t="str">
        <f>VLOOKUP($A472,Table1[],7,TRUE)</f>
        <v>22</v>
      </c>
      <c r="E472" s="3" t="str">
        <f>VLOOKUP($A472,Table1[],8,TRUE)</f>
        <v>Indonesia</v>
      </c>
      <c r="F472" s="3" t="str">
        <f>VLOOKUP($A472,Table1[],9,TRUE)</f>
        <v>Indonesian</v>
      </c>
      <c r="G472" s="3" t="str">
        <f>VLOOKUP($A472,Table1[],10,TRUE)</f>
        <v>Cybersecurity</v>
      </c>
      <c r="H472" s="13" t="str">
        <f>VLOOKUP($A472,Table1[],12,TRUE)</f>
        <v>0</v>
      </c>
      <c r="I472" s="20">
        <v>40</v>
      </c>
      <c r="J472" s="15">
        <f>VLOOKUP($A472,Table1[],18,TRUE)</f>
        <v>1.3</v>
      </c>
      <c r="K472" s="12" t="str">
        <f>VLOOKUP($A472,Table1[],22,TRUE)</f>
        <v>TRUE</v>
      </c>
      <c r="L472" s="13">
        <f>VLOOKUP($A472,Table1[],25,TRUE)</f>
        <v>0.78</v>
      </c>
    </row>
    <row r="473" spans="1:12" x14ac:dyDescent="0.25">
      <c r="A473" t="s">
        <v>1025</v>
      </c>
      <c r="B473" s="18" t="str">
        <f>VLOOKUP(A473,Table1[],3,TRUE)</f>
        <v>Monica Smith</v>
      </c>
      <c r="C473" s="18" t="str">
        <f>VLOOKUP($A473,Table1[],5,TRUE)</f>
        <v>Female</v>
      </c>
      <c r="D473" s="3" t="str">
        <f>VLOOKUP($A473,Table1[],7,TRUE)</f>
        <v>48</v>
      </c>
      <c r="E473" s="3" t="str">
        <f>VLOOKUP($A473,Table1[],8,TRUE)</f>
        <v>India</v>
      </c>
      <c r="F473" s="3" t="str">
        <f>VLOOKUP($A473,Table1[],9,TRUE)</f>
        <v>Hindi</v>
      </c>
      <c r="G473" s="3" t="str">
        <f>VLOOKUP($A473,Table1[],10,TRUE)</f>
        <v>Mobile Apps</v>
      </c>
      <c r="H473" s="13" t="str">
        <f>VLOOKUP($A473,Table1[],12,TRUE)</f>
        <v>7</v>
      </c>
      <c r="I473" s="20">
        <v>50</v>
      </c>
      <c r="J473" s="15">
        <f>VLOOKUP($A473,Table1[],18,TRUE)</f>
        <v>4.7</v>
      </c>
      <c r="K473" s="12" t="str">
        <f>VLOOKUP($A473,Table1[],22,TRUE)</f>
        <v>TRUE</v>
      </c>
      <c r="L473" s="13">
        <f>VLOOKUP($A473,Table1[],25,TRUE)</f>
        <v>0.6</v>
      </c>
    </row>
    <row r="474" spans="1:12" x14ac:dyDescent="0.25">
      <c r="A474" t="s">
        <v>1027</v>
      </c>
      <c r="B474" s="18" t="str">
        <f>VLOOKUP(A474,Table1[],3,TRUE)</f>
        <v>Ian May</v>
      </c>
      <c r="C474" s="18" t="str">
        <f>VLOOKUP($A474,Table1[],5,TRUE)</f>
        <v>Male</v>
      </c>
      <c r="D474" s="3" t="str">
        <f>VLOOKUP($A474,Table1[],7,TRUE)</f>
        <v>36</v>
      </c>
      <c r="E474" s="3" t="str">
        <f>VLOOKUP($A474,Table1[],8,TRUE)</f>
        <v>France</v>
      </c>
      <c r="F474" s="3" t="str">
        <f>VLOOKUP($A474,Table1[],9,TRUE)</f>
        <v>French</v>
      </c>
      <c r="G474" s="3" t="str">
        <f>VLOOKUP($A474,Table1[],10,TRUE)</f>
        <v>Blockchain Development</v>
      </c>
      <c r="H474" s="13" t="str">
        <f>VLOOKUP($A474,Table1[],12,TRUE)</f>
        <v>11</v>
      </c>
      <c r="I474" s="20">
        <v>40</v>
      </c>
      <c r="J474" s="15">
        <f>VLOOKUP($A474,Table1[],18,TRUE)</f>
        <v>1.3</v>
      </c>
      <c r="K474" s="12" t="str">
        <f>VLOOKUP($A474,Table1[],22,TRUE)</f>
        <v>TRUE</v>
      </c>
      <c r="L474" s="13">
        <f>VLOOKUP($A474,Table1[],25,TRUE)</f>
        <v>0.75</v>
      </c>
    </row>
    <row r="475" spans="1:12" x14ac:dyDescent="0.25">
      <c r="A475" t="s">
        <v>1029</v>
      </c>
      <c r="B475" s="18" t="str">
        <f>VLOOKUP(A475,Table1[],3,TRUE)</f>
        <v>Kayla Meyers</v>
      </c>
      <c r="C475" s="18" t="str">
        <f>VLOOKUP($A475,Table1[],5,TRUE)</f>
        <v>Female</v>
      </c>
      <c r="D475" s="3" t="str">
        <f>VLOOKUP($A475,Table1[],7,TRUE)</f>
        <v>57</v>
      </c>
      <c r="E475" s="3" t="str">
        <f>VLOOKUP($A475,Table1[],8,TRUE)</f>
        <v>China</v>
      </c>
      <c r="F475" s="3" t="str">
        <f>VLOOKUP($A475,Table1[],9,TRUE)</f>
        <v>Mandarin</v>
      </c>
      <c r="G475" s="3" t="str">
        <f>VLOOKUP($A475,Table1[],10,TRUE)</f>
        <v>Blockchain Development</v>
      </c>
      <c r="H475" s="13" t="str">
        <f>VLOOKUP($A475,Table1[],12,TRUE)</f>
        <v>Unknown</v>
      </c>
      <c r="I475" s="20">
        <v>75</v>
      </c>
      <c r="J475" s="15">
        <f>VLOOKUP($A475,Table1[],18,TRUE)</f>
        <v>4.8</v>
      </c>
      <c r="K475" s="12" t="str">
        <f>VLOOKUP($A475,Table1[],22,TRUE)</f>
        <v>TRUE</v>
      </c>
      <c r="L475" s="13">
        <f>VLOOKUP($A475,Table1[],25,TRUE)</f>
        <v>0.75</v>
      </c>
    </row>
    <row r="476" spans="1:12" x14ac:dyDescent="0.25">
      <c r="A476" t="s">
        <v>1031</v>
      </c>
      <c r="B476" s="18" t="str">
        <f>VLOOKUP(A476,Table1[],3,TRUE)</f>
        <v>John Bray</v>
      </c>
      <c r="C476" s="18" t="str">
        <f>VLOOKUP($A476,Table1[],5,TRUE)</f>
        <v>Male</v>
      </c>
      <c r="D476" s="3" t="str">
        <f>VLOOKUP($A476,Table1[],7,TRUE)</f>
        <v>42</v>
      </c>
      <c r="E476" s="3" t="str">
        <f>VLOOKUP($A476,Table1[],8,TRUE)</f>
        <v>United States</v>
      </c>
      <c r="F476" s="3" t="str">
        <f>VLOOKUP($A476,Table1[],9,TRUE)</f>
        <v>English</v>
      </c>
      <c r="G476" s="3" t="str">
        <f>VLOOKUP($A476,Table1[],10,TRUE)</f>
        <v>UI/UX Design</v>
      </c>
      <c r="H476" s="13" t="str">
        <f>VLOOKUP($A476,Table1[],12,TRUE)</f>
        <v>14</v>
      </c>
      <c r="I476" s="20">
        <v>30</v>
      </c>
      <c r="J476" s="15">
        <f>VLOOKUP($A476,Table1[],18,TRUE)</f>
        <v>1.3</v>
      </c>
      <c r="K476" s="12" t="str">
        <f>VLOOKUP($A476,Table1[],22,TRUE)</f>
        <v>FALSE</v>
      </c>
      <c r="L476" s="13">
        <f>VLOOKUP($A476,Table1[],25,TRUE)</f>
        <v>0.94</v>
      </c>
    </row>
    <row r="477" spans="1:12" x14ac:dyDescent="0.25">
      <c r="A477" t="s">
        <v>1033</v>
      </c>
      <c r="B477" s="18" t="str">
        <f>VLOOKUP(A477,Table1[],3,TRUE)</f>
        <v>James Smith</v>
      </c>
      <c r="C477" s="18" t="str">
        <f>VLOOKUP($A477,Table1[],5,TRUE)</f>
        <v>Male</v>
      </c>
      <c r="D477" s="3" t="str">
        <f>VLOOKUP($A477,Table1[],7,TRUE)</f>
        <v>31</v>
      </c>
      <c r="E477" s="3" t="str">
        <f>VLOOKUP($A477,Table1[],8,TRUE)</f>
        <v>Indonesia</v>
      </c>
      <c r="F477" s="3" t="str">
        <f>VLOOKUP($A477,Table1[],9,TRUE)</f>
        <v>Indonesian</v>
      </c>
      <c r="G477" s="3" t="str">
        <f>VLOOKUP($A477,Table1[],10,TRUE)</f>
        <v>Cybersecurity</v>
      </c>
      <c r="H477" s="13" t="str">
        <f>VLOOKUP($A477,Table1[],12,TRUE)</f>
        <v>11</v>
      </c>
      <c r="I477" s="20">
        <v>50</v>
      </c>
      <c r="J477" s="15">
        <f>VLOOKUP($A477,Table1[],18,TRUE)</f>
        <v>4.3</v>
      </c>
      <c r="K477" s="12" t="str">
        <f>VLOOKUP($A477,Table1[],22,TRUE)</f>
        <v>FALSE</v>
      </c>
      <c r="L477" s="13">
        <f>VLOOKUP($A477,Table1[],25,TRUE)</f>
        <v>0.62</v>
      </c>
    </row>
    <row r="478" spans="1:12" x14ac:dyDescent="0.25">
      <c r="A478" t="s">
        <v>1035</v>
      </c>
      <c r="B478" s="18" t="str">
        <f>VLOOKUP(A478,Table1[],3,TRUE)</f>
        <v>Mark Duncan</v>
      </c>
      <c r="C478" s="18" t="str">
        <f>VLOOKUP($A478,Table1[],5,TRUE)</f>
        <v>Male</v>
      </c>
      <c r="D478" s="3" t="str">
        <f>VLOOKUP($A478,Table1[],7,TRUE)</f>
        <v>52</v>
      </c>
      <c r="E478" s="3" t="str">
        <f>VLOOKUP($A478,Table1[],8,TRUE)</f>
        <v>Spain</v>
      </c>
      <c r="F478" s="3" t="str">
        <f>VLOOKUP($A478,Table1[],9,TRUE)</f>
        <v>Spanish</v>
      </c>
      <c r="G478" s="3" t="str">
        <f>VLOOKUP($A478,Table1[],10,TRUE)</f>
        <v>Cybersecurity</v>
      </c>
      <c r="H478" s="13" t="str">
        <f>VLOOKUP($A478,Table1[],12,TRUE)</f>
        <v>31</v>
      </c>
      <c r="I478" s="20">
        <v>30</v>
      </c>
      <c r="J478" s="15">
        <f>VLOOKUP($A478,Table1[],18,TRUE)</f>
        <v>2.6</v>
      </c>
      <c r="K478" s="12" t="str">
        <f>VLOOKUP($A478,Table1[],22,TRUE)</f>
        <v>TRUE</v>
      </c>
      <c r="L478" s="13">
        <f>VLOOKUP($A478,Table1[],25,TRUE)</f>
        <v>0.75</v>
      </c>
    </row>
    <row r="479" spans="1:12" x14ac:dyDescent="0.25">
      <c r="A479" t="s">
        <v>1037</v>
      </c>
      <c r="B479" s="18" t="str">
        <f>VLOOKUP(A479,Table1[],3,TRUE)</f>
        <v>Matthew Gay</v>
      </c>
      <c r="C479" s="18" t="str">
        <f>VLOOKUP($A479,Table1[],5,TRUE)</f>
        <v>Male</v>
      </c>
      <c r="D479" s="3" t="str">
        <f>VLOOKUP($A479,Table1[],7,TRUE)</f>
        <v>56</v>
      </c>
      <c r="E479" s="3" t="str">
        <f>VLOOKUP($A479,Table1[],8,TRUE)</f>
        <v>Netherlands</v>
      </c>
      <c r="F479" s="3" t="str">
        <f>VLOOKUP($A479,Table1[],9,TRUE)</f>
        <v>Dutch</v>
      </c>
      <c r="G479" s="3" t="str">
        <f>VLOOKUP($A479,Table1[],10,TRUE)</f>
        <v>DevOps</v>
      </c>
      <c r="H479" s="13" t="str">
        <f>VLOOKUP($A479,Table1[],12,TRUE)</f>
        <v>16</v>
      </c>
      <c r="I479" s="20">
        <v>30</v>
      </c>
      <c r="J479" s="15">
        <f>VLOOKUP($A479,Table1[],18,TRUE)</f>
        <v>0</v>
      </c>
      <c r="K479" s="12" t="str">
        <f>VLOOKUP($A479,Table1[],22,TRUE)</f>
        <v>TRUE</v>
      </c>
      <c r="L479" s="13">
        <f>VLOOKUP($A479,Table1[],25,TRUE)</f>
        <v>0.75</v>
      </c>
    </row>
    <row r="480" spans="1:12" x14ac:dyDescent="0.25">
      <c r="A480" t="s">
        <v>1039</v>
      </c>
      <c r="B480" s="18" t="str">
        <f>VLOOKUP(A480,Table1[],3,TRUE)</f>
        <v>Cheryl Freeman</v>
      </c>
      <c r="C480" s="18" t="str">
        <f>VLOOKUP($A480,Table1[],5,TRUE)</f>
        <v>Female</v>
      </c>
      <c r="D480" s="3" t="str">
        <f>VLOOKUP($A480,Table1[],7,TRUE)</f>
        <v>24</v>
      </c>
      <c r="E480" s="3" t="str">
        <f>VLOOKUP($A480,Table1[],8,TRUE)</f>
        <v>Netherlands</v>
      </c>
      <c r="F480" s="3" t="str">
        <f>VLOOKUP($A480,Table1[],9,TRUE)</f>
        <v>Dutch</v>
      </c>
      <c r="G480" s="3" t="str">
        <f>VLOOKUP($A480,Table1[],10,TRUE)</f>
        <v>DevOps</v>
      </c>
      <c r="H480" s="13" t="str">
        <f>VLOOKUP($A480,Table1[],12,TRUE)</f>
        <v>6</v>
      </c>
      <c r="I480" s="20">
        <v>30</v>
      </c>
      <c r="J480" s="15">
        <f>VLOOKUP($A480,Table1[],18,TRUE)</f>
        <v>0</v>
      </c>
      <c r="K480" s="12" t="str">
        <f>VLOOKUP($A480,Table1[],22,TRUE)</f>
        <v>TRUE</v>
      </c>
      <c r="L480" s="13">
        <f>VLOOKUP($A480,Table1[],25,TRUE)</f>
        <v>0.84</v>
      </c>
    </row>
    <row r="481" spans="1:12" x14ac:dyDescent="0.25">
      <c r="A481" t="s">
        <v>1041</v>
      </c>
      <c r="B481" s="18" t="str">
        <f>VLOOKUP(A481,Table1[],3,TRUE)</f>
        <v>Patrick Welch</v>
      </c>
      <c r="C481" s="18" t="str">
        <f>VLOOKUP($A481,Table1[],5,TRUE)</f>
        <v>Male</v>
      </c>
      <c r="D481" s="3" t="str">
        <f>VLOOKUP($A481,Table1[],7,TRUE)</f>
        <v>48</v>
      </c>
      <c r="E481" s="3" t="str">
        <f>VLOOKUP($A481,Table1[],8,TRUE)</f>
        <v>Canada</v>
      </c>
      <c r="F481" s="3" t="str">
        <f>VLOOKUP($A481,Table1[],9,TRUE)</f>
        <v>English</v>
      </c>
      <c r="G481" s="3" t="str">
        <f>VLOOKUP($A481,Table1[],10,TRUE)</f>
        <v>DevOps</v>
      </c>
      <c r="H481" s="13" t="str">
        <f>VLOOKUP($A481,Table1[],12,TRUE)</f>
        <v>21</v>
      </c>
      <c r="I481" s="20">
        <v>75</v>
      </c>
      <c r="J481" s="15">
        <f>VLOOKUP($A481,Table1[],18,TRUE)</f>
        <v>2.7</v>
      </c>
      <c r="K481" s="12" t="str">
        <f>VLOOKUP($A481,Table1[],22,TRUE)</f>
        <v>TRUE</v>
      </c>
      <c r="L481" s="13">
        <f>VLOOKUP($A481,Table1[],25,TRUE)</f>
        <v>0.75</v>
      </c>
    </row>
    <row r="482" spans="1:12" x14ac:dyDescent="0.25">
      <c r="A482" t="s">
        <v>1043</v>
      </c>
      <c r="B482" s="18" t="str">
        <f>VLOOKUP(A482,Table1[],3,TRUE)</f>
        <v>Craig Levine</v>
      </c>
      <c r="C482" s="18" t="str">
        <f>VLOOKUP($A482,Table1[],5,TRUE)</f>
        <v>Male</v>
      </c>
      <c r="D482" s="3" t="str">
        <f>VLOOKUP($A482,Table1[],7,TRUE)</f>
        <v>59</v>
      </c>
      <c r="E482" s="3" t="str">
        <f>VLOOKUP($A482,Table1[],8,TRUE)</f>
        <v>France</v>
      </c>
      <c r="F482" s="3" t="str">
        <f>VLOOKUP($A482,Table1[],9,TRUE)</f>
        <v>French</v>
      </c>
      <c r="G482" s="3" t="str">
        <f>VLOOKUP($A482,Table1[],10,TRUE)</f>
        <v>Cybersecurity</v>
      </c>
      <c r="H482" s="13" t="str">
        <f>VLOOKUP($A482,Table1[],12,TRUE)</f>
        <v>13</v>
      </c>
      <c r="I482" s="20">
        <v>40</v>
      </c>
      <c r="J482" s="15">
        <f>VLOOKUP($A482,Table1[],18,TRUE)</f>
        <v>2.4</v>
      </c>
      <c r="K482" s="12" t="str">
        <f>VLOOKUP($A482,Table1[],22,TRUE)</f>
        <v>FALSE</v>
      </c>
      <c r="L482" s="13">
        <f>VLOOKUP($A482,Table1[],25,TRUE)</f>
        <v>0.65</v>
      </c>
    </row>
    <row r="483" spans="1:12" x14ac:dyDescent="0.25">
      <c r="A483" t="s">
        <v>1045</v>
      </c>
      <c r="B483" s="18" t="str">
        <f>VLOOKUP(A483,Table1[],3,TRUE)</f>
        <v>Richard Harvey</v>
      </c>
      <c r="C483" s="18" t="str">
        <f>VLOOKUP($A483,Table1[],5,TRUE)</f>
        <v>Male</v>
      </c>
      <c r="D483" s="3" t="str">
        <f>VLOOKUP($A483,Table1[],7,TRUE)</f>
        <v>Unknown</v>
      </c>
      <c r="E483" s="3" t="str">
        <f>VLOOKUP($A483,Table1[],8,TRUE)</f>
        <v>United Kingdom</v>
      </c>
      <c r="F483" s="3" t="str">
        <f>VLOOKUP($A483,Table1[],9,TRUE)</f>
        <v>English</v>
      </c>
      <c r="G483" s="3" t="str">
        <f>VLOOKUP($A483,Table1[],10,TRUE)</f>
        <v>Web Development</v>
      </c>
      <c r="H483" s="13" t="str">
        <f>VLOOKUP($A483,Table1[],12,TRUE)</f>
        <v>Unknown</v>
      </c>
      <c r="I483" s="20">
        <v>40</v>
      </c>
      <c r="J483" s="15">
        <f>VLOOKUP($A483,Table1[],18,TRUE)</f>
        <v>1.9</v>
      </c>
      <c r="K483" s="12" t="str">
        <f>VLOOKUP($A483,Table1[],22,TRUE)</f>
        <v>TRUE</v>
      </c>
      <c r="L483" s="13">
        <f>VLOOKUP($A483,Table1[],25,TRUE)</f>
        <v>0.94</v>
      </c>
    </row>
    <row r="484" spans="1:12" x14ac:dyDescent="0.25">
      <c r="A484" t="s">
        <v>1047</v>
      </c>
      <c r="B484" s="18" t="str">
        <f>VLOOKUP(A484,Table1[],3,TRUE)</f>
        <v>Bonnie Sherman</v>
      </c>
      <c r="C484" s="18" t="str">
        <f>VLOOKUP($A484,Table1[],5,TRUE)</f>
        <v>Female</v>
      </c>
      <c r="D484" s="3" t="str">
        <f>VLOOKUP($A484,Table1[],7,TRUE)</f>
        <v>Unknown</v>
      </c>
      <c r="E484" s="3" t="str">
        <f>VLOOKUP($A484,Table1[],8,TRUE)</f>
        <v>Netherlands</v>
      </c>
      <c r="F484" s="3" t="str">
        <f>VLOOKUP($A484,Table1[],9,TRUE)</f>
        <v>Dutch</v>
      </c>
      <c r="G484" s="3" t="str">
        <f>VLOOKUP($A484,Table1[],10,TRUE)</f>
        <v>Mobile Apps</v>
      </c>
      <c r="H484" s="13" t="str">
        <f>VLOOKUP($A484,Table1[],12,TRUE)</f>
        <v>11</v>
      </c>
      <c r="I484" s="20">
        <v>20</v>
      </c>
      <c r="J484" s="15">
        <f>VLOOKUP($A484,Table1[],18,TRUE)</f>
        <v>3.6</v>
      </c>
      <c r="K484" s="12" t="str">
        <f>VLOOKUP($A484,Table1[],22,TRUE)</f>
        <v>FALSE</v>
      </c>
      <c r="L484" s="13">
        <f>VLOOKUP($A484,Table1[],25,TRUE)</f>
        <v>0.69</v>
      </c>
    </row>
    <row r="485" spans="1:12" x14ac:dyDescent="0.25">
      <c r="A485" t="s">
        <v>1049</v>
      </c>
      <c r="B485" s="18" t="str">
        <f>VLOOKUP(A485,Table1[],3,TRUE)</f>
        <v>Keith Trujillo</v>
      </c>
      <c r="C485" s="18" t="str">
        <f>VLOOKUP($A485,Table1[],5,TRUE)</f>
        <v>Male</v>
      </c>
      <c r="D485" s="3" t="str">
        <f>VLOOKUP($A485,Table1[],7,TRUE)</f>
        <v>25</v>
      </c>
      <c r="E485" s="3" t="str">
        <f>VLOOKUP($A485,Table1[],8,TRUE)</f>
        <v>Netherlands</v>
      </c>
      <c r="F485" s="3" t="str">
        <f>VLOOKUP($A485,Table1[],9,TRUE)</f>
        <v>Dutch</v>
      </c>
      <c r="G485" s="3" t="str">
        <f>VLOOKUP($A485,Table1[],10,TRUE)</f>
        <v>Mobile Apps</v>
      </c>
      <c r="H485" s="13" t="str">
        <f>VLOOKUP($A485,Table1[],12,TRUE)</f>
        <v>0</v>
      </c>
      <c r="I485" s="20">
        <v>50</v>
      </c>
      <c r="J485" s="15">
        <f>VLOOKUP($A485,Table1[],18,TRUE)</f>
        <v>2.9</v>
      </c>
      <c r="K485" s="12" t="str">
        <f>VLOOKUP($A485,Table1[],22,TRUE)</f>
        <v>TRUE</v>
      </c>
      <c r="L485" s="13">
        <f>VLOOKUP($A485,Table1[],25,TRUE)</f>
        <v>0.65</v>
      </c>
    </row>
    <row r="486" spans="1:12" x14ac:dyDescent="0.25">
      <c r="A486" t="s">
        <v>1051</v>
      </c>
      <c r="B486" s="18" t="str">
        <f>VLOOKUP(A486,Table1[],3,TRUE)</f>
        <v>Corey Combs</v>
      </c>
      <c r="C486" s="18" t="str">
        <f>VLOOKUP($A486,Table1[],5,TRUE)</f>
        <v>Male</v>
      </c>
      <c r="D486" s="3" t="str">
        <f>VLOOKUP($A486,Table1[],7,TRUE)</f>
        <v>31</v>
      </c>
      <c r="E486" s="3" t="str">
        <f>VLOOKUP($A486,Table1[],8,TRUE)</f>
        <v>Egypt</v>
      </c>
      <c r="F486" s="3" t="str">
        <f>VLOOKUP($A486,Table1[],9,TRUE)</f>
        <v>Arabic</v>
      </c>
      <c r="G486" s="3" t="str">
        <f>VLOOKUP($A486,Table1[],10,TRUE)</f>
        <v>Mobile Apps</v>
      </c>
      <c r="H486" s="13" t="str">
        <f>VLOOKUP($A486,Table1[],12,TRUE)</f>
        <v>2</v>
      </c>
      <c r="I486" s="20">
        <v>75</v>
      </c>
      <c r="J486" s="15">
        <f>VLOOKUP($A486,Table1[],18,TRUE)</f>
        <v>2.8</v>
      </c>
      <c r="K486" s="12" t="str">
        <f>VLOOKUP($A486,Table1[],22,TRUE)</f>
        <v>TRUE</v>
      </c>
      <c r="L486" s="13">
        <f>VLOOKUP($A486,Table1[],25,TRUE)</f>
        <v>0.6</v>
      </c>
    </row>
    <row r="487" spans="1:12" x14ac:dyDescent="0.25">
      <c r="A487" t="s">
        <v>1053</v>
      </c>
      <c r="B487" s="18" t="str">
        <f>VLOOKUP(A487,Table1[],3,TRUE)</f>
        <v>Antonio King</v>
      </c>
      <c r="C487" s="18" t="str">
        <f>VLOOKUP($A487,Table1[],5,TRUE)</f>
        <v>Male</v>
      </c>
      <c r="D487" s="3" t="str">
        <f>VLOOKUP($A487,Table1[],7,TRUE)</f>
        <v>40</v>
      </c>
      <c r="E487" s="3" t="str">
        <f>VLOOKUP($A487,Table1[],8,TRUE)</f>
        <v>Turkey</v>
      </c>
      <c r="F487" s="3" t="str">
        <f>VLOOKUP($A487,Table1[],9,TRUE)</f>
        <v>Turkish</v>
      </c>
      <c r="G487" s="3" t="str">
        <f>VLOOKUP($A487,Table1[],10,TRUE)</f>
        <v>DevOps</v>
      </c>
      <c r="H487" s="13" t="str">
        <f>VLOOKUP($A487,Table1[],12,TRUE)</f>
        <v>12</v>
      </c>
      <c r="I487" s="20">
        <v>75</v>
      </c>
      <c r="J487" s="15">
        <f>VLOOKUP($A487,Table1[],18,TRUE)</f>
        <v>2.6</v>
      </c>
      <c r="K487" s="12" t="str">
        <f>VLOOKUP($A487,Table1[],22,TRUE)</f>
        <v>TRUE</v>
      </c>
      <c r="L487" s="13">
        <f>VLOOKUP($A487,Table1[],25,TRUE)</f>
        <v>0.75</v>
      </c>
    </row>
    <row r="488" spans="1:12" x14ac:dyDescent="0.25">
      <c r="A488" t="s">
        <v>1055</v>
      </c>
      <c r="B488" s="18" t="str">
        <f>VLOOKUP(A488,Table1[],3,TRUE)</f>
        <v>Amy Lee</v>
      </c>
      <c r="C488" s="18" t="str">
        <f>VLOOKUP($A488,Table1[],5,TRUE)</f>
        <v>Female</v>
      </c>
      <c r="D488" s="3" t="str">
        <f>VLOOKUP($A488,Table1[],7,TRUE)</f>
        <v>48</v>
      </c>
      <c r="E488" s="3" t="str">
        <f>VLOOKUP($A488,Table1[],8,TRUE)</f>
        <v>Russia</v>
      </c>
      <c r="F488" s="3" t="str">
        <f>VLOOKUP($A488,Table1[],9,TRUE)</f>
        <v>Russian</v>
      </c>
      <c r="G488" s="3" t="str">
        <f>VLOOKUP($A488,Table1[],10,TRUE)</f>
        <v>Blockchain Development</v>
      </c>
      <c r="H488" s="13" t="str">
        <f>VLOOKUP($A488,Table1[],12,TRUE)</f>
        <v>13</v>
      </c>
      <c r="I488" s="20">
        <v>100</v>
      </c>
      <c r="J488" s="15">
        <f>VLOOKUP($A488,Table1[],18,TRUE)</f>
        <v>2.7</v>
      </c>
      <c r="K488" s="12" t="str">
        <f>VLOOKUP($A488,Table1[],22,TRUE)</f>
        <v>TRUE</v>
      </c>
      <c r="L488" s="13">
        <f>VLOOKUP($A488,Table1[],25,TRUE)</f>
        <v>0.62</v>
      </c>
    </row>
    <row r="489" spans="1:12" x14ac:dyDescent="0.25">
      <c r="A489" t="s">
        <v>1056</v>
      </c>
      <c r="B489" s="18" t="str">
        <f>VLOOKUP(A489,Table1[],3,TRUE)</f>
        <v>Jennifer Rogers</v>
      </c>
      <c r="C489" s="18" t="str">
        <f>VLOOKUP($A489,Table1[],5,TRUE)</f>
        <v>Female</v>
      </c>
      <c r="D489" s="3" t="str">
        <f>VLOOKUP($A489,Table1[],7,TRUE)</f>
        <v>24</v>
      </c>
      <c r="E489" s="3" t="str">
        <f>VLOOKUP($A489,Table1[],8,TRUE)</f>
        <v>South Africa</v>
      </c>
      <c r="F489" s="3" t="str">
        <f>VLOOKUP($A489,Table1[],9,TRUE)</f>
        <v>Afrikaans</v>
      </c>
      <c r="G489" s="3" t="str">
        <f>VLOOKUP($A489,Table1[],10,TRUE)</f>
        <v>Mobile Apps</v>
      </c>
      <c r="H489" s="13" t="str">
        <f>VLOOKUP($A489,Table1[],12,TRUE)</f>
        <v>6</v>
      </c>
      <c r="I489" s="20">
        <v>30</v>
      </c>
      <c r="J489" s="15">
        <f>VLOOKUP($A489,Table1[],18,TRUE)</f>
        <v>1.1000000000000001</v>
      </c>
      <c r="K489" s="12" t="str">
        <f>VLOOKUP($A489,Table1[],22,TRUE)</f>
        <v>TRUE</v>
      </c>
      <c r="L489" s="13">
        <f>VLOOKUP($A489,Table1[],25,TRUE)</f>
        <v>0.75</v>
      </c>
    </row>
    <row r="490" spans="1:12" x14ac:dyDescent="0.25">
      <c r="A490" t="s">
        <v>1058</v>
      </c>
      <c r="B490" s="18" t="str">
        <f>VLOOKUP(A490,Table1[],3,TRUE)</f>
        <v>Jeffrey Cooper</v>
      </c>
      <c r="C490" s="18" t="str">
        <f>VLOOKUP($A490,Table1[],5,TRUE)</f>
        <v>Male</v>
      </c>
      <c r="D490" s="3" t="str">
        <f>VLOOKUP($A490,Table1[],7,TRUE)</f>
        <v>33</v>
      </c>
      <c r="E490" s="3" t="str">
        <f>VLOOKUP($A490,Table1[],8,TRUE)</f>
        <v>Indonesia</v>
      </c>
      <c r="F490" s="3" t="str">
        <f>VLOOKUP($A490,Table1[],9,TRUE)</f>
        <v>Indonesian</v>
      </c>
      <c r="G490" s="3" t="str">
        <f>VLOOKUP($A490,Table1[],10,TRUE)</f>
        <v>Web Development</v>
      </c>
      <c r="H490" s="13" t="str">
        <f>VLOOKUP($A490,Table1[],12,TRUE)</f>
        <v>10</v>
      </c>
      <c r="I490" s="20">
        <v>30</v>
      </c>
      <c r="J490" s="15">
        <f>VLOOKUP($A490,Table1[],18,TRUE)</f>
        <v>0</v>
      </c>
      <c r="K490" s="12" t="str">
        <f>VLOOKUP($A490,Table1[],22,TRUE)</f>
        <v>TRUE</v>
      </c>
      <c r="L490" s="13">
        <f>VLOOKUP($A490,Table1[],25,TRUE)</f>
        <v>0.89</v>
      </c>
    </row>
    <row r="491" spans="1:12" x14ac:dyDescent="0.25">
      <c r="A491" t="s">
        <v>1060</v>
      </c>
      <c r="B491" s="18" t="str">
        <f>VLOOKUP(A491,Table1[],3,TRUE)</f>
        <v>Allison Williams</v>
      </c>
      <c r="C491" s="18" t="str">
        <f>VLOOKUP($A491,Table1[],5,TRUE)</f>
        <v>Female</v>
      </c>
      <c r="D491" s="3" t="str">
        <f>VLOOKUP($A491,Table1[],7,TRUE)</f>
        <v>43</v>
      </c>
      <c r="E491" s="3" t="str">
        <f>VLOOKUP($A491,Table1[],8,TRUE)</f>
        <v>Brazil</v>
      </c>
      <c r="F491" s="3" t="str">
        <f>VLOOKUP($A491,Table1[],9,TRUE)</f>
        <v>Portuguese</v>
      </c>
      <c r="G491" s="3" t="str">
        <f>VLOOKUP($A491,Table1[],10,TRUE)</f>
        <v>UI/UX Design</v>
      </c>
      <c r="H491" s="13" t="str">
        <f>VLOOKUP($A491,Table1[],12,TRUE)</f>
        <v>2</v>
      </c>
      <c r="I491" s="20">
        <v>40</v>
      </c>
      <c r="J491" s="15">
        <f>VLOOKUP($A491,Table1[],18,TRUE)</f>
        <v>0</v>
      </c>
      <c r="K491" s="12" t="str">
        <f>VLOOKUP($A491,Table1[],22,TRUE)</f>
        <v>TRUE</v>
      </c>
      <c r="L491" s="13">
        <f>VLOOKUP($A491,Table1[],25,TRUE)</f>
        <v>0.89</v>
      </c>
    </row>
    <row r="492" spans="1:12" x14ac:dyDescent="0.25">
      <c r="A492" t="s">
        <v>1062</v>
      </c>
      <c r="B492" s="18" t="str">
        <f>VLOOKUP(A492,Table1[],3,TRUE)</f>
        <v>Raymond Sherman</v>
      </c>
      <c r="C492" s="18" t="str">
        <f>VLOOKUP($A492,Table1[],5,TRUE)</f>
        <v>Male</v>
      </c>
      <c r="D492" s="3" t="str">
        <f>VLOOKUP($A492,Table1[],7,TRUE)</f>
        <v>43</v>
      </c>
      <c r="E492" s="3" t="str">
        <f>VLOOKUP($A492,Table1[],8,TRUE)</f>
        <v>Spain</v>
      </c>
      <c r="F492" s="3" t="str">
        <f>VLOOKUP($A492,Table1[],9,TRUE)</f>
        <v>Spanish</v>
      </c>
      <c r="G492" s="3" t="str">
        <f>VLOOKUP($A492,Table1[],10,TRUE)</f>
        <v>Blockchain Development</v>
      </c>
      <c r="H492" s="13" t="str">
        <f>VLOOKUP($A492,Table1[],12,TRUE)</f>
        <v>4</v>
      </c>
      <c r="I492" s="20">
        <v>50</v>
      </c>
      <c r="J492" s="15">
        <f>VLOOKUP($A492,Table1[],18,TRUE)</f>
        <v>0</v>
      </c>
      <c r="K492" s="12" t="str">
        <f>VLOOKUP($A492,Table1[],22,TRUE)</f>
        <v>TRUE</v>
      </c>
      <c r="L492" s="13">
        <f>VLOOKUP($A492,Table1[],25,TRUE)</f>
        <v>1</v>
      </c>
    </row>
    <row r="493" spans="1:12" x14ac:dyDescent="0.25">
      <c r="A493" t="s">
        <v>1064</v>
      </c>
      <c r="B493" s="18" t="str">
        <f>VLOOKUP(A493,Table1[],3,TRUE)</f>
        <v>Jennifer Nelson</v>
      </c>
      <c r="C493" s="18" t="str">
        <f>VLOOKUP($A493,Table1[],5,TRUE)</f>
        <v>Female</v>
      </c>
      <c r="D493" s="3" t="str">
        <f>VLOOKUP($A493,Table1[],7,TRUE)</f>
        <v>33</v>
      </c>
      <c r="E493" s="3" t="str">
        <f>VLOOKUP($A493,Table1[],8,TRUE)</f>
        <v>Australia</v>
      </c>
      <c r="F493" s="3" t="str">
        <f>VLOOKUP($A493,Table1[],9,TRUE)</f>
        <v>English</v>
      </c>
      <c r="G493" s="3" t="str">
        <f>VLOOKUP($A493,Table1[],10,TRUE)</f>
        <v>Web Development</v>
      </c>
      <c r="H493" s="13" t="str">
        <f>VLOOKUP($A493,Table1[],12,TRUE)</f>
        <v>11</v>
      </c>
      <c r="I493" s="20">
        <v>50</v>
      </c>
      <c r="J493" s="15">
        <f>VLOOKUP($A493,Table1[],18,TRUE)</f>
        <v>4.5999999999999996</v>
      </c>
      <c r="K493" s="12" t="str">
        <f>VLOOKUP($A493,Table1[],22,TRUE)</f>
        <v>TRUE</v>
      </c>
      <c r="L493" s="13">
        <f>VLOOKUP($A493,Table1[],25,TRUE)</f>
        <v>0.75</v>
      </c>
    </row>
    <row r="494" spans="1:12" x14ac:dyDescent="0.25">
      <c r="A494" t="s">
        <v>1066</v>
      </c>
      <c r="B494" s="18" t="str">
        <f>VLOOKUP(A494,Table1[],3,TRUE)</f>
        <v>Jennifer Carter</v>
      </c>
      <c r="C494" s="18" t="str">
        <f>VLOOKUP($A494,Table1[],5,TRUE)</f>
        <v>Female</v>
      </c>
      <c r="D494" s="3" t="str">
        <f>VLOOKUP($A494,Table1[],7,TRUE)</f>
        <v>49</v>
      </c>
      <c r="E494" s="3" t="str">
        <f>VLOOKUP($A494,Table1[],8,TRUE)</f>
        <v>Russia</v>
      </c>
      <c r="F494" s="3" t="str">
        <f>VLOOKUP($A494,Table1[],9,TRUE)</f>
        <v>Russian</v>
      </c>
      <c r="G494" s="3" t="str">
        <f>VLOOKUP($A494,Table1[],10,TRUE)</f>
        <v>UI/UX Design</v>
      </c>
      <c r="H494" s="13" t="str">
        <f>VLOOKUP($A494,Table1[],12,TRUE)</f>
        <v>14</v>
      </c>
      <c r="I494" s="20">
        <v>40</v>
      </c>
      <c r="J494" s="15">
        <f>VLOOKUP($A494,Table1[],18,TRUE)</f>
        <v>1.5</v>
      </c>
      <c r="K494" s="12" t="str">
        <f>VLOOKUP($A494,Table1[],22,TRUE)</f>
        <v>TRUE</v>
      </c>
      <c r="L494" s="13">
        <f>VLOOKUP($A494,Table1[],25,TRUE)</f>
        <v>0.6</v>
      </c>
    </row>
    <row r="495" spans="1:12" x14ac:dyDescent="0.25">
      <c r="A495" t="s">
        <v>1068</v>
      </c>
      <c r="B495" s="18" t="str">
        <f>VLOOKUP(A495,Table1[],3,TRUE)</f>
        <v>Todd Williams</v>
      </c>
      <c r="C495" s="18" t="str">
        <f>VLOOKUP($A495,Table1[],5,TRUE)</f>
        <v>Male</v>
      </c>
      <c r="D495" s="3" t="str">
        <f>VLOOKUP($A495,Table1[],7,TRUE)</f>
        <v>55</v>
      </c>
      <c r="E495" s="3" t="str">
        <f>VLOOKUP($A495,Table1[],8,TRUE)</f>
        <v>Canada</v>
      </c>
      <c r="F495" s="3" t="str">
        <f>VLOOKUP($A495,Table1[],9,TRUE)</f>
        <v>English</v>
      </c>
      <c r="G495" s="3" t="str">
        <f>VLOOKUP($A495,Table1[],10,TRUE)</f>
        <v>UI/UX Design</v>
      </c>
      <c r="H495" s="13" t="str">
        <f>VLOOKUP($A495,Table1[],12,TRUE)</f>
        <v>10</v>
      </c>
      <c r="I495" s="20">
        <v>40</v>
      </c>
      <c r="J495" s="15">
        <f>VLOOKUP($A495,Table1[],18,TRUE)</f>
        <v>2</v>
      </c>
      <c r="K495" s="12" t="str">
        <f>VLOOKUP($A495,Table1[],22,TRUE)</f>
        <v>FALSE</v>
      </c>
      <c r="L495" s="13">
        <f>VLOOKUP($A495,Table1[],25,TRUE)</f>
        <v>0.85</v>
      </c>
    </row>
    <row r="496" spans="1:12" x14ac:dyDescent="0.25">
      <c r="A496" t="s">
        <v>1070</v>
      </c>
      <c r="B496" s="18" t="str">
        <f>VLOOKUP(A496,Table1[],3,TRUE)</f>
        <v>Emily Horton</v>
      </c>
      <c r="C496" s="18" t="str">
        <f>VLOOKUP($A496,Table1[],5,TRUE)</f>
        <v>Female</v>
      </c>
      <c r="D496" s="3" t="str">
        <f>VLOOKUP($A496,Table1[],7,TRUE)</f>
        <v>33</v>
      </c>
      <c r="E496" s="3" t="str">
        <f>VLOOKUP($A496,Table1[],8,TRUE)</f>
        <v>South Korea</v>
      </c>
      <c r="F496" s="3" t="str">
        <f>VLOOKUP($A496,Table1[],9,TRUE)</f>
        <v>Korean</v>
      </c>
      <c r="G496" s="3" t="str">
        <f>VLOOKUP($A496,Table1[],10,TRUE)</f>
        <v>Graphic Design</v>
      </c>
      <c r="H496" s="13" t="str">
        <f>VLOOKUP($A496,Table1[],12,TRUE)</f>
        <v>3</v>
      </c>
      <c r="I496" s="20">
        <v>40</v>
      </c>
      <c r="J496" s="15">
        <f>VLOOKUP($A496,Table1[],18,TRUE)</f>
        <v>1.6</v>
      </c>
      <c r="K496" s="12" t="str">
        <f>VLOOKUP($A496,Table1[],22,TRUE)</f>
        <v>TRUE</v>
      </c>
      <c r="L496" s="13">
        <f>VLOOKUP($A496,Table1[],25,TRUE)</f>
        <v>0.83</v>
      </c>
    </row>
    <row r="497" spans="1:12" x14ac:dyDescent="0.25">
      <c r="A497" t="s">
        <v>1072</v>
      </c>
      <c r="B497" s="18" t="str">
        <f>VLOOKUP(A497,Table1[],3,TRUE)</f>
        <v>Lance Lester</v>
      </c>
      <c r="C497" s="18" t="str">
        <f>VLOOKUP($A497,Table1[],5,TRUE)</f>
        <v>Male</v>
      </c>
      <c r="D497" s="3" t="str">
        <f>VLOOKUP($A497,Table1[],7,TRUE)</f>
        <v>32</v>
      </c>
      <c r="E497" s="3" t="str">
        <f>VLOOKUP($A497,Table1[],8,TRUE)</f>
        <v>Argentina</v>
      </c>
      <c r="F497" s="3" t="str">
        <f>VLOOKUP($A497,Table1[],9,TRUE)</f>
        <v>Spanish</v>
      </c>
      <c r="G497" s="3" t="str">
        <f>VLOOKUP($A497,Table1[],10,TRUE)</f>
        <v>AI</v>
      </c>
      <c r="H497" s="13" t="str">
        <f>VLOOKUP($A497,Table1[],12,TRUE)</f>
        <v>3</v>
      </c>
      <c r="I497" s="20">
        <v>30</v>
      </c>
      <c r="J497" s="15">
        <f>VLOOKUP($A497,Table1[],18,TRUE)</f>
        <v>1.5</v>
      </c>
      <c r="K497" s="12" t="str">
        <f>VLOOKUP($A497,Table1[],22,TRUE)</f>
        <v>FALSE</v>
      </c>
      <c r="L497" s="13">
        <f>VLOOKUP($A497,Table1[],25,TRUE)</f>
        <v>0.96</v>
      </c>
    </row>
    <row r="498" spans="1:12" x14ac:dyDescent="0.25">
      <c r="A498" t="s">
        <v>1074</v>
      </c>
      <c r="B498" s="18" t="str">
        <f>VLOOKUP(A498,Table1[],3,TRUE)</f>
        <v>Kevin Flores</v>
      </c>
      <c r="C498" s="18" t="str">
        <f>VLOOKUP($A498,Table1[],5,TRUE)</f>
        <v>Male</v>
      </c>
      <c r="D498" s="3" t="str">
        <f>VLOOKUP($A498,Table1[],7,TRUE)</f>
        <v>58</v>
      </c>
      <c r="E498" s="3" t="str">
        <f>VLOOKUP($A498,Table1[],8,TRUE)</f>
        <v>Netherlands</v>
      </c>
      <c r="F498" s="3" t="str">
        <f>VLOOKUP($A498,Table1[],9,TRUE)</f>
        <v>Dutch</v>
      </c>
      <c r="G498" s="3" t="str">
        <f>VLOOKUP($A498,Table1[],10,TRUE)</f>
        <v>Blockchain Development</v>
      </c>
      <c r="H498" s="13" t="str">
        <f>VLOOKUP($A498,Table1[],12,TRUE)</f>
        <v>33</v>
      </c>
      <c r="I498" s="20">
        <v>50</v>
      </c>
      <c r="J498" s="15">
        <f>VLOOKUP($A498,Table1[],18,TRUE)</f>
        <v>4.0999999999999996</v>
      </c>
      <c r="K498" s="12" t="str">
        <f>VLOOKUP($A498,Table1[],22,TRUE)</f>
        <v>TRUE</v>
      </c>
      <c r="L498" s="13">
        <f>VLOOKUP($A498,Table1[],25,TRUE)</f>
        <v>0.83</v>
      </c>
    </row>
    <row r="499" spans="1:12" x14ac:dyDescent="0.25">
      <c r="A499" t="s">
        <v>1076</v>
      </c>
      <c r="B499" s="18" t="str">
        <f>VLOOKUP(A499,Table1[],3,TRUE)</f>
        <v>Aaron Stewart Phd</v>
      </c>
      <c r="C499" s="18" t="str">
        <f>VLOOKUP($A499,Table1[],5,TRUE)</f>
        <v>Male</v>
      </c>
      <c r="D499" s="3" t="str">
        <f>VLOOKUP($A499,Table1[],7,TRUE)</f>
        <v>49</v>
      </c>
      <c r="E499" s="3" t="str">
        <f>VLOOKUP($A499,Table1[],8,TRUE)</f>
        <v>Indonesia</v>
      </c>
      <c r="F499" s="3" t="str">
        <f>VLOOKUP($A499,Table1[],9,TRUE)</f>
        <v>Indonesian</v>
      </c>
      <c r="G499" s="3" t="str">
        <f>VLOOKUP($A499,Table1[],10,TRUE)</f>
        <v>Data Analysis</v>
      </c>
      <c r="H499" s="13" t="str">
        <f>VLOOKUP($A499,Table1[],12,TRUE)</f>
        <v>24</v>
      </c>
      <c r="I499" s="20">
        <v>100</v>
      </c>
      <c r="J499" s="15">
        <f>VLOOKUP($A499,Table1[],18,TRUE)</f>
        <v>4.7</v>
      </c>
      <c r="K499" s="12" t="str">
        <f>VLOOKUP($A499,Table1[],22,TRUE)</f>
        <v>FALSE</v>
      </c>
      <c r="L499" s="13">
        <f>VLOOKUP($A499,Table1[],25,TRUE)</f>
        <v>0.6</v>
      </c>
    </row>
    <row r="500" spans="1:12" x14ac:dyDescent="0.25">
      <c r="A500" t="s">
        <v>1078</v>
      </c>
      <c r="B500" s="18" t="str">
        <f>VLOOKUP(A500,Table1[],3,TRUE)</f>
        <v>Robin Moore</v>
      </c>
      <c r="C500" s="18" t="str">
        <f>VLOOKUP($A500,Table1[],5,TRUE)</f>
        <v>Female</v>
      </c>
      <c r="D500" s="3" t="str">
        <f>VLOOKUP($A500,Table1[],7,TRUE)</f>
        <v>22</v>
      </c>
      <c r="E500" s="3" t="str">
        <f>VLOOKUP($A500,Table1[],8,TRUE)</f>
        <v>Russia</v>
      </c>
      <c r="F500" s="3" t="str">
        <f>VLOOKUP($A500,Table1[],9,TRUE)</f>
        <v>Russian</v>
      </c>
      <c r="G500" s="3" t="str">
        <f>VLOOKUP($A500,Table1[],10,TRUE)</f>
        <v>UI/UX Design</v>
      </c>
      <c r="H500" s="13" t="str">
        <f>VLOOKUP($A500,Table1[],12,TRUE)</f>
        <v>3</v>
      </c>
      <c r="I500" s="20">
        <v>100</v>
      </c>
      <c r="J500" s="15">
        <f>VLOOKUP($A500,Table1[],18,TRUE)</f>
        <v>3.6</v>
      </c>
      <c r="K500" s="12" t="str">
        <f>VLOOKUP($A500,Table1[],22,TRUE)</f>
        <v>TRUE</v>
      </c>
      <c r="L500" s="13">
        <f>VLOOKUP($A500,Table1[],25,TRUE)</f>
        <v>0.78</v>
      </c>
    </row>
    <row r="501" spans="1:12" x14ac:dyDescent="0.25">
      <c r="A501" t="s">
        <v>1080</v>
      </c>
      <c r="B501" s="18" t="str">
        <f>VLOOKUP(A501,Table1[],3,TRUE)</f>
        <v>Suzanne Ingram</v>
      </c>
      <c r="C501" s="18" t="str">
        <f>VLOOKUP($A501,Table1[],5,TRUE)</f>
        <v>Female</v>
      </c>
      <c r="D501" s="3" t="str">
        <f>VLOOKUP($A501,Table1[],7,TRUE)</f>
        <v>40</v>
      </c>
      <c r="E501" s="3" t="str">
        <f>VLOOKUP($A501,Table1[],8,TRUE)</f>
        <v>Egypt</v>
      </c>
      <c r="F501" s="3" t="str">
        <f>VLOOKUP($A501,Table1[],9,TRUE)</f>
        <v>Arabic</v>
      </c>
      <c r="G501" s="3" t="str">
        <f>VLOOKUP($A501,Table1[],10,TRUE)</f>
        <v>Web Development</v>
      </c>
      <c r="H501" s="13" t="str">
        <f>VLOOKUP($A501,Table1[],12,TRUE)</f>
        <v>11</v>
      </c>
      <c r="I501" s="20">
        <v>20</v>
      </c>
      <c r="J501" s="15">
        <f>VLOOKUP($A501,Table1[],18,TRUE)</f>
        <v>1.8</v>
      </c>
      <c r="K501" s="12" t="str">
        <f>VLOOKUP($A501,Table1[],22,TRUE)</f>
        <v>TRUE</v>
      </c>
      <c r="L501" s="13">
        <f>VLOOKUP($A501,Table1[],25,TRUE)</f>
        <v>0.9</v>
      </c>
    </row>
    <row r="502" spans="1:12" x14ac:dyDescent="0.25">
      <c r="A502" t="s">
        <v>1082</v>
      </c>
      <c r="B502" s="18" t="str">
        <f>VLOOKUP(A502,Table1[],3,TRUE)</f>
        <v>Jacob Mclaughlin</v>
      </c>
      <c r="C502" s="18" t="str">
        <f>VLOOKUP($A502,Table1[],5,TRUE)</f>
        <v>Male</v>
      </c>
      <c r="D502" s="3" t="str">
        <f>VLOOKUP($A502,Table1[],7,TRUE)</f>
        <v>55</v>
      </c>
      <c r="E502" s="3" t="str">
        <f>VLOOKUP($A502,Table1[],8,TRUE)</f>
        <v>Australia</v>
      </c>
      <c r="F502" s="3" t="str">
        <f>VLOOKUP($A502,Table1[],9,TRUE)</f>
        <v>English</v>
      </c>
      <c r="G502" s="3" t="str">
        <f>VLOOKUP($A502,Table1[],10,TRUE)</f>
        <v>Data Analysis</v>
      </c>
      <c r="H502" s="13" t="str">
        <f>VLOOKUP($A502,Table1[],12,TRUE)</f>
        <v>7</v>
      </c>
      <c r="I502" s="20">
        <v>100</v>
      </c>
      <c r="J502" s="15">
        <f>VLOOKUP($A502,Table1[],18,TRUE)</f>
        <v>2.1</v>
      </c>
      <c r="K502" s="12" t="str">
        <f>VLOOKUP($A502,Table1[],22,TRUE)</f>
        <v>FALSE</v>
      </c>
      <c r="L502" s="13">
        <f>VLOOKUP($A502,Table1[],25,TRUE)</f>
        <v>0.66</v>
      </c>
    </row>
    <row r="503" spans="1:12" x14ac:dyDescent="0.25">
      <c r="A503" t="s">
        <v>1084</v>
      </c>
      <c r="B503" s="18" t="str">
        <f>VLOOKUP(A503,Table1[],3,TRUE)</f>
        <v>Michael Nunez</v>
      </c>
      <c r="C503" s="18" t="str">
        <f>VLOOKUP($A503,Table1[],5,TRUE)</f>
        <v>Male</v>
      </c>
      <c r="D503" s="3" t="str">
        <f>VLOOKUP($A503,Table1[],7,TRUE)</f>
        <v>32</v>
      </c>
      <c r="E503" s="3" t="str">
        <f>VLOOKUP($A503,Table1[],8,TRUE)</f>
        <v>Mexico</v>
      </c>
      <c r="F503" s="3" t="str">
        <f>VLOOKUP($A503,Table1[],9,TRUE)</f>
        <v>Spanish</v>
      </c>
      <c r="G503" s="3" t="str">
        <f>VLOOKUP($A503,Table1[],10,TRUE)</f>
        <v>DevOps</v>
      </c>
      <c r="H503" s="13" t="str">
        <f>VLOOKUP($A503,Table1[],12,TRUE)</f>
        <v>1</v>
      </c>
      <c r="I503" s="20">
        <v>50</v>
      </c>
      <c r="J503" s="15">
        <f>VLOOKUP($A503,Table1[],18,TRUE)</f>
        <v>2.6</v>
      </c>
      <c r="K503" s="12" t="str">
        <f>VLOOKUP($A503,Table1[],22,TRUE)</f>
        <v>TRUE</v>
      </c>
      <c r="L503" s="13">
        <f>VLOOKUP($A503,Table1[],25,TRUE)</f>
        <v>0.7</v>
      </c>
    </row>
    <row r="504" spans="1:12" x14ac:dyDescent="0.25">
      <c r="A504" t="s">
        <v>1086</v>
      </c>
      <c r="B504" s="18" t="str">
        <f>VLOOKUP(A504,Table1[],3,TRUE)</f>
        <v>Isabel Brown</v>
      </c>
      <c r="C504" s="18" t="str">
        <f>VLOOKUP($A504,Table1[],5,TRUE)</f>
        <v>Female</v>
      </c>
      <c r="D504" s="3" t="str">
        <f>VLOOKUP($A504,Table1[],7,TRUE)</f>
        <v>21</v>
      </c>
      <c r="E504" s="3" t="str">
        <f>VLOOKUP($A504,Table1[],8,TRUE)</f>
        <v>Japan</v>
      </c>
      <c r="F504" s="3" t="str">
        <f>VLOOKUP($A504,Table1[],9,TRUE)</f>
        <v>Japanese</v>
      </c>
      <c r="G504" s="3" t="str">
        <f>VLOOKUP($A504,Table1[],10,TRUE)</f>
        <v>UI/UX Design</v>
      </c>
      <c r="H504" s="13" t="str">
        <f>VLOOKUP($A504,Table1[],12,TRUE)</f>
        <v>0</v>
      </c>
      <c r="I504" s="20">
        <v>30</v>
      </c>
      <c r="J504" s="15">
        <f>VLOOKUP($A504,Table1[],18,TRUE)</f>
        <v>4.2</v>
      </c>
      <c r="K504" s="12" t="str">
        <f>VLOOKUP($A504,Table1[],22,TRUE)</f>
        <v>TRUE</v>
      </c>
      <c r="L504" s="13">
        <f>VLOOKUP($A504,Table1[],25,TRUE)</f>
        <v>0.79</v>
      </c>
    </row>
    <row r="505" spans="1:12" x14ac:dyDescent="0.25">
      <c r="A505" t="s">
        <v>1088</v>
      </c>
      <c r="B505" s="18" t="str">
        <f>VLOOKUP(A505,Table1[],3,TRUE)</f>
        <v>Michael Stein</v>
      </c>
      <c r="C505" s="18" t="str">
        <f>VLOOKUP($A505,Table1[],5,TRUE)</f>
        <v>Male</v>
      </c>
      <c r="D505" s="3" t="str">
        <f>VLOOKUP($A505,Table1[],7,TRUE)</f>
        <v>23</v>
      </c>
      <c r="E505" s="3" t="str">
        <f>VLOOKUP($A505,Table1[],8,TRUE)</f>
        <v>South Korea</v>
      </c>
      <c r="F505" s="3" t="str">
        <f>VLOOKUP($A505,Table1[],9,TRUE)</f>
        <v>Korean</v>
      </c>
      <c r="G505" s="3" t="str">
        <f>VLOOKUP($A505,Table1[],10,TRUE)</f>
        <v>Blockchain Development</v>
      </c>
      <c r="H505" s="13" t="str">
        <f>VLOOKUP($A505,Table1[],12,TRUE)</f>
        <v>1</v>
      </c>
      <c r="I505" s="20">
        <v>40</v>
      </c>
      <c r="J505" s="15">
        <f>VLOOKUP($A505,Table1[],18,TRUE)</f>
        <v>0</v>
      </c>
      <c r="K505" s="12" t="str">
        <f>VLOOKUP($A505,Table1[],22,TRUE)</f>
        <v>FALSE</v>
      </c>
      <c r="L505" s="13">
        <f>VLOOKUP($A505,Table1[],25,TRUE)</f>
        <v>0.64</v>
      </c>
    </row>
    <row r="506" spans="1:12" x14ac:dyDescent="0.25">
      <c r="A506" t="s">
        <v>1090</v>
      </c>
      <c r="B506" s="18" t="str">
        <f>VLOOKUP(A506,Table1[],3,TRUE)</f>
        <v>Robert Stone</v>
      </c>
      <c r="C506" s="18" t="str">
        <f>VLOOKUP($A506,Table1[],5,TRUE)</f>
        <v>Male</v>
      </c>
      <c r="D506" s="3" t="str">
        <f>VLOOKUP($A506,Table1[],7,TRUE)</f>
        <v>21</v>
      </c>
      <c r="E506" s="3" t="str">
        <f>VLOOKUP($A506,Table1[],8,TRUE)</f>
        <v>United Kingdom</v>
      </c>
      <c r="F506" s="3" t="str">
        <f>VLOOKUP($A506,Table1[],9,TRUE)</f>
        <v>English</v>
      </c>
      <c r="G506" s="3" t="str">
        <f>VLOOKUP($A506,Table1[],10,TRUE)</f>
        <v>Mobile Apps</v>
      </c>
      <c r="H506" s="13" t="str">
        <f>VLOOKUP($A506,Table1[],12,TRUE)</f>
        <v>1</v>
      </c>
      <c r="I506" s="20">
        <v>30</v>
      </c>
      <c r="J506" s="15">
        <f>VLOOKUP($A506,Table1[],18,TRUE)</f>
        <v>1</v>
      </c>
      <c r="K506" s="12" t="str">
        <f>VLOOKUP($A506,Table1[],22,TRUE)</f>
        <v>FALSE</v>
      </c>
      <c r="L506" s="13">
        <f>VLOOKUP($A506,Table1[],25,TRUE)</f>
        <v>0.81</v>
      </c>
    </row>
    <row r="507" spans="1:12" x14ac:dyDescent="0.25">
      <c r="A507" t="s">
        <v>1092</v>
      </c>
      <c r="B507" s="18" t="str">
        <f>VLOOKUP(A507,Table1[],3,TRUE)</f>
        <v>Dillon Henry</v>
      </c>
      <c r="C507" s="18" t="str">
        <f>VLOOKUP($A507,Table1[],5,TRUE)</f>
        <v>Male</v>
      </c>
      <c r="D507" s="3" t="str">
        <f>VLOOKUP($A507,Table1[],7,TRUE)</f>
        <v>31</v>
      </c>
      <c r="E507" s="3" t="str">
        <f>VLOOKUP($A507,Table1[],8,TRUE)</f>
        <v>Argentina</v>
      </c>
      <c r="F507" s="3" t="str">
        <f>VLOOKUP($A507,Table1[],9,TRUE)</f>
        <v>Spanish</v>
      </c>
      <c r="G507" s="3" t="str">
        <f>VLOOKUP($A507,Table1[],10,TRUE)</f>
        <v>AI</v>
      </c>
      <c r="H507" s="13" t="str">
        <f>VLOOKUP($A507,Table1[],12,TRUE)</f>
        <v>7</v>
      </c>
      <c r="I507" s="20">
        <v>75</v>
      </c>
      <c r="J507" s="15">
        <f>VLOOKUP($A507,Table1[],18,TRUE)</f>
        <v>4.4000000000000004</v>
      </c>
      <c r="K507" s="12" t="str">
        <f>VLOOKUP($A507,Table1[],22,TRUE)</f>
        <v>FALSE</v>
      </c>
      <c r="L507" s="13">
        <f>VLOOKUP($A507,Table1[],25,TRUE)</f>
        <v>0.83</v>
      </c>
    </row>
    <row r="508" spans="1:12" x14ac:dyDescent="0.25">
      <c r="A508" t="s">
        <v>1094</v>
      </c>
      <c r="B508" s="18" t="str">
        <f>VLOOKUP(A508,Table1[],3,TRUE)</f>
        <v>James Todd</v>
      </c>
      <c r="C508" s="18" t="str">
        <f>VLOOKUP($A508,Table1[],5,TRUE)</f>
        <v>Male</v>
      </c>
      <c r="D508" s="3" t="str">
        <f>VLOOKUP($A508,Table1[],7,TRUE)</f>
        <v>21</v>
      </c>
      <c r="E508" s="3" t="str">
        <f>VLOOKUP($A508,Table1[],8,TRUE)</f>
        <v>Mexico</v>
      </c>
      <c r="F508" s="3" t="str">
        <f>VLOOKUP($A508,Table1[],9,TRUE)</f>
        <v>Spanish</v>
      </c>
      <c r="G508" s="3" t="str">
        <f>VLOOKUP($A508,Table1[],10,TRUE)</f>
        <v>Blockchain Development</v>
      </c>
      <c r="H508" s="13" t="str">
        <f>VLOOKUP($A508,Table1[],12,TRUE)</f>
        <v>Unknown</v>
      </c>
      <c r="I508" s="20">
        <v>40</v>
      </c>
      <c r="J508" s="15">
        <f>VLOOKUP($A508,Table1[],18,TRUE)</f>
        <v>4</v>
      </c>
      <c r="K508" s="12" t="str">
        <f>VLOOKUP($A508,Table1[],22,TRUE)</f>
        <v>FALSE</v>
      </c>
      <c r="L508" s="13">
        <f>VLOOKUP($A508,Table1[],25,TRUE)</f>
        <v>0.91</v>
      </c>
    </row>
    <row r="509" spans="1:12" x14ac:dyDescent="0.25">
      <c r="A509" t="s">
        <v>1096</v>
      </c>
      <c r="B509" s="18" t="str">
        <f>VLOOKUP(A509,Table1[],3,TRUE)</f>
        <v>Clifford Moore Md</v>
      </c>
      <c r="C509" s="18" t="str">
        <f>VLOOKUP($A509,Table1[],5,TRUE)</f>
        <v>Male</v>
      </c>
      <c r="D509" s="3" t="str">
        <f>VLOOKUP($A509,Table1[],7,TRUE)</f>
        <v>33</v>
      </c>
      <c r="E509" s="3" t="str">
        <f>VLOOKUP($A509,Table1[],8,TRUE)</f>
        <v>United Kingdom</v>
      </c>
      <c r="F509" s="3" t="str">
        <f>VLOOKUP($A509,Table1[],9,TRUE)</f>
        <v>English</v>
      </c>
      <c r="G509" s="3" t="str">
        <f>VLOOKUP($A509,Table1[],10,TRUE)</f>
        <v>Cybersecurity</v>
      </c>
      <c r="H509" s="13" t="str">
        <f>VLOOKUP($A509,Table1[],12,TRUE)</f>
        <v>6</v>
      </c>
      <c r="I509" s="20">
        <v>50</v>
      </c>
      <c r="J509" s="15">
        <f>VLOOKUP($A509,Table1[],18,TRUE)</f>
        <v>3.1</v>
      </c>
      <c r="K509" s="12" t="str">
        <f>VLOOKUP($A509,Table1[],22,TRUE)</f>
        <v>FALSE</v>
      </c>
      <c r="L509" s="13">
        <f>VLOOKUP($A509,Table1[],25,TRUE)</f>
        <v>0.75</v>
      </c>
    </row>
    <row r="510" spans="1:12" x14ac:dyDescent="0.25">
      <c r="A510" t="s">
        <v>1098</v>
      </c>
      <c r="B510" s="18" t="str">
        <f>VLOOKUP(A510,Table1[],3,TRUE)</f>
        <v>John Rios</v>
      </c>
      <c r="C510" s="18" t="str">
        <f>VLOOKUP($A510,Table1[],5,TRUE)</f>
        <v>Male</v>
      </c>
      <c r="D510" s="3" t="str">
        <f>VLOOKUP($A510,Table1[],7,TRUE)</f>
        <v>57</v>
      </c>
      <c r="E510" s="3" t="str">
        <f>VLOOKUP($A510,Table1[],8,TRUE)</f>
        <v>Brazil</v>
      </c>
      <c r="F510" s="3" t="str">
        <f>VLOOKUP($A510,Table1[],9,TRUE)</f>
        <v>Portuguese</v>
      </c>
      <c r="G510" s="3" t="str">
        <f>VLOOKUP($A510,Table1[],10,TRUE)</f>
        <v>Web Development</v>
      </c>
      <c r="H510" s="13" t="str">
        <f>VLOOKUP($A510,Table1[],12,TRUE)</f>
        <v>5</v>
      </c>
      <c r="I510" s="20">
        <v>75</v>
      </c>
      <c r="J510" s="15">
        <f>VLOOKUP($A510,Table1[],18,TRUE)</f>
        <v>1.1000000000000001</v>
      </c>
      <c r="K510" s="12" t="str">
        <f>VLOOKUP($A510,Table1[],22,TRUE)</f>
        <v>TRUE</v>
      </c>
      <c r="L510" s="13">
        <f>VLOOKUP($A510,Table1[],25,TRUE)</f>
        <v>0.77</v>
      </c>
    </row>
    <row r="511" spans="1:12" x14ac:dyDescent="0.25">
      <c r="A511" t="s">
        <v>1100</v>
      </c>
      <c r="B511" s="18" t="str">
        <f>VLOOKUP(A511,Table1[],3,TRUE)</f>
        <v>Anthony Gaines</v>
      </c>
      <c r="C511" s="18" t="str">
        <f>VLOOKUP($A511,Table1[],5,TRUE)</f>
        <v>Male</v>
      </c>
      <c r="D511" s="3" t="str">
        <f>VLOOKUP($A511,Table1[],7,TRUE)</f>
        <v>52</v>
      </c>
      <c r="E511" s="3" t="str">
        <f>VLOOKUP($A511,Table1[],8,TRUE)</f>
        <v>United States</v>
      </c>
      <c r="F511" s="3" t="str">
        <f>VLOOKUP($A511,Table1[],9,TRUE)</f>
        <v>English</v>
      </c>
      <c r="G511" s="3" t="str">
        <f>VLOOKUP($A511,Table1[],10,TRUE)</f>
        <v>DevOps</v>
      </c>
      <c r="H511" s="13" t="str">
        <f>VLOOKUP($A511,Table1[],12,TRUE)</f>
        <v>17</v>
      </c>
      <c r="I511" s="20">
        <v>75</v>
      </c>
      <c r="J511" s="15">
        <f>VLOOKUP($A511,Table1[],18,TRUE)</f>
        <v>0</v>
      </c>
      <c r="K511" s="12" t="str">
        <f>VLOOKUP($A511,Table1[],22,TRUE)</f>
        <v>FALSE</v>
      </c>
      <c r="L511" s="13">
        <f>VLOOKUP($A511,Table1[],25,TRUE)</f>
        <v>0.94</v>
      </c>
    </row>
    <row r="512" spans="1:12" x14ac:dyDescent="0.25">
      <c r="A512" t="s">
        <v>1102</v>
      </c>
      <c r="B512" s="18" t="str">
        <f>VLOOKUP(A512,Table1[],3,TRUE)</f>
        <v>Kristi Brown Dvm</v>
      </c>
      <c r="C512" s="18" t="str">
        <f>VLOOKUP($A512,Table1[],5,TRUE)</f>
        <v>Female</v>
      </c>
      <c r="D512" s="3" t="str">
        <f>VLOOKUP($A512,Table1[],7,TRUE)</f>
        <v>21</v>
      </c>
      <c r="E512" s="3" t="str">
        <f>VLOOKUP($A512,Table1[],8,TRUE)</f>
        <v>Germany</v>
      </c>
      <c r="F512" s="3" t="str">
        <f>VLOOKUP($A512,Table1[],9,TRUE)</f>
        <v>German</v>
      </c>
      <c r="G512" s="3" t="str">
        <f>VLOOKUP($A512,Table1[],10,TRUE)</f>
        <v>Web Development</v>
      </c>
      <c r="H512" s="13" t="str">
        <f>VLOOKUP($A512,Table1[],12,TRUE)</f>
        <v>0</v>
      </c>
      <c r="I512" s="20">
        <v>20</v>
      </c>
      <c r="J512" s="15">
        <f>VLOOKUP($A512,Table1[],18,TRUE)</f>
        <v>3.8</v>
      </c>
      <c r="K512" s="12" t="str">
        <f>VLOOKUP($A512,Table1[],22,TRUE)</f>
        <v>TRUE</v>
      </c>
      <c r="L512" s="13">
        <f>VLOOKUP($A512,Table1[],25,TRUE)</f>
        <v>0.61</v>
      </c>
    </row>
    <row r="513" spans="1:12" x14ac:dyDescent="0.25">
      <c r="A513" t="s">
        <v>1104</v>
      </c>
      <c r="B513" s="18" t="str">
        <f>VLOOKUP(A513,Table1[],3,TRUE)</f>
        <v>Ashley Odonnell</v>
      </c>
      <c r="C513" s="18" t="str">
        <f>VLOOKUP($A513,Table1[],5,TRUE)</f>
        <v>Female</v>
      </c>
      <c r="D513" s="3" t="str">
        <f>VLOOKUP($A513,Table1[],7,TRUE)</f>
        <v>36</v>
      </c>
      <c r="E513" s="3" t="str">
        <f>VLOOKUP($A513,Table1[],8,TRUE)</f>
        <v>Argentina</v>
      </c>
      <c r="F513" s="3" t="str">
        <f>VLOOKUP($A513,Table1[],9,TRUE)</f>
        <v>Spanish</v>
      </c>
      <c r="G513" s="3" t="str">
        <f>VLOOKUP($A513,Table1[],10,TRUE)</f>
        <v>UI/UX Design</v>
      </c>
      <c r="H513" s="13" t="str">
        <f>VLOOKUP($A513,Table1[],12,TRUE)</f>
        <v>8</v>
      </c>
      <c r="I513" s="20">
        <v>100</v>
      </c>
      <c r="J513" s="15">
        <f>VLOOKUP($A513,Table1[],18,TRUE)</f>
        <v>1.7</v>
      </c>
      <c r="K513" s="12" t="str">
        <f>VLOOKUP($A513,Table1[],22,TRUE)</f>
        <v>FALSE</v>
      </c>
      <c r="L513" s="13">
        <f>VLOOKUP($A513,Table1[],25,TRUE)</f>
        <v>0.68</v>
      </c>
    </row>
    <row r="514" spans="1:12" x14ac:dyDescent="0.25">
      <c r="A514" t="s">
        <v>1106</v>
      </c>
      <c r="B514" s="18" t="str">
        <f>VLOOKUP(A514,Table1[],3,TRUE)</f>
        <v>Ronald Elliott</v>
      </c>
      <c r="C514" s="18" t="str">
        <f>VLOOKUP($A514,Table1[],5,TRUE)</f>
        <v>Male</v>
      </c>
      <c r="D514" s="3" t="str">
        <f>VLOOKUP($A514,Table1[],7,TRUE)</f>
        <v>33</v>
      </c>
      <c r="E514" s="3" t="str">
        <f>VLOOKUP($A514,Table1[],8,TRUE)</f>
        <v>Spain</v>
      </c>
      <c r="F514" s="3" t="str">
        <f>VLOOKUP($A514,Table1[],9,TRUE)</f>
        <v>Spanish</v>
      </c>
      <c r="G514" s="3" t="str">
        <f>VLOOKUP($A514,Table1[],10,TRUE)</f>
        <v>Machine Learning</v>
      </c>
      <c r="H514" s="13" t="str">
        <f>VLOOKUP($A514,Table1[],12,TRUE)</f>
        <v>13</v>
      </c>
      <c r="I514" s="20">
        <v>50</v>
      </c>
      <c r="J514" s="15">
        <f>VLOOKUP($A514,Table1[],18,TRUE)</f>
        <v>2.2000000000000002</v>
      </c>
      <c r="K514" s="12" t="str">
        <f>VLOOKUP($A514,Table1[],22,TRUE)</f>
        <v>FALSE</v>
      </c>
      <c r="L514" s="13">
        <f>VLOOKUP($A514,Table1[],25,TRUE)</f>
        <v>0.7</v>
      </c>
    </row>
    <row r="515" spans="1:12" x14ac:dyDescent="0.25">
      <c r="A515" t="s">
        <v>1108</v>
      </c>
      <c r="B515" s="18" t="str">
        <f>VLOOKUP(A515,Table1[],3,TRUE)</f>
        <v>Lorraine Lowery</v>
      </c>
      <c r="C515" s="18" t="str">
        <f>VLOOKUP($A515,Table1[],5,TRUE)</f>
        <v>Female</v>
      </c>
      <c r="D515" s="3" t="str">
        <f>VLOOKUP($A515,Table1[],7,TRUE)</f>
        <v>54</v>
      </c>
      <c r="E515" s="3" t="str">
        <f>VLOOKUP($A515,Table1[],8,TRUE)</f>
        <v>United Kingdom</v>
      </c>
      <c r="F515" s="3" t="str">
        <f>VLOOKUP($A515,Table1[],9,TRUE)</f>
        <v>English</v>
      </c>
      <c r="G515" s="3" t="str">
        <f>VLOOKUP($A515,Table1[],10,TRUE)</f>
        <v>Data Analysis</v>
      </c>
      <c r="H515" s="13" t="str">
        <f>VLOOKUP($A515,Table1[],12,TRUE)</f>
        <v>15</v>
      </c>
      <c r="I515" s="20">
        <v>40</v>
      </c>
      <c r="J515" s="15">
        <f>VLOOKUP($A515,Table1[],18,TRUE)</f>
        <v>4.0999999999999996</v>
      </c>
      <c r="K515" s="12" t="str">
        <f>VLOOKUP($A515,Table1[],22,TRUE)</f>
        <v>TRUE</v>
      </c>
      <c r="L515" s="13">
        <f>VLOOKUP($A515,Table1[],25,TRUE)</f>
        <v>0.71</v>
      </c>
    </row>
    <row r="516" spans="1:12" x14ac:dyDescent="0.25">
      <c r="A516" t="s">
        <v>1110</v>
      </c>
      <c r="B516" s="18" t="str">
        <f>VLOOKUP(A516,Table1[],3,TRUE)</f>
        <v>Victoria Chapman</v>
      </c>
      <c r="C516" s="18" t="str">
        <f>VLOOKUP($A516,Table1[],5,TRUE)</f>
        <v>Female</v>
      </c>
      <c r="D516" s="3" t="str">
        <f>VLOOKUP($A516,Table1[],7,TRUE)</f>
        <v>33</v>
      </c>
      <c r="E516" s="3" t="str">
        <f>VLOOKUP($A516,Table1[],8,TRUE)</f>
        <v>United States</v>
      </c>
      <c r="F516" s="3" t="str">
        <f>VLOOKUP($A516,Table1[],9,TRUE)</f>
        <v>English</v>
      </c>
      <c r="G516" s="3" t="str">
        <f>VLOOKUP($A516,Table1[],10,TRUE)</f>
        <v>Blockchain Development</v>
      </c>
      <c r="H516" s="13" t="str">
        <f>VLOOKUP($A516,Table1[],12,TRUE)</f>
        <v>2</v>
      </c>
      <c r="I516" s="20">
        <v>100</v>
      </c>
      <c r="J516" s="15">
        <f>VLOOKUP($A516,Table1[],18,TRUE)</f>
        <v>3.8</v>
      </c>
      <c r="K516" s="12" t="str">
        <f>VLOOKUP($A516,Table1[],22,TRUE)</f>
        <v>TRUE</v>
      </c>
      <c r="L516" s="13">
        <f>VLOOKUP($A516,Table1[],25,TRUE)</f>
        <v>0.75</v>
      </c>
    </row>
    <row r="517" spans="1:12" x14ac:dyDescent="0.25">
      <c r="A517" t="s">
        <v>1112</v>
      </c>
      <c r="B517" s="18" t="str">
        <f>VLOOKUP(A517,Table1[],3,TRUE)</f>
        <v>Heather Davis</v>
      </c>
      <c r="C517" s="18" t="str">
        <f>VLOOKUP($A517,Table1[],5,TRUE)</f>
        <v>Female</v>
      </c>
      <c r="D517" s="3" t="str">
        <f>VLOOKUP($A517,Table1[],7,TRUE)</f>
        <v>36</v>
      </c>
      <c r="E517" s="3" t="str">
        <f>VLOOKUP($A517,Table1[],8,TRUE)</f>
        <v>Japan</v>
      </c>
      <c r="F517" s="3" t="str">
        <f>VLOOKUP($A517,Table1[],9,TRUE)</f>
        <v>Japanese</v>
      </c>
      <c r="G517" s="3" t="str">
        <f>VLOOKUP($A517,Table1[],10,TRUE)</f>
        <v>Machine Learning</v>
      </c>
      <c r="H517" s="13" t="str">
        <f>VLOOKUP($A517,Table1[],12,TRUE)</f>
        <v>9</v>
      </c>
      <c r="I517" s="20">
        <v>30</v>
      </c>
      <c r="J517" s="15">
        <f>VLOOKUP($A517,Table1[],18,TRUE)</f>
        <v>0</v>
      </c>
      <c r="K517" s="12" t="str">
        <f>VLOOKUP($A517,Table1[],22,TRUE)</f>
        <v>TRUE</v>
      </c>
      <c r="L517" s="13">
        <f>VLOOKUP($A517,Table1[],25,TRUE)</f>
        <v>0.78</v>
      </c>
    </row>
    <row r="518" spans="1:12" x14ac:dyDescent="0.25">
      <c r="A518" t="s">
        <v>1114</v>
      </c>
      <c r="B518" s="18" t="str">
        <f>VLOOKUP(A518,Table1[],3,TRUE)</f>
        <v>Diana Chase</v>
      </c>
      <c r="C518" s="18" t="str">
        <f>VLOOKUP($A518,Table1[],5,TRUE)</f>
        <v>Female</v>
      </c>
      <c r="D518" s="3" t="str">
        <f>VLOOKUP($A518,Table1[],7,TRUE)</f>
        <v>36</v>
      </c>
      <c r="E518" s="3" t="str">
        <f>VLOOKUP($A518,Table1[],8,TRUE)</f>
        <v>Turkey</v>
      </c>
      <c r="F518" s="3" t="str">
        <f>VLOOKUP($A518,Table1[],9,TRUE)</f>
        <v>Turkish</v>
      </c>
      <c r="G518" s="3" t="str">
        <f>VLOOKUP($A518,Table1[],10,TRUE)</f>
        <v>AI</v>
      </c>
      <c r="H518" s="13" t="str">
        <f>VLOOKUP($A518,Table1[],12,TRUE)</f>
        <v>3</v>
      </c>
      <c r="I518" s="20">
        <v>50</v>
      </c>
      <c r="J518" s="15">
        <f>VLOOKUP($A518,Table1[],18,TRUE)</f>
        <v>0</v>
      </c>
      <c r="K518" s="12" t="str">
        <f>VLOOKUP($A518,Table1[],22,TRUE)</f>
        <v>FALSE</v>
      </c>
      <c r="L518" s="13">
        <f>VLOOKUP($A518,Table1[],25,TRUE)</f>
        <v>0.75</v>
      </c>
    </row>
    <row r="519" spans="1:12" x14ac:dyDescent="0.25">
      <c r="A519" t="s">
        <v>1116</v>
      </c>
      <c r="B519" s="18" t="str">
        <f>VLOOKUP(A519,Table1[],3,TRUE)</f>
        <v>Danielle Adkins</v>
      </c>
      <c r="C519" s="18" t="str">
        <f>VLOOKUP($A519,Table1[],5,TRUE)</f>
        <v>Female</v>
      </c>
      <c r="D519" s="3" t="str">
        <f>VLOOKUP($A519,Table1[],7,TRUE)</f>
        <v>43</v>
      </c>
      <c r="E519" s="3" t="str">
        <f>VLOOKUP($A519,Table1[],8,TRUE)</f>
        <v>China</v>
      </c>
      <c r="F519" s="3" t="str">
        <f>VLOOKUP($A519,Table1[],9,TRUE)</f>
        <v>Mandarin</v>
      </c>
      <c r="G519" s="3" t="str">
        <f>VLOOKUP($A519,Table1[],10,TRUE)</f>
        <v>AI</v>
      </c>
      <c r="H519" s="13" t="str">
        <f>VLOOKUP($A519,Table1[],12,TRUE)</f>
        <v>15</v>
      </c>
      <c r="I519" s="20">
        <v>20</v>
      </c>
      <c r="J519" s="15">
        <f>VLOOKUP($A519,Table1[],18,TRUE)</f>
        <v>4.2</v>
      </c>
      <c r="K519" s="12" t="str">
        <f>VLOOKUP($A519,Table1[],22,TRUE)</f>
        <v>TRUE</v>
      </c>
      <c r="L519" s="13">
        <f>VLOOKUP($A519,Table1[],25,TRUE)</f>
        <v>0.91</v>
      </c>
    </row>
    <row r="520" spans="1:12" x14ac:dyDescent="0.25">
      <c r="A520" t="s">
        <v>1118</v>
      </c>
      <c r="B520" s="18" t="str">
        <f>VLOOKUP(A520,Table1[],3,TRUE)</f>
        <v>Kenneth Arias</v>
      </c>
      <c r="C520" s="18" t="str">
        <f>VLOOKUP($A520,Table1[],5,TRUE)</f>
        <v>Male</v>
      </c>
      <c r="D520" s="3" t="str">
        <f>VLOOKUP($A520,Table1[],7,TRUE)</f>
        <v>52</v>
      </c>
      <c r="E520" s="3" t="str">
        <f>VLOOKUP($A520,Table1[],8,TRUE)</f>
        <v>United Kingdom</v>
      </c>
      <c r="F520" s="3" t="str">
        <f>VLOOKUP($A520,Table1[],9,TRUE)</f>
        <v>English</v>
      </c>
      <c r="G520" s="3" t="str">
        <f>VLOOKUP($A520,Table1[],10,TRUE)</f>
        <v>Data Analysis</v>
      </c>
      <c r="H520" s="13" t="str">
        <f>VLOOKUP($A520,Table1[],12,TRUE)</f>
        <v>21</v>
      </c>
      <c r="I520" s="20">
        <v>75</v>
      </c>
      <c r="J520" s="15">
        <f>VLOOKUP($A520,Table1[],18,TRUE)</f>
        <v>2.2000000000000002</v>
      </c>
      <c r="K520" s="12" t="str">
        <f>VLOOKUP($A520,Table1[],22,TRUE)</f>
        <v>TRUE</v>
      </c>
      <c r="L520" s="13">
        <f>VLOOKUP($A520,Table1[],25,TRUE)</f>
        <v>0.66</v>
      </c>
    </row>
    <row r="521" spans="1:12" x14ac:dyDescent="0.25">
      <c r="A521" t="s">
        <v>1120</v>
      </c>
      <c r="B521" s="18" t="str">
        <f>VLOOKUP(A521,Table1[],3,TRUE)</f>
        <v>Victoria Owen</v>
      </c>
      <c r="C521" s="18" t="str">
        <f>VLOOKUP($A521,Table1[],5,TRUE)</f>
        <v>Female</v>
      </c>
      <c r="D521" s="3" t="str">
        <f>VLOOKUP($A521,Table1[],7,TRUE)</f>
        <v>28</v>
      </c>
      <c r="E521" s="3" t="str">
        <f>VLOOKUP($A521,Table1[],8,TRUE)</f>
        <v>Indonesia</v>
      </c>
      <c r="F521" s="3" t="str">
        <f>VLOOKUP($A521,Table1[],9,TRUE)</f>
        <v>Indonesian</v>
      </c>
      <c r="G521" s="3" t="str">
        <f>VLOOKUP($A521,Table1[],10,TRUE)</f>
        <v>Cybersecurity</v>
      </c>
      <c r="H521" s="13" t="str">
        <f>VLOOKUP($A521,Table1[],12,TRUE)</f>
        <v>2</v>
      </c>
      <c r="I521" s="20">
        <v>75</v>
      </c>
      <c r="J521" s="15">
        <f>VLOOKUP($A521,Table1[],18,TRUE)</f>
        <v>1.5</v>
      </c>
      <c r="K521" s="12" t="str">
        <f>VLOOKUP($A521,Table1[],22,TRUE)</f>
        <v>TRUE</v>
      </c>
      <c r="L521" s="13">
        <f>VLOOKUP($A521,Table1[],25,TRUE)</f>
        <v>0.68</v>
      </c>
    </row>
    <row r="522" spans="1:12" x14ac:dyDescent="0.25">
      <c r="A522" t="s">
        <v>1122</v>
      </c>
      <c r="B522" s="18" t="str">
        <f>VLOOKUP(A522,Table1[],3,TRUE)</f>
        <v>Christina King</v>
      </c>
      <c r="C522" s="18" t="str">
        <f>VLOOKUP($A522,Table1[],5,TRUE)</f>
        <v>Female</v>
      </c>
      <c r="D522" s="3" t="str">
        <f>VLOOKUP($A522,Table1[],7,TRUE)</f>
        <v>47</v>
      </c>
      <c r="E522" s="3" t="str">
        <f>VLOOKUP($A522,Table1[],8,TRUE)</f>
        <v>China</v>
      </c>
      <c r="F522" s="3" t="str">
        <f>VLOOKUP($A522,Table1[],9,TRUE)</f>
        <v>Mandarin</v>
      </c>
      <c r="G522" s="3" t="str">
        <f>VLOOKUP($A522,Table1[],10,TRUE)</f>
        <v>Cybersecurity</v>
      </c>
      <c r="H522" s="13" t="str">
        <f>VLOOKUP($A522,Table1[],12,TRUE)</f>
        <v>21</v>
      </c>
      <c r="I522" s="20">
        <v>100</v>
      </c>
      <c r="J522" s="15">
        <f>VLOOKUP($A522,Table1[],18,TRUE)</f>
        <v>0</v>
      </c>
      <c r="K522" s="12" t="str">
        <f>VLOOKUP($A522,Table1[],22,TRUE)</f>
        <v>FALSE</v>
      </c>
      <c r="L522" s="13">
        <f>VLOOKUP($A522,Table1[],25,TRUE)</f>
        <v>0.75</v>
      </c>
    </row>
    <row r="523" spans="1:12" x14ac:dyDescent="0.25">
      <c r="A523" t="s">
        <v>1124</v>
      </c>
      <c r="B523" s="18" t="str">
        <f>VLOOKUP(A523,Table1[],3,TRUE)</f>
        <v>Samantha King</v>
      </c>
      <c r="C523" s="18" t="str">
        <f>VLOOKUP($A523,Table1[],5,TRUE)</f>
        <v>Female</v>
      </c>
      <c r="D523" s="3" t="str">
        <f>VLOOKUP($A523,Table1[],7,TRUE)</f>
        <v>30</v>
      </c>
      <c r="E523" s="3" t="str">
        <f>VLOOKUP($A523,Table1[],8,TRUE)</f>
        <v>France</v>
      </c>
      <c r="F523" s="3" t="str">
        <f>VLOOKUP($A523,Table1[],9,TRUE)</f>
        <v>French</v>
      </c>
      <c r="G523" s="3" t="str">
        <f>VLOOKUP($A523,Table1[],10,TRUE)</f>
        <v>DevOps</v>
      </c>
      <c r="H523" s="13" t="str">
        <f>VLOOKUP($A523,Table1[],12,TRUE)</f>
        <v>0</v>
      </c>
      <c r="I523" s="20">
        <v>100</v>
      </c>
      <c r="J523" s="15">
        <f>VLOOKUP($A523,Table1[],18,TRUE)</f>
        <v>4.0999999999999996</v>
      </c>
      <c r="K523" s="12" t="str">
        <f>VLOOKUP($A523,Table1[],22,TRUE)</f>
        <v>FALSE</v>
      </c>
      <c r="L523" s="13">
        <f>VLOOKUP($A523,Table1[],25,TRUE)</f>
        <v>0.62</v>
      </c>
    </row>
    <row r="524" spans="1:12" x14ac:dyDescent="0.25">
      <c r="A524" t="s">
        <v>1126</v>
      </c>
      <c r="B524" s="18" t="str">
        <f>VLOOKUP(A524,Table1[],3,TRUE)</f>
        <v>Scott Compton</v>
      </c>
      <c r="C524" s="18" t="str">
        <f>VLOOKUP($A524,Table1[],5,TRUE)</f>
        <v>Male</v>
      </c>
      <c r="D524" s="3" t="str">
        <f>VLOOKUP($A524,Table1[],7,TRUE)</f>
        <v>36</v>
      </c>
      <c r="E524" s="3" t="str">
        <f>VLOOKUP($A524,Table1[],8,TRUE)</f>
        <v>Egypt</v>
      </c>
      <c r="F524" s="3" t="str">
        <f>VLOOKUP($A524,Table1[],9,TRUE)</f>
        <v>Arabic</v>
      </c>
      <c r="G524" s="3" t="str">
        <f>VLOOKUP($A524,Table1[],10,TRUE)</f>
        <v>Blockchain Development</v>
      </c>
      <c r="H524" s="13" t="str">
        <f>VLOOKUP($A524,Table1[],12,TRUE)</f>
        <v>4</v>
      </c>
      <c r="I524" s="20">
        <v>40</v>
      </c>
      <c r="J524" s="15">
        <f>VLOOKUP($A524,Table1[],18,TRUE)</f>
        <v>2.6</v>
      </c>
      <c r="K524" s="12" t="str">
        <f>VLOOKUP($A524,Table1[],22,TRUE)</f>
        <v>FALSE</v>
      </c>
      <c r="L524" s="13">
        <f>VLOOKUP($A524,Table1[],25,TRUE)</f>
        <v>0.9</v>
      </c>
    </row>
    <row r="525" spans="1:12" x14ac:dyDescent="0.25">
      <c r="A525" t="s">
        <v>1128</v>
      </c>
      <c r="B525" s="18" t="str">
        <f>VLOOKUP(A525,Table1[],3,TRUE)</f>
        <v>Monica West</v>
      </c>
      <c r="C525" s="18" t="str">
        <f>VLOOKUP($A525,Table1[],5,TRUE)</f>
        <v>Female</v>
      </c>
      <c r="D525" s="3" t="str">
        <f>VLOOKUP($A525,Table1[],7,TRUE)</f>
        <v>45</v>
      </c>
      <c r="E525" s="3" t="str">
        <f>VLOOKUP($A525,Table1[],8,TRUE)</f>
        <v>United States</v>
      </c>
      <c r="F525" s="3" t="str">
        <f>VLOOKUP($A525,Table1[],9,TRUE)</f>
        <v>English</v>
      </c>
      <c r="G525" s="3" t="str">
        <f>VLOOKUP($A525,Table1[],10,TRUE)</f>
        <v>UI/UX Design</v>
      </c>
      <c r="H525" s="13" t="str">
        <f>VLOOKUP($A525,Table1[],12,TRUE)</f>
        <v>23</v>
      </c>
      <c r="I525" s="20">
        <v>100</v>
      </c>
      <c r="J525" s="15">
        <f>VLOOKUP($A525,Table1[],18,TRUE)</f>
        <v>2.4</v>
      </c>
      <c r="K525" s="12" t="str">
        <f>VLOOKUP($A525,Table1[],22,TRUE)</f>
        <v>TRUE</v>
      </c>
      <c r="L525" s="13">
        <f>VLOOKUP($A525,Table1[],25,TRUE)</f>
        <v>0.96</v>
      </c>
    </row>
    <row r="526" spans="1:12" x14ac:dyDescent="0.25">
      <c r="A526" t="s">
        <v>1130</v>
      </c>
      <c r="B526" s="18" t="str">
        <f>VLOOKUP(A526,Table1[],3,TRUE)</f>
        <v>Theresa Stewart</v>
      </c>
      <c r="C526" s="18" t="str">
        <f>VLOOKUP($A526,Table1[],5,TRUE)</f>
        <v>Female</v>
      </c>
      <c r="D526" s="3" t="str">
        <f>VLOOKUP($A526,Table1[],7,TRUE)</f>
        <v>51</v>
      </c>
      <c r="E526" s="3" t="str">
        <f>VLOOKUP($A526,Table1[],8,TRUE)</f>
        <v>United States</v>
      </c>
      <c r="F526" s="3" t="str">
        <f>VLOOKUP($A526,Table1[],9,TRUE)</f>
        <v>English</v>
      </c>
      <c r="G526" s="3" t="str">
        <f>VLOOKUP($A526,Table1[],10,TRUE)</f>
        <v>Blockchain Development</v>
      </c>
      <c r="H526" s="13" t="str">
        <f>VLOOKUP($A526,Table1[],12,TRUE)</f>
        <v>25</v>
      </c>
      <c r="I526" s="20">
        <v>50</v>
      </c>
      <c r="J526" s="15">
        <f>VLOOKUP($A526,Table1[],18,TRUE)</f>
        <v>1.4</v>
      </c>
      <c r="K526" s="12" t="str">
        <f>VLOOKUP($A526,Table1[],22,TRUE)</f>
        <v>TRUE</v>
      </c>
      <c r="L526" s="13">
        <f>VLOOKUP($A526,Table1[],25,TRUE)</f>
        <v>0.6</v>
      </c>
    </row>
    <row r="527" spans="1:12" x14ac:dyDescent="0.25">
      <c r="A527" t="s">
        <v>1132</v>
      </c>
      <c r="B527" s="18" t="str">
        <f>VLOOKUP(A527,Table1[],3,TRUE)</f>
        <v>Steven Kim</v>
      </c>
      <c r="C527" s="18" t="str">
        <f>VLOOKUP($A527,Table1[],5,TRUE)</f>
        <v>Male</v>
      </c>
      <c r="D527" s="3" t="str">
        <f>VLOOKUP($A527,Table1[],7,TRUE)</f>
        <v>46</v>
      </c>
      <c r="E527" s="3" t="str">
        <f>VLOOKUP($A527,Table1[],8,TRUE)</f>
        <v>Turkey</v>
      </c>
      <c r="F527" s="3" t="str">
        <f>VLOOKUP($A527,Table1[],9,TRUE)</f>
        <v>Turkish</v>
      </c>
      <c r="G527" s="3" t="str">
        <f>VLOOKUP($A527,Table1[],10,TRUE)</f>
        <v>Mobile Apps</v>
      </c>
      <c r="H527" s="13" t="str">
        <f>VLOOKUP($A527,Table1[],12,TRUE)</f>
        <v>10</v>
      </c>
      <c r="I527" s="20">
        <v>50</v>
      </c>
      <c r="J527" s="15">
        <f>VLOOKUP($A527,Table1[],18,TRUE)</f>
        <v>4.5999999999999996</v>
      </c>
      <c r="K527" s="12" t="str">
        <f>VLOOKUP($A527,Table1[],22,TRUE)</f>
        <v>TRUE</v>
      </c>
      <c r="L527" s="13">
        <f>VLOOKUP($A527,Table1[],25,TRUE)</f>
        <v>0.62</v>
      </c>
    </row>
    <row r="528" spans="1:12" x14ac:dyDescent="0.25">
      <c r="A528" t="s">
        <v>1134</v>
      </c>
      <c r="B528" s="18" t="str">
        <f>VLOOKUP(A528,Table1[],3,TRUE)</f>
        <v>Kristi Knight</v>
      </c>
      <c r="C528" s="18" t="str">
        <f>VLOOKUP($A528,Table1[],5,TRUE)</f>
        <v>Female</v>
      </c>
      <c r="D528" s="3" t="str">
        <f>VLOOKUP($A528,Table1[],7,TRUE)</f>
        <v>38</v>
      </c>
      <c r="E528" s="3" t="str">
        <f>VLOOKUP($A528,Table1[],8,TRUE)</f>
        <v>Italy</v>
      </c>
      <c r="F528" s="3" t="str">
        <f>VLOOKUP($A528,Table1[],9,TRUE)</f>
        <v>Italian</v>
      </c>
      <c r="G528" s="3" t="str">
        <f>VLOOKUP($A528,Table1[],10,TRUE)</f>
        <v>Data Analysis</v>
      </c>
      <c r="H528" s="13" t="str">
        <f>VLOOKUP($A528,Table1[],12,TRUE)</f>
        <v>18</v>
      </c>
      <c r="I528" s="20">
        <v>40</v>
      </c>
      <c r="J528" s="15">
        <f>VLOOKUP($A528,Table1[],18,TRUE)</f>
        <v>4.9000000000000004</v>
      </c>
      <c r="K528" s="12" t="str">
        <f>VLOOKUP($A528,Table1[],22,TRUE)</f>
        <v>TRUE</v>
      </c>
      <c r="L528" s="13">
        <f>VLOOKUP($A528,Table1[],25,TRUE)</f>
        <v>0.74</v>
      </c>
    </row>
    <row r="529" spans="1:12" x14ac:dyDescent="0.25">
      <c r="A529" t="s">
        <v>1136</v>
      </c>
      <c r="B529" s="18" t="str">
        <f>VLOOKUP(A529,Table1[],3,TRUE)</f>
        <v>Jason Bryant</v>
      </c>
      <c r="C529" s="18" t="str">
        <f>VLOOKUP($A529,Table1[],5,TRUE)</f>
        <v>Male</v>
      </c>
      <c r="D529" s="3" t="str">
        <f>VLOOKUP($A529,Table1[],7,TRUE)</f>
        <v>26</v>
      </c>
      <c r="E529" s="3" t="str">
        <f>VLOOKUP($A529,Table1[],8,TRUE)</f>
        <v>Spain</v>
      </c>
      <c r="F529" s="3" t="str">
        <f>VLOOKUP($A529,Table1[],9,TRUE)</f>
        <v>Spanish</v>
      </c>
      <c r="G529" s="3" t="str">
        <f>VLOOKUP($A529,Table1[],10,TRUE)</f>
        <v>Blockchain Development</v>
      </c>
      <c r="H529" s="13" t="str">
        <f>VLOOKUP($A529,Table1[],12,TRUE)</f>
        <v>1</v>
      </c>
      <c r="I529" s="20">
        <v>20</v>
      </c>
      <c r="J529" s="15">
        <f>VLOOKUP($A529,Table1[],18,TRUE)</f>
        <v>0</v>
      </c>
      <c r="K529" s="12" t="str">
        <f>VLOOKUP($A529,Table1[],22,TRUE)</f>
        <v>TRUE</v>
      </c>
      <c r="L529" s="13">
        <f>VLOOKUP($A529,Table1[],25,TRUE)</f>
        <v>0.75</v>
      </c>
    </row>
    <row r="530" spans="1:12" x14ac:dyDescent="0.25">
      <c r="A530" t="s">
        <v>1138</v>
      </c>
      <c r="B530" s="18" t="str">
        <f>VLOOKUP(A530,Table1[],3,TRUE)</f>
        <v>Maureen Keith</v>
      </c>
      <c r="C530" s="18" t="str">
        <f>VLOOKUP($A530,Table1[],5,TRUE)</f>
        <v>Female</v>
      </c>
      <c r="D530" s="3" t="str">
        <f>VLOOKUP($A530,Table1[],7,TRUE)</f>
        <v>40</v>
      </c>
      <c r="E530" s="3" t="str">
        <f>VLOOKUP($A530,Table1[],8,TRUE)</f>
        <v>United Kingdom</v>
      </c>
      <c r="F530" s="3" t="str">
        <f>VLOOKUP($A530,Table1[],9,TRUE)</f>
        <v>English</v>
      </c>
      <c r="G530" s="3" t="str">
        <f>VLOOKUP($A530,Table1[],10,TRUE)</f>
        <v>DevOps</v>
      </c>
      <c r="H530" s="13" t="str">
        <f>VLOOKUP($A530,Table1[],12,TRUE)</f>
        <v>12</v>
      </c>
      <c r="I530" s="20">
        <v>30</v>
      </c>
      <c r="J530" s="15">
        <f>VLOOKUP($A530,Table1[],18,TRUE)</f>
        <v>3.5</v>
      </c>
      <c r="K530" s="12" t="str">
        <f>VLOOKUP($A530,Table1[],22,TRUE)</f>
        <v>TRUE</v>
      </c>
      <c r="L530" s="13">
        <f>VLOOKUP($A530,Table1[],25,TRUE)</f>
        <v>0.98</v>
      </c>
    </row>
    <row r="531" spans="1:12" x14ac:dyDescent="0.25">
      <c r="A531" t="s">
        <v>1140</v>
      </c>
      <c r="B531" s="18" t="str">
        <f>VLOOKUP(A531,Table1[],3,TRUE)</f>
        <v>Shawn Hogan</v>
      </c>
      <c r="C531" s="18" t="str">
        <f>VLOOKUP($A531,Table1[],5,TRUE)</f>
        <v>Male</v>
      </c>
      <c r="D531" s="3" t="str">
        <f>VLOOKUP($A531,Table1[],7,TRUE)</f>
        <v>37</v>
      </c>
      <c r="E531" s="3" t="str">
        <f>VLOOKUP($A531,Table1[],8,TRUE)</f>
        <v>Germany</v>
      </c>
      <c r="F531" s="3" t="str">
        <f>VLOOKUP($A531,Table1[],9,TRUE)</f>
        <v>German</v>
      </c>
      <c r="G531" s="3" t="str">
        <f>VLOOKUP($A531,Table1[],10,TRUE)</f>
        <v>Machine Learning</v>
      </c>
      <c r="H531" s="13" t="str">
        <f>VLOOKUP($A531,Table1[],12,TRUE)</f>
        <v>Unknown</v>
      </c>
      <c r="I531" s="20">
        <v>50</v>
      </c>
      <c r="J531" s="15">
        <f>VLOOKUP($A531,Table1[],18,TRUE)</f>
        <v>1.7</v>
      </c>
      <c r="K531" s="12" t="str">
        <f>VLOOKUP($A531,Table1[],22,TRUE)</f>
        <v>TRUE</v>
      </c>
      <c r="L531" s="13">
        <f>VLOOKUP($A531,Table1[],25,TRUE)</f>
        <v>0.63</v>
      </c>
    </row>
    <row r="532" spans="1:12" x14ac:dyDescent="0.25">
      <c r="A532" t="s">
        <v>1142</v>
      </c>
      <c r="B532" s="18" t="str">
        <f>VLOOKUP(A532,Table1[],3,TRUE)</f>
        <v>William Davis</v>
      </c>
      <c r="C532" s="18" t="str">
        <f>VLOOKUP($A532,Table1[],5,TRUE)</f>
        <v>Male</v>
      </c>
      <c r="D532" s="3" t="str">
        <f>VLOOKUP($A532,Table1[],7,TRUE)</f>
        <v>28</v>
      </c>
      <c r="E532" s="3" t="str">
        <f>VLOOKUP($A532,Table1[],8,TRUE)</f>
        <v>Canada</v>
      </c>
      <c r="F532" s="3" t="str">
        <f>VLOOKUP($A532,Table1[],9,TRUE)</f>
        <v>English</v>
      </c>
      <c r="G532" s="3" t="str">
        <f>VLOOKUP($A532,Table1[],10,TRUE)</f>
        <v>Blockchain Development</v>
      </c>
      <c r="H532" s="13" t="str">
        <f>VLOOKUP($A532,Table1[],12,TRUE)</f>
        <v>5</v>
      </c>
      <c r="I532" s="20">
        <v>50</v>
      </c>
      <c r="J532" s="15">
        <f>VLOOKUP($A532,Table1[],18,TRUE)</f>
        <v>0</v>
      </c>
      <c r="K532" s="12" t="str">
        <f>VLOOKUP($A532,Table1[],22,TRUE)</f>
        <v>TRUE</v>
      </c>
      <c r="L532" s="13">
        <f>VLOOKUP($A532,Table1[],25,TRUE)</f>
        <v>0.96</v>
      </c>
    </row>
    <row r="533" spans="1:12" x14ac:dyDescent="0.25">
      <c r="A533" t="s">
        <v>1144</v>
      </c>
      <c r="B533" s="18" t="str">
        <f>VLOOKUP(A533,Table1[],3,TRUE)</f>
        <v>Stacy Bailey</v>
      </c>
      <c r="C533" s="18" t="str">
        <f>VLOOKUP($A533,Table1[],5,TRUE)</f>
        <v>Female</v>
      </c>
      <c r="D533" s="3" t="str">
        <f>VLOOKUP($A533,Table1[],7,TRUE)</f>
        <v>48</v>
      </c>
      <c r="E533" s="3" t="str">
        <f>VLOOKUP($A533,Table1[],8,TRUE)</f>
        <v>India</v>
      </c>
      <c r="F533" s="3" t="str">
        <f>VLOOKUP($A533,Table1[],9,TRUE)</f>
        <v>Hindi</v>
      </c>
      <c r="G533" s="3" t="str">
        <f>VLOOKUP($A533,Table1[],10,TRUE)</f>
        <v>Mobile Apps</v>
      </c>
      <c r="H533" s="13" t="str">
        <f>VLOOKUP($A533,Table1[],12,TRUE)</f>
        <v>28</v>
      </c>
      <c r="I533" s="20">
        <v>20</v>
      </c>
      <c r="J533" s="15">
        <f>VLOOKUP($A533,Table1[],18,TRUE)</f>
        <v>0</v>
      </c>
      <c r="K533" s="12" t="str">
        <f>VLOOKUP($A533,Table1[],22,TRUE)</f>
        <v>FALSE</v>
      </c>
      <c r="L533" s="13">
        <f>VLOOKUP($A533,Table1[],25,TRUE)</f>
        <v>0.88</v>
      </c>
    </row>
    <row r="534" spans="1:12" x14ac:dyDescent="0.25">
      <c r="A534" t="s">
        <v>1146</v>
      </c>
      <c r="B534" s="18" t="str">
        <f>VLOOKUP(A534,Table1[],3,TRUE)</f>
        <v>Thomas Dixon</v>
      </c>
      <c r="C534" s="18" t="str">
        <f>VLOOKUP($A534,Table1[],5,TRUE)</f>
        <v>Male</v>
      </c>
      <c r="D534" s="3" t="str">
        <f>VLOOKUP($A534,Table1[],7,TRUE)</f>
        <v>22</v>
      </c>
      <c r="E534" s="3" t="str">
        <f>VLOOKUP($A534,Table1[],8,TRUE)</f>
        <v>India</v>
      </c>
      <c r="F534" s="3" t="str">
        <f>VLOOKUP($A534,Table1[],9,TRUE)</f>
        <v>Hindi</v>
      </c>
      <c r="G534" s="3" t="str">
        <f>VLOOKUP($A534,Table1[],10,TRUE)</f>
        <v>AI</v>
      </c>
      <c r="H534" s="13" t="str">
        <f>VLOOKUP($A534,Table1[],12,TRUE)</f>
        <v>0</v>
      </c>
      <c r="I534" s="20">
        <v>50</v>
      </c>
      <c r="J534" s="15">
        <f>VLOOKUP($A534,Table1[],18,TRUE)</f>
        <v>4.5999999999999996</v>
      </c>
      <c r="K534" s="12" t="str">
        <f>VLOOKUP($A534,Table1[],22,TRUE)</f>
        <v>TRUE</v>
      </c>
      <c r="L534" s="13">
        <f>VLOOKUP($A534,Table1[],25,TRUE)</f>
        <v>0.75</v>
      </c>
    </row>
    <row r="535" spans="1:12" x14ac:dyDescent="0.25">
      <c r="A535" t="s">
        <v>1148</v>
      </c>
      <c r="B535" s="18" t="str">
        <f>VLOOKUP(A535,Table1[],3,TRUE)</f>
        <v>Maria Hall</v>
      </c>
      <c r="C535" s="18" t="str">
        <f>VLOOKUP($A535,Table1[],5,TRUE)</f>
        <v>Female</v>
      </c>
      <c r="D535" s="3" t="str">
        <f>VLOOKUP($A535,Table1[],7,TRUE)</f>
        <v>41</v>
      </c>
      <c r="E535" s="3" t="str">
        <f>VLOOKUP($A535,Table1[],8,TRUE)</f>
        <v>Germany</v>
      </c>
      <c r="F535" s="3" t="str">
        <f>VLOOKUP($A535,Table1[],9,TRUE)</f>
        <v>German</v>
      </c>
      <c r="G535" s="3" t="str">
        <f>VLOOKUP($A535,Table1[],10,TRUE)</f>
        <v>Web Development</v>
      </c>
      <c r="H535" s="13" t="str">
        <f>VLOOKUP($A535,Table1[],12,TRUE)</f>
        <v>14</v>
      </c>
      <c r="I535" s="20">
        <v>40</v>
      </c>
      <c r="J535" s="15">
        <f>VLOOKUP($A535,Table1[],18,TRUE)</f>
        <v>1.1000000000000001</v>
      </c>
      <c r="K535" s="12" t="str">
        <f>VLOOKUP($A535,Table1[],22,TRUE)</f>
        <v>TRUE</v>
      </c>
      <c r="L535" s="13">
        <f>VLOOKUP($A535,Table1[],25,TRUE)</f>
        <v>0.73</v>
      </c>
    </row>
    <row r="536" spans="1:12" x14ac:dyDescent="0.25">
      <c r="A536" t="s">
        <v>1150</v>
      </c>
      <c r="B536" s="18" t="str">
        <f>VLOOKUP(A536,Table1[],3,TRUE)</f>
        <v>Tony Lee</v>
      </c>
      <c r="C536" s="18" t="str">
        <f>VLOOKUP($A536,Table1[],5,TRUE)</f>
        <v>Male</v>
      </c>
      <c r="D536" s="3" t="str">
        <f>VLOOKUP($A536,Table1[],7,TRUE)</f>
        <v>38</v>
      </c>
      <c r="E536" s="3" t="str">
        <f>VLOOKUP($A536,Table1[],8,TRUE)</f>
        <v>United States</v>
      </c>
      <c r="F536" s="3" t="str">
        <f>VLOOKUP($A536,Table1[],9,TRUE)</f>
        <v>English</v>
      </c>
      <c r="G536" s="3" t="str">
        <f>VLOOKUP($A536,Table1[],10,TRUE)</f>
        <v>Graphic Design</v>
      </c>
      <c r="H536" s="13" t="str">
        <f>VLOOKUP($A536,Table1[],12,TRUE)</f>
        <v>15</v>
      </c>
      <c r="I536" s="20">
        <v>50</v>
      </c>
      <c r="J536" s="15">
        <f>VLOOKUP($A536,Table1[],18,TRUE)</f>
        <v>4.2</v>
      </c>
      <c r="K536" s="12" t="str">
        <f>VLOOKUP($A536,Table1[],22,TRUE)</f>
        <v>FALSE</v>
      </c>
      <c r="L536" s="13">
        <f>VLOOKUP($A536,Table1[],25,TRUE)</f>
        <v>0.88</v>
      </c>
    </row>
    <row r="537" spans="1:12" x14ac:dyDescent="0.25">
      <c r="A537" t="s">
        <v>1152</v>
      </c>
      <c r="B537" s="18" t="str">
        <f>VLOOKUP(A537,Table1[],3,TRUE)</f>
        <v>Catherine Mccoy Md</v>
      </c>
      <c r="C537" s="18" t="str">
        <f>VLOOKUP($A537,Table1[],5,TRUE)</f>
        <v>Female</v>
      </c>
      <c r="D537" s="3" t="str">
        <f>VLOOKUP($A537,Table1[],7,TRUE)</f>
        <v>31</v>
      </c>
      <c r="E537" s="3" t="str">
        <f>VLOOKUP($A537,Table1[],8,TRUE)</f>
        <v>South Africa</v>
      </c>
      <c r="F537" s="3" t="str">
        <f>VLOOKUP($A537,Table1[],9,TRUE)</f>
        <v>Afrikaans</v>
      </c>
      <c r="G537" s="3" t="str">
        <f>VLOOKUP($A537,Table1[],10,TRUE)</f>
        <v>UI/UX Design</v>
      </c>
      <c r="H537" s="13" t="str">
        <f>VLOOKUP($A537,Table1[],12,TRUE)</f>
        <v>9</v>
      </c>
      <c r="I537" s="20">
        <v>50</v>
      </c>
      <c r="J537" s="15">
        <f>VLOOKUP($A537,Table1[],18,TRUE)</f>
        <v>0</v>
      </c>
      <c r="K537" s="12" t="str">
        <f>VLOOKUP($A537,Table1[],22,TRUE)</f>
        <v>TRUE</v>
      </c>
      <c r="L537" s="13">
        <f>VLOOKUP($A537,Table1[],25,TRUE)</f>
        <v>0.91</v>
      </c>
    </row>
    <row r="538" spans="1:12" x14ac:dyDescent="0.25">
      <c r="A538" t="s">
        <v>1154</v>
      </c>
      <c r="B538" s="18" t="str">
        <f>VLOOKUP(A538,Table1[],3,TRUE)</f>
        <v>Maria Benitez</v>
      </c>
      <c r="C538" s="18" t="str">
        <f>VLOOKUP($A538,Table1[],5,TRUE)</f>
        <v>Female</v>
      </c>
      <c r="D538" s="3" t="str">
        <f>VLOOKUP($A538,Table1[],7,TRUE)</f>
        <v>30</v>
      </c>
      <c r="E538" s="3" t="str">
        <f>VLOOKUP($A538,Table1[],8,TRUE)</f>
        <v>China</v>
      </c>
      <c r="F538" s="3" t="str">
        <f>VLOOKUP($A538,Table1[],9,TRUE)</f>
        <v>Mandarin</v>
      </c>
      <c r="G538" s="3" t="str">
        <f>VLOOKUP($A538,Table1[],10,TRUE)</f>
        <v>Mobile Apps</v>
      </c>
      <c r="H538" s="13" t="str">
        <f>VLOOKUP($A538,Table1[],12,TRUE)</f>
        <v>9</v>
      </c>
      <c r="I538" s="20">
        <v>30</v>
      </c>
      <c r="J538" s="15">
        <f>VLOOKUP($A538,Table1[],18,TRUE)</f>
        <v>3.9</v>
      </c>
      <c r="K538" s="12" t="str">
        <f>VLOOKUP($A538,Table1[],22,TRUE)</f>
        <v>FALSE</v>
      </c>
      <c r="L538" s="13">
        <f>VLOOKUP($A538,Table1[],25,TRUE)</f>
        <v>0.65</v>
      </c>
    </row>
    <row r="539" spans="1:12" x14ac:dyDescent="0.25">
      <c r="A539" t="s">
        <v>1156</v>
      </c>
      <c r="B539" s="18" t="str">
        <f>VLOOKUP(A539,Table1[],3,TRUE)</f>
        <v>Joshua Chambers</v>
      </c>
      <c r="C539" s="18" t="str">
        <f>VLOOKUP($A539,Table1[],5,TRUE)</f>
        <v>Male</v>
      </c>
      <c r="D539" s="3" t="str">
        <f>VLOOKUP($A539,Table1[],7,TRUE)</f>
        <v>51</v>
      </c>
      <c r="E539" s="3" t="str">
        <f>VLOOKUP($A539,Table1[],8,TRUE)</f>
        <v>Mexico</v>
      </c>
      <c r="F539" s="3" t="str">
        <f>VLOOKUP($A539,Table1[],9,TRUE)</f>
        <v>Spanish</v>
      </c>
      <c r="G539" s="3" t="str">
        <f>VLOOKUP($A539,Table1[],10,TRUE)</f>
        <v>UI/UX Design</v>
      </c>
      <c r="H539" s="13" t="str">
        <f>VLOOKUP($A539,Table1[],12,TRUE)</f>
        <v>22</v>
      </c>
      <c r="I539" s="20">
        <v>20</v>
      </c>
      <c r="J539" s="15">
        <f>VLOOKUP($A539,Table1[],18,TRUE)</f>
        <v>3.4</v>
      </c>
      <c r="K539" s="12" t="str">
        <f>VLOOKUP($A539,Table1[],22,TRUE)</f>
        <v>TRUE</v>
      </c>
      <c r="L539" s="13">
        <f>VLOOKUP($A539,Table1[],25,TRUE)</f>
        <v>0.9</v>
      </c>
    </row>
    <row r="540" spans="1:12" x14ac:dyDescent="0.25">
      <c r="A540" t="s">
        <v>1158</v>
      </c>
      <c r="B540" s="18" t="str">
        <f>VLOOKUP(A540,Table1[],3,TRUE)</f>
        <v>Janice Daniels</v>
      </c>
      <c r="C540" s="18" t="str">
        <f>VLOOKUP($A540,Table1[],5,TRUE)</f>
        <v>Female</v>
      </c>
      <c r="D540" s="3" t="str">
        <f>VLOOKUP($A540,Table1[],7,TRUE)</f>
        <v>21</v>
      </c>
      <c r="E540" s="3" t="str">
        <f>VLOOKUP($A540,Table1[],8,TRUE)</f>
        <v>Germany</v>
      </c>
      <c r="F540" s="3" t="str">
        <f>VLOOKUP($A540,Table1[],9,TRUE)</f>
        <v>German</v>
      </c>
      <c r="G540" s="3" t="str">
        <f>VLOOKUP($A540,Table1[],10,TRUE)</f>
        <v>DevOps</v>
      </c>
      <c r="H540" s="13" t="str">
        <f>VLOOKUP($A540,Table1[],12,TRUE)</f>
        <v>0</v>
      </c>
      <c r="I540" s="20">
        <v>20</v>
      </c>
      <c r="J540" s="15">
        <f>VLOOKUP($A540,Table1[],18,TRUE)</f>
        <v>2.6</v>
      </c>
      <c r="K540" s="12" t="str">
        <f>VLOOKUP($A540,Table1[],22,TRUE)</f>
        <v>FALSE</v>
      </c>
      <c r="L540" s="13">
        <f>VLOOKUP($A540,Table1[],25,TRUE)</f>
        <v>0.72</v>
      </c>
    </row>
    <row r="541" spans="1:12" x14ac:dyDescent="0.25">
      <c r="A541" t="s">
        <v>1160</v>
      </c>
      <c r="B541" s="18" t="str">
        <f>VLOOKUP(A541,Table1[],3,TRUE)</f>
        <v>Carla Wood</v>
      </c>
      <c r="C541" s="18" t="str">
        <f>VLOOKUP($A541,Table1[],5,TRUE)</f>
        <v>Female</v>
      </c>
      <c r="D541" s="3" t="str">
        <f>VLOOKUP($A541,Table1[],7,TRUE)</f>
        <v>20</v>
      </c>
      <c r="E541" s="3" t="str">
        <f>VLOOKUP($A541,Table1[],8,TRUE)</f>
        <v>Italy</v>
      </c>
      <c r="F541" s="3" t="str">
        <f>VLOOKUP($A541,Table1[],9,TRUE)</f>
        <v>Italian</v>
      </c>
      <c r="G541" s="3" t="str">
        <f>VLOOKUP($A541,Table1[],10,TRUE)</f>
        <v>DevOps</v>
      </c>
      <c r="H541" s="13" t="str">
        <f>VLOOKUP($A541,Table1[],12,TRUE)</f>
        <v>1</v>
      </c>
      <c r="I541" s="20">
        <v>40</v>
      </c>
      <c r="J541" s="15">
        <f>VLOOKUP($A541,Table1[],18,TRUE)</f>
        <v>2.2999999999999998</v>
      </c>
      <c r="K541" s="12" t="str">
        <f>VLOOKUP($A541,Table1[],22,TRUE)</f>
        <v>TRUE</v>
      </c>
      <c r="L541" s="13">
        <f>VLOOKUP($A541,Table1[],25,TRUE)</f>
        <v>0.72</v>
      </c>
    </row>
    <row r="542" spans="1:12" x14ac:dyDescent="0.25">
      <c r="A542" t="s">
        <v>1162</v>
      </c>
      <c r="B542" s="18" t="str">
        <f>VLOOKUP(A542,Table1[],3,TRUE)</f>
        <v>Kenneth Vasquez</v>
      </c>
      <c r="C542" s="18" t="str">
        <f>VLOOKUP($A542,Table1[],5,TRUE)</f>
        <v>Male</v>
      </c>
      <c r="D542" s="3" t="str">
        <f>VLOOKUP($A542,Table1[],7,TRUE)</f>
        <v>30</v>
      </c>
      <c r="E542" s="3" t="str">
        <f>VLOOKUP($A542,Table1[],8,TRUE)</f>
        <v>Japan</v>
      </c>
      <c r="F542" s="3" t="str">
        <f>VLOOKUP($A542,Table1[],9,TRUE)</f>
        <v>Japanese</v>
      </c>
      <c r="G542" s="3" t="str">
        <f>VLOOKUP($A542,Table1[],10,TRUE)</f>
        <v>Blockchain Development</v>
      </c>
      <c r="H542" s="13" t="str">
        <f>VLOOKUP($A542,Table1[],12,TRUE)</f>
        <v>5</v>
      </c>
      <c r="I542" s="20">
        <v>30</v>
      </c>
      <c r="J542" s="15">
        <f>VLOOKUP($A542,Table1[],18,TRUE)</f>
        <v>4.8</v>
      </c>
      <c r="K542" s="12" t="str">
        <f>VLOOKUP($A542,Table1[],22,TRUE)</f>
        <v>FALSE</v>
      </c>
      <c r="L542" s="13">
        <f>VLOOKUP($A542,Table1[],25,TRUE)</f>
        <v>0.75</v>
      </c>
    </row>
    <row r="543" spans="1:12" x14ac:dyDescent="0.25">
      <c r="A543" t="s">
        <v>1164</v>
      </c>
      <c r="B543" s="18" t="str">
        <f>VLOOKUP(A543,Table1[],3,TRUE)</f>
        <v>Kevin Smith</v>
      </c>
      <c r="C543" s="18" t="str">
        <f>VLOOKUP($A543,Table1[],5,TRUE)</f>
        <v>Male</v>
      </c>
      <c r="D543" s="3" t="str">
        <f>VLOOKUP($A543,Table1[],7,TRUE)</f>
        <v>41</v>
      </c>
      <c r="E543" s="3" t="str">
        <f>VLOOKUP($A543,Table1[],8,TRUE)</f>
        <v>China</v>
      </c>
      <c r="F543" s="3" t="str">
        <f>VLOOKUP($A543,Table1[],9,TRUE)</f>
        <v>Mandarin</v>
      </c>
      <c r="G543" s="3" t="str">
        <f>VLOOKUP($A543,Table1[],10,TRUE)</f>
        <v>Data Analysis</v>
      </c>
      <c r="H543" s="13" t="str">
        <f>VLOOKUP($A543,Table1[],12,TRUE)</f>
        <v>0</v>
      </c>
      <c r="I543" s="20">
        <v>40</v>
      </c>
      <c r="J543" s="15">
        <f>VLOOKUP($A543,Table1[],18,TRUE)</f>
        <v>4.5</v>
      </c>
      <c r="K543" s="12" t="str">
        <f>VLOOKUP($A543,Table1[],22,TRUE)</f>
        <v>FALSE</v>
      </c>
      <c r="L543" s="13">
        <f>VLOOKUP($A543,Table1[],25,TRUE)</f>
        <v>0.68</v>
      </c>
    </row>
    <row r="544" spans="1:12" x14ac:dyDescent="0.25">
      <c r="A544" t="s">
        <v>1166</v>
      </c>
      <c r="B544" s="18" t="str">
        <f>VLOOKUP(A544,Table1[],3,TRUE)</f>
        <v>Thomas Kim</v>
      </c>
      <c r="C544" s="18" t="str">
        <f>VLOOKUP($A544,Table1[],5,TRUE)</f>
        <v>Male</v>
      </c>
      <c r="D544" s="3" t="str">
        <f>VLOOKUP($A544,Table1[],7,TRUE)</f>
        <v>22</v>
      </c>
      <c r="E544" s="3" t="str">
        <f>VLOOKUP($A544,Table1[],8,TRUE)</f>
        <v>Spain</v>
      </c>
      <c r="F544" s="3" t="str">
        <f>VLOOKUP($A544,Table1[],9,TRUE)</f>
        <v>Spanish</v>
      </c>
      <c r="G544" s="3" t="str">
        <f>VLOOKUP($A544,Table1[],10,TRUE)</f>
        <v>Blockchain Development</v>
      </c>
      <c r="H544" s="13" t="str">
        <f>VLOOKUP($A544,Table1[],12,TRUE)</f>
        <v>0</v>
      </c>
      <c r="I544" s="20">
        <v>30</v>
      </c>
      <c r="J544" s="15">
        <f>VLOOKUP($A544,Table1[],18,TRUE)</f>
        <v>0</v>
      </c>
      <c r="K544" s="12" t="str">
        <f>VLOOKUP($A544,Table1[],22,TRUE)</f>
        <v>FALSE</v>
      </c>
      <c r="L544" s="13">
        <f>VLOOKUP($A544,Table1[],25,TRUE)</f>
        <v>0.87</v>
      </c>
    </row>
    <row r="545" spans="1:12" x14ac:dyDescent="0.25">
      <c r="A545" t="s">
        <v>1168</v>
      </c>
      <c r="B545" s="18" t="str">
        <f>VLOOKUP(A545,Table1[],3,TRUE)</f>
        <v>Sean Park</v>
      </c>
      <c r="C545" s="18" t="str">
        <f>VLOOKUP($A545,Table1[],5,TRUE)</f>
        <v>Male</v>
      </c>
      <c r="D545" s="3" t="str">
        <f>VLOOKUP($A545,Table1[],7,TRUE)</f>
        <v>45</v>
      </c>
      <c r="E545" s="3" t="str">
        <f>VLOOKUP($A545,Table1[],8,TRUE)</f>
        <v>Mexico</v>
      </c>
      <c r="F545" s="3" t="str">
        <f>VLOOKUP($A545,Table1[],9,TRUE)</f>
        <v>Spanish</v>
      </c>
      <c r="G545" s="3" t="str">
        <f>VLOOKUP($A545,Table1[],10,TRUE)</f>
        <v>Cybersecurity</v>
      </c>
      <c r="H545" s="13" t="str">
        <f>VLOOKUP($A545,Table1[],12,TRUE)</f>
        <v>19</v>
      </c>
      <c r="I545" s="20">
        <v>75</v>
      </c>
      <c r="J545" s="15">
        <f>VLOOKUP($A545,Table1[],18,TRUE)</f>
        <v>0</v>
      </c>
      <c r="K545" s="12" t="str">
        <f>VLOOKUP($A545,Table1[],22,TRUE)</f>
        <v>FALSE</v>
      </c>
      <c r="L545" s="13">
        <f>VLOOKUP($A545,Table1[],25,TRUE)</f>
        <v>0.72</v>
      </c>
    </row>
    <row r="546" spans="1:12" x14ac:dyDescent="0.25">
      <c r="A546" t="s">
        <v>1170</v>
      </c>
      <c r="B546" s="18" t="str">
        <f>VLOOKUP(A546,Table1[],3,TRUE)</f>
        <v>Judith Poole</v>
      </c>
      <c r="C546" s="18" t="str">
        <f>VLOOKUP($A546,Table1[],5,TRUE)</f>
        <v>Female</v>
      </c>
      <c r="D546" s="3" t="str">
        <f>VLOOKUP($A546,Table1[],7,TRUE)</f>
        <v>22</v>
      </c>
      <c r="E546" s="3" t="str">
        <f>VLOOKUP($A546,Table1[],8,TRUE)</f>
        <v>Australia</v>
      </c>
      <c r="F546" s="3" t="str">
        <f>VLOOKUP($A546,Table1[],9,TRUE)</f>
        <v>English</v>
      </c>
      <c r="G546" s="3" t="str">
        <f>VLOOKUP($A546,Table1[],10,TRUE)</f>
        <v>Data Analysis</v>
      </c>
      <c r="H546" s="13" t="str">
        <f>VLOOKUP($A546,Table1[],12,TRUE)</f>
        <v>2</v>
      </c>
      <c r="I546" s="20">
        <v>40</v>
      </c>
      <c r="J546" s="15">
        <f>VLOOKUP($A546,Table1[],18,TRUE)</f>
        <v>1.1000000000000001</v>
      </c>
      <c r="K546" s="12" t="str">
        <f>VLOOKUP($A546,Table1[],22,TRUE)</f>
        <v>FALSE</v>
      </c>
      <c r="L546" s="13">
        <f>VLOOKUP($A546,Table1[],25,TRUE)</f>
        <v>0.76</v>
      </c>
    </row>
    <row r="547" spans="1:12" x14ac:dyDescent="0.25">
      <c r="A547" t="s">
        <v>1172</v>
      </c>
      <c r="B547" s="18" t="str">
        <f>VLOOKUP(A547,Table1[],3,TRUE)</f>
        <v>Melanie Baird</v>
      </c>
      <c r="C547" s="18" t="str">
        <f>VLOOKUP($A547,Table1[],5,TRUE)</f>
        <v>Female</v>
      </c>
      <c r="D547" s="3" t="str">
        <f>VLOOKUP($A547,Table1[],7,TRUE)</f>
        <v>20</v>
      </c>
      <c r="E547" s="3" t="str">
        <f>VLOOKUP($A547,Table1[],8,TRUE)</f>
        <v>Turkey</v>
      </c>
      <c r="F547" s="3" t="str">
        <f>VLOOKUP($A547,Table1[],9,TRUE)</f>
        <v>Turkish</v>
      </c>
      <c r="G547" s="3" t="str">
        <f>VLOOKUP($A547,Table1[],10,TRUE)</f>
        <v>Mobile Apps</v>
      </c>
      <c r="H547" s="13" t="str">
        <f>VLOOKUP($A547,Table1[],12,TRUE)</f>
        <v>0</v>
      </c>
      <c r="I547" s="20">
        <v>100</v>
      </c>
      <c r="J547" s="15">
        <f>VLOOKUP($A547,Table1[],18,TRUE)</f>
        <v>0</v>
      </c>
      <c r="K547" s="12" t="str">
        <f>VLOOKUP($A547,Table1[],22,TRUE)</f>
        <v>FALSE</v>
      </c>
      <c r="L547" s="13">
        <f>VLOOKUP($A547,Table1[],25,TRUE)</f>
        <v>0.63</v>
      </c>
    </row>
    <row r="548" spans="1:12" x14ac:dyDescent="0.25">
      <c r="A548" t="s">
        <v>1174</v>
      </c>
      <c r="B548" s="18" t="str">
        <f>VLOOKUP(A548,Table1[],3,TRUE)</f>
        <v>Erika Mitchell</v>
      </c>
      <c r="C548" s="18" t="str">
        <f>VLOOKUP($A548,Table1[],5,TRUE)</f>
        <v>Female</v>
      </c>
      <c r="D548" s="3" t="str">
        <f>VLOOKUP($A548,Table1[],7,TRUE)</f>
        <v>20</v>
      </c>
      <c r="E548" s="3" t="str">
        <f>VLOOKUP($A548,Table1[],8,TRUE)</f>
        <v>Canada</v>
      </c>
      <c r="F548" s="3" t="str">
        <f>VLOOKUP($A548,Table1[],9,TRUE)</f>
        <v>English</v>
      </c>
      <c r="G548" s="3" t="str">
        <f>VLOOKUP($A548,Table1[],10,TRUE)</f>
        <v>Data Analysis</v>
      </c>
      <c r="H548" s="13" t="str">
        <f>VLOOKUP($A548,Table1[],12,TRUE)</f>
        <v>2</v>
      </c>
      <c r="I548" s="20">
        <v>40</v>
      </c>
      <c r="J548" s="15">
        <f>VLOOKUP($A548,Table1[],18,TRUE)</f>
        <v>2.6</v>
      </c>
      <c r="K548" s="12" t="str">
        <f>VLOOKUP($A548,Table1[],22,TRUE)</f>
        <v>TRUE</v>
      </c>
      <c r="L548" s="13">
        <f>VLOOKUP($A548,Table1[],25,TRUE)</f>
        <v>0.91</v>
      </c>
    </row>
    <row r="549" spans="1:12" x14ac:dyDescent="0.25">
      <c r="A549" t="s">
        <v>1176</v>
      </c>
      <c r="B549" s="18" t="str">
        <f>VLOOKUP(A549,Table1[],3,TRUE)</f>
        <v>Ricky Martinez</v>
      </c>
      <c r="C549" s="18" t="str">
        <f>VLOOKUP($A549,Table1[],5,TRUE)</f>
        <v>Male</v>
      </c>
      <c r="D549" s="3" t="str">
        <f>VLOOKUP($A549,Table1[],7,TRUE)</f>
        <v>21</v>
      </c>
      <c r="E549" s="3" t="str">
        <f>VLOOKUP($A549,Table1[],8,TRUE)</f>
        <v>United Kingdom</v>
      </c>
      <c r="F549" s="3" t="str">
        <f>VLOOKUP($A549,Table1[],9,TRUE)</f>
        <v>English</v>
      </c>
      <c r="G549" s="3" t="str">
        <f>VLOOKUP($A549,Table1[],10,TRUE)</f>
        <v>AI</v>
      </c>
      <c r="H549" s="13" t="str">
        <f>VLOOKUP($A549,Table1[],12,TRUE)</f>
        <v>0</v>
      </c>
      <c r="I549" s="20">
        <v>100</v>
      </c>
      <c r="J549" s="15">
        <f>VLOOKUP($A549,Table1[],18,TRUE)</f>
        <v>2.6</v>
      </c>
      <c r="K549" s="12" t="str">
        <f>VLOOKUP($A549,Table1[],22,TRUE)</f>
        <v>FALSE</v>
      </c>
      <c r="L549" s="13">
        <f>VLOOKUP($A549,Table1[],25,TRUE)</f>
        <v>0.73</v>
      </c>
    </row>
    <row r="550" spans="1:12" x14ac:dyDescent="0.25">
      <c r="A550" t="s">
        <v>1178</v>
      </c>
      <c r="B550" s="18" t="str">
        <f>VLOOKUP(A550,Table1[],3,TRUE)</f>
        <v>John Christian</v>
      </c>
      <c r="C550" s="18" t="str">
        <f>VLOOKUP($A550,Table1[],5,TRUE)</f>
        <v>Male</v>
      </c>
      <c r="D550" s="3" t="str">
        <f>VLOOKUP($A550,Table1[],7,TRUE)</f>
        <v>22</v>
      </c>
      <c r="E550" s="3" t="str">
        <f>VLOOKUP($A550,Table1[],8,TRUE)</f>
        <v>Netherlands</v>
      </c>
      <c r="F550" s="3" t="str">
        <f>VLOOKUP($A550,Table1[],9,TRUE)</f>
        <v>Dutch</v>
      </c>
      <c r="G550" s="3" t="str">
        <f>VLOOKUP($A550,Table1[],10,TRUE)</f>
        <v>Cybersecurity</v>
      </c>
      <c r="H550" s="13" t="str">
        <f>VLOOKUP($A550,Table1[],12,TRUE)</f>
        <v>1</v>
      </c>
      <c r="I550" s="20">
        <v>40</v>
      </c>
      <c r="J550" s="15">
        <f>VLOOKUP($A550,Table1[],18,TRUE)</f>
        <v>0</v>
      </c>
      <c r="K550" s="12" t="str">
        <f>VLOOKUP($A550,Table1[],22,TRUE)</f>
        <v>FALSE</v>
      </c>
      <c r="L550" s="13">
        <f>VLOOKUP($A550,Table1[],25,TRUE)</f>
        <v>0.63</v>
      </c>
    </row>
    <row r="551" spans="1:12" x14ac:dyDescent="0.25">
      <c r="A551" t="s">
        <v>1180</v>
      </c>
      <c r="B551" s="18" t="str">
        <f>VLOOKUP(A551,Table1[],3,TRUE)</f>
        <v>Nancy Smith</v>
      </c>
      <c r="C551" s="18" t="str">
        <f>VLOOKUP($A551,Table1[],5,TRUE)</f>
        <v>Female</v>
      </c>
      <c r="D551" s="3" t="str">
        <f>VLOOKUP($A551,Table1[],7,TRUE)</f>
        <v>28</v>
      </c>
      <c r="E551" s="3" t="str">
        <f>VLOOKUP($A551,Table1[],8,TRUE)</f>
        <v>United Kingdom</v>
      </c>
      <c r="F551" s="3" t="str">
        <f>VLOOKUP($A551,Table1[],9,TRUE)</f>
        <v>English</v>
      </c>
      <c r="G551" s="3" t="str">
        <f>VLOOKUP($A551,Table1[],10,TRUE)</f>
        <v>DevOps</v>
      </c>
      <c r="H551" s="13" t="str">
        <f>VLOOKUP($A551,Table1[],12,TRUE)</f>
        <v>3</v>
      </c>
      <c r="I551" s="20">
        <v>20</v>
      </c>
      <c r="J551" s="15">
        <f>VLOOKUP($A551,Table1[],18,TRUE)</f>
        <v>2.6</v>
      </c>
      <c r="K551" s="12" t="str">
        <f>VLOOKUP($A551,Table1[],22,TRUE)</f>
        <v>TRUE</v>
      </c>
      <c r="L551" s="13">
        <f>VLOOKUP($A551,Table1[],25,TRUE)</f>
        <v>0.79</v>
      </c>
    </row>
    <row r="552" spans="1:12" x14ac:dyDescent="0.25">
      <c r="A552" t="s">
        <v>1182</v>
      </c>
      <c r="B552" s="18" t="str">
        <f>VLOOKUP(A552,Table1[],3,TRUE)</f>
        <v>Cassandra Stephens</v>
      </c>
      <c r="C552" s="18" t="str">
        <f>VLOOKUP($A552,Table1[],5,TRUE)</f>
        <v>Female</v>
      </c>
      <c r="D552" s="3" t="str">
        <f>VLOOKUP($A552,Table1[],7,TRUE)</f>
        <v>59</v>
      </c>
      <c r="E552" s="3" t="str">
        <f>VLOOKUP($A552,Table1[],8,TRUE)</f>
        <v>Argentina</v>
      </c>
      <c r="F552" s="3" t="str">
        <f>VLOOKUP($A552,Table1[],9,TRUE)</f>
        <v>Spanish</v>
      </c>
      <c r="G552" s="3" t="str">
        <f>VLOOKUP($A552,Table1[],10,TRUE)</f>
        <v>AI</v>
      </c>
      <c r="H552" s="13" t="str">
        <f>VLOOKUP($A552,Table1[],12,TRUE)</f>
        <v>Unknown</v>
      </c>
      <c r="I552" s="20">
        <v>20</v>
      </c>
      <c r="J552" s="15">
        <f>VLOOKUP($A552,Table1[],18,TRUE)</f>
        <v>4.0999999999999996</v>
      </c>
      <c r="K552" s="12" t="str">
        <f>VLOOKUP($A552,Table1[],22,TRUE)</f>
        <v>FALSE</v>
      </c>
      <c r="L552" s="13">
        <f>VLOOKUP($A552,Table1[],25,TRUE)</f>
        <v>0.75</v>
      </c>
    </row>
    <row r="553" spans="1:12" x14ac:dyDescent="0.25">
      <c r="A553" t="s">
        <v>1184</v>
      </c>
      <c r="B553" s="18" t="str">
        <f>VLOOKUP(A553,Table1[],3,TRUE)</f>
        <v>Miss Janet Donovan Md</v>
      </c>
      <c r="C553" s="18" t="str">
        <f>VLOOKUP($A553,Table1[],5,TRUE)</f>
        <v>Female</v>
      </c>
      <c r="D553" s="3" t="str">
        <f>VLOOKUP($A553,Table1[],7,TRUE)</f>
        <v>28</v>
      </c>
      <c r="E553" s="3" t="str">
        <f>VLOOKUP($A553,Table1[],8,TRUE)</f>
        <v>France</v>
      </c>
      <c r="F553" s="3" t="str">
        <f>VLOOKUP($A553,Table1[],9,TRUE)</f>
        <v>French</v>
      </c>
      <c r="G553" s="3" t="str">
        <f>VLOOKUP($A553,Table1[],10,TRUE)</f>
        <v>Web Development</v>
      </c>
      <c r="H553" s="13" t="str">
        <f>VLOOKUP($A553,Table1[],12,TRUE)</f>
        <v>1</v>
      </c>
      <c r="I553" s="20">
        <v>50</v>
      </c>
      <c r="J553" s="15">
        <f>VLOOKUP($A553,Table1[],18,TRUE)</f>
        <v>0</v>
      </c>
      <c r="K553" s="12" t="str">
        <f>VLOOKUP($A553,Table1[],22,TRUE)</f>
        <v>FALSE</v>
      </c>
      <c r="L553" s="13">
        <f>VLOOKUP($A553,Table1[],25,TRUE)</f>
        <v>0.7</v>
      </c>
    </row>
    <row r="554" spans="1:12" x14ac:dyDescent="0.25">
      <c r="A554" t="s">
        <v>1186</v>
      </c>
      <c r="B554" s="18" t="str">
        <f>VLOOKUP(A554,Table1[],3,TRUE)</f>
        <v>Kristina Williams</v>
      </c>
      <c r="C554" s="18" t="str">
        <f>VLOOKUP($A554,Table1[],5,TRUE)</f>
        <v>Female</v>
      </c>
      <c r="D554" s="3" t="str">
        <f>VLOOKUP($A554,Table1[],7,TRUE)</f>
        <v>40</v>
      </c>
      <c r="E554" s="3" t="str">
        <f>VLOOKUP($A554,Table1[],8,TRUE)</f>
        <v>Australia</v>
      </c>
      <c r="F554" s="3" t="str">
        <f>VLOOKUP($A554,Table1[],9,TRUE)</f>
        <v>English</v>
      </c>
      <c r="G554" s="3" t="str">
        <f>VLOOKUP($A554,Table1[],10,TRUE)</f>
        <v>DevOps</v>
      </c>
      <c r="H554" s="13" t="str">
        <f>VLOOKUP($A554,Table1[],12,TRUE)</f>
        <v>0</v>
      </c>
      <c r="I554" s="20">
        <v>100</v>
      </c>
      <c r="J554" s="15">
        <f>VLOOKUP($A554,Table1[],18,TRUE)</f>
        <v>1.2</v>
      </c>
      <c r="K554" s="12" t="str">
        <f>VLOOKUP($A554,Table1[],22,TRUE)</f>
        <v>TRUE</v>
      </c>
      <c r="L554" s="13">
        <f>VLOOKUP($A554,Table1[],25,TRUE)</f>
        <v>0.87</v>
      </c>
    </row>
    <row r="555" spans="1:12" x14ac:dyDescent="0.25">
      <c r="A555" t="s">
        <v>1188</v>
      </c>
      <c r="B555" s="18" t="str">
        <f>VLOOKUP(A555,Table1[],3,TRUE)</f>
        <v>Wayne Barnes</v>
      </c>
      <c r="C555" s="18" t="str">
        <f>VLOOKUP($A555,Table1[],5,TRUE)</f>
        <v>Male</v>
      </c>
      <c r="D555" s="3" t="str">
        <f>VLOOKUP($A555,Table1[],7,TRUE)</f>
        <v>57</v>
      </c>
      <c r="E555" s="3" t="str">
        <f>VLOOKUP($A555,Table1[],8,TRUE)</f>
        <v>Italy</v>
      </c>
      <c r="F555" s="3" t="str">
        <f>VLOOKUP($A555,Table1[],9,TRUE)</f>
        <v>Italian</v>
      </c>
      <c r="G555" s="3" t="str">
        <f>VLOOKUP($A555,Table1[],10,TRUE)</f>
        <v>Blockchain Development</v>
      </c>
      <c r="H555" s="13" t="str">
        <f>VLOOKUP($A555,Table1[],12,TRUE)</f>
        <v>7</v>
      </c>
      <c r="I555" s="20">
        <v>30</v>
      </c>
      <c r="J555" s="15">
        <f>VLOOKUP($A555,Table1[],18,TRUE)</f>
        <v>1.6</v>
      </c>
      <c r="K555" s="12" t="str">
        <f>VLOOKUP($A555,Table1[],22,TRUE)</f>
        <v>FALSE</v>
      </c>
      <c r="L555" s="13">
        <f>VLOOKUP($A555,Table1[],25,TRUE)</f>
        <v>0.75</v>
      </c>
    </row>
    <row r="556" spans="1:12" x14ac:dyDescent="0.25">
      <c r="A556" t="s">
        <v>1190</v>
      </c>
      <c r="B556" s="18" t="str">
        <f>VLOOKUP(A556,Table1[],3,TRUE)</f>
        <v>James Hinton</v>
      </c>
      <c r="C556" s="18" t="str">
        <f>VLOOKUP($A556,Table1[],5,TRUE)</f>
        <v>Male</v>
      </c>
      <c r="D556" s="3" t="str">
        <f>VLOOKUP($A556,Table1[],7,TRUE)</f>
        <v>47</v>
      </c>
      <c r="E556" s="3" t="str">
        <f>VLOOKUP($A556,Table1[],8,TRUE)</f>
        <v>Turkey</v>
      </c>
      <c r="F556" s="3" t="str">
        <f>VLOOKUP($A556,Table1[],9,TRUE)</f>
        <v>Turkish</v>
      </c>
      <c r="G556" s="3" t="str">
        <f>VLOOKUP($A556,Table1[],10,TRUE)</f>
        <v>DevOps</v>
      </c>
      <c r="H556" s="13" t="str">
        <f>VLOOKUP($A556,Table1[],12,TRUE)</f>
        <v>1</v>
      </c>
      <c r="I556" s="20">
        <v>50</v>
      </c>
      <c r="J556" s="15">
        <f>VLOOKUP($A556,Table1[],18,TRUE)</f>
        <v>3.9</v>
      </c>
      <c r="K556" s="12" t="str">
        <f>VLOOKUP($A556,Table1[],22,TRUE)</f>
        <v>TRUE</v>
      </c>
      <c r="L556" s="13">
        <f>VLOOKUP($A556,Table1[],25,TRUE)</f>
        <v>0.88</v>
      </c>
    </row>
    <row r="557" spans="1:12" x14ac:dyDescent="0.25">
      <c r="A557" t="s">
        <v>1192</v>
      </c>
      <c r="B557" s="18" t="str">
        <f>VLOOKUP(A557,Table1[],3,TRUE)</f>
        <v>David Spence</v>
      </c>
      <c r="C557" s="18" t="str">
        <f>VLOOKUP($A557,Table1[],5,TRUE)</f>
        <v>Male</v>
      </c>
      <c r="D557" s="3" t="str">
        <f>VLOOKUP($A557,Table1[],7,TRUE)</f>
        <v>48</v>
      </c>
      <c r="E557" s="3" t="str">
        <f>VLOOKUP($A557,Table1[],8,TRUE)</f>
        <v>South Korea</v>
      </c>
      <c r="F557" s="3" t="str">
        <f>VLOOKUP($A557,Table1[],9,TRUE)</f>
        <v>Korean</v>
      </c>
      <c r="G557" s="3" t="str">
        <f>VLOOKUP($A557,Table1[],10,TRUE)</f>
        <v>Cybersecurity</v>
      </c>
      <c r="H557" s="13" t="str">
        <f>VLOOKUP($A557,Table1[],12,TRUE)</f>
        <v>21</v>
      </c>
      <c r="I557" s="20">
        <v>40</v>
      </c>
      <c r="J557" s="15">
        <f>VLOOKUP($A557,Table1[],18,TRUE)</f>
        <v>0</v>
      </c>
      <c r="K557" s="12" t="str">
        <f>VLOOKUP($A557,Table1[],22,TRUE)</f>
        <v>TRUE</v>
      </c>
      <c r="L557" s="13">
        <f>VLOOKUP($A557,Table1[],25,TRUE)</f>
        <v>0.75</v>
      </c>
    </row>
    <row r="558" spans="1:12" x14ac:dyDescent="0.25">
      <c r="A558" t="s">
        <v>1194</v>
      </c>
      <c r="B558" s="18" t="str">
        <f>VLOOKUP(A558,Table1[],3,TRUE)</f>
        <v>Tyler Cooper</v>
      </c>
      <c r="C558" s="18" t="str">
        <f>VLOOKUP($A558,Table1[],5,TRUE)</f>
        <v>Male</v>
      </c>
      <c r="D558" s="3" t="str">
        <f>VLOOKUP($A558,Table1[],7,TRUE)</f>
        <v>28</v>
      </c>
      <c r="E558" s="3" t="str">
        <f>VLOOKUP($A558,Table1[],8,TRUE)</f>
        <v>United States</v>
      </c>
      <c r="F558" s="3" t="str">
        <f>VLOOKUP($A558,Table1[],9,TRUE)</f>
        <v>English</v>
      </c>
      <c r="G558" s="3" t="str">
        <f>VLOOKUP($A558,Table1[],10,TRUE)</f>
        <v>UI/UX Design</v>
      </c>
      <c r="H558" s="13" t="str">
        <f>VLOOKUP($A558,Table1[],12,TRUE)</f>
        <v>1</v>
      </c>
      <c r="I558" s="20">
        <v>20</v>
      </c>
      <c r="J558" s="15">
        <f>VLOOKUP($A558,Table1[],18,TRUE)</f>
        <v>4.7</v>
      </c>
      <c r="K558" s="12" t="str">
        <f>VLOOKUP($A558,Table1[],22,TRUE)</f>
        <v>TRUE</v>
      </c>
      <c r="L558" s="13">
        <f>VLOOKUP($A558,Table1[],25,TRUE)</f>
        <v>0.93</v>
      </c>
    </row>
    <row r="559" spans="1:12" x14ac:dyDescent="0.25">
      <c r="A559" t="s">
        <v>1196</v>
      </c>
      <c r="B559" s="18" t="str">
        <f>VLOOKUP(A559,Table1[],3,TRUE)</f>
        <v>Sean Martinez</v>
      </c>
      <c r="C559" s="18" t="str">
        <f>VLOOKUP($A559,Table1[],5,TRUE)</f>
        <v>Male</v>
      </c>
      <c r="D559" s="3" t="str">
        <f>VLOOKUP($A559,Table1[],7,TRUE)</f>
        <v>41</v>
      </c>
      <c r="E559" s="3" t="str">
        <f>VLOOKUP($A559,Table1[],8,TRUE)</f>
        <v>Turkey</v>
      </c>
      <c r="F559" s="3" t="str">
        <f>VLOOKUP($A559,Table1[],9,TRUE)</f>
        <v>Turkish</v>
      </c>
      <c r="G559" s="3" t="str">
        <f>VLOOKUP($A559,Table1[],10,TRUE)</f>
        <v>Graphic Design</v>
      </c>
      <c r="H559" s="13" t="str">
        <f>VLOOKUP($A559,Table1[],12,TRUE)</f>
        <v>15</v>
      </c>
      <c r="I559" s="20">
        <v>50</v>
      </c>
      <c r="J559" s="15">
        <f>VLOOKUP($A559,Table1[],18,TRUE)</f>
        <v>3.8</v>
      </c>
      <c r="K559" s="12" t="str">
        <f>VLOOKUP($A559,Table1[],22,TRUE)</f>
        <v>TRUE</v>
      </c>
      <c r="L559" s="13">
        <f>VLOOKUP($A559,Table1[],25,TRUE)</f>
        <v>0.75</v>
      </c>
    </row>
    <row r="560" spans="1:12" x14ac:dyDescent="0.25">
      <c r="A560" t="s">
        <v>1198</v>
      </c>
      <c r="B560" s="18" t="str">
        <f>VLOOKUP(A560,Table1[],3,TRUE)</f>
        <v>Janet Barron</v>
      </c>
      <c r="C560" s="18" t="str">
        <f>VLOOKUP($A560,Table1[],5,TRUE)</f>
        <v>Female</v>
      </c>
      <c r="D560" s="3" t="str">
        <f>VLOOKUP($A560,Table1[],7,TRUE)</f>
        <v>57</v>
      </c>
      <c r="E560" s="3" t="str">
        <f>VLOOKUP($A560,Table1[],8,TRUE)</f>
        <v>South Africa</v>
      </c>
      <c r="F560" s="3" t="str">
        <f>VLOOKUP($A560,Table1[],9,TRUE)</f>
        <v>Afrikaans</v>
      </c>
      <c r="G560" s="3" t="str">
        <f>VLOOKUP($A560,Table1[],10,TRUE)</f>
        <v>Cybersecurity</v>
      </c>
      <c r="H560" s="13" t="str">
        <f>VLOOKUP($A560,Table1[],12,TRUE)</f>
        <v>33</v>
      </c>
      <c r="I560" s="20">
        <v>100</v>
      </c>
      <c r="J560" s="15">
        <f>VLOOKUP($A560,Table1[],18,TRUE)</f>
        <v>3.5</v>
      </c>
      <c r="K560" s="12" t="str">
        <f>VLOOKUP($A560,Table1[],22,TRUE)</f>
        <v>FALSE</v>
      </c>
      <c r="L560" s="13">
        <f>VLOOKUP($A560,Table1[],25,TRUE)</f>
        <v>0.74</v>
      </c>
    </row>
    <row r="561" spans="1:12" x14ac:dyDescent="0.25">
      <c r="A561" t="s">
        <v>1200</v>
      </c>
      <c r="B561" s="18" t="str">
        <f>VLOOKUP(A561,Table1[],3,TRUE)</f>
        <v>Rodney Wilson</v>
      </c>
      <c r="C561" s="18" t="str">
        <f>VLOOKUP($A561,Table1[],5,TRUE)</f>
        <v>Male</v>
      </c>
      <c r="D561" s="3" t="str">
        <f>VLOOKUP($A561,Table1[],7,TRUE)</f>
        <v>60</v>
      </c>
      <c r="E561" s="3" t="str">
        <f>VLOOKUP($A561,Table1[],8,TRUE)</f>
        <v>Argentina</v>
      </c>
      <c r="F561" s="3" t="str">
        <f>VLOOKUP($A561,Table1[],9,TRUE)</f>
        <v>Spanish</v>
      </c>
      <c r="G561" s="3" t="str">
        <f>VLOOKUP($A561,Table1[],10,TRUE)</f>
        <v>Graphic Design</v>
      </c>
      <c r="H561" s="13" t="str">
        <f>VLOOKUP($A561,Table1[],12,TRUE)</f>
        <v>39</v>
      </c>
      <c r="I561" s="20">
        <v>75</v>
      </c>
      <c r="J561" s="15">
        <f>VLOOKUP($A561,Table1[],18,TRUE)</f>
        <v>4</v>
      </c>
      <c r="K561" s="12" t="str">
        <f>VLOOKUP($A561,Table1[],22,TRUE)</f>
        <v>TRUE</v>
      </c>
      <c r="L561" s="13">
        <f>VLOOKUP($A561,Table1[],25,TRUE)</f>
        <v>0.7</v>
      </c>
    </row>
    <row r="562" spans="1:12" x14ac:dyDescent="0.25">
      <c r="A562" t="s">
        <v>1202</v>
      </c>
      <c r="B562" s="18" t="str">
        <f>VLOOKUP(A562,Table1[],3,TRUE)</f>
        <v>Kimberly Fitzgerald</v>
      </c>
      <c r="C562" s="18" t="str">
        <f>VLOOKUP($A562,Table1[],5,TRUE)</f>
        <v>Female</v>
      </c>
      <c r="D562" s="3" t="str">
        <f>VLOOKUP($A562,Table1[],7,TRUE)</f>
        <v>48</v>
      </c>
      <c r="E562" s="3" t="str">
        <f>VLOOKUP($A562,Table1[],8,TRUE)</f>
        <v>Egypt</v>
      </c>
      <c r="F562" s="3" t="str">
        <f>VLOOKUP($A562,Table1[],9,TRUE)</f>
        <v>Arabic</v>
      </c>
      <c r="G562" s="3" t="str">
        <f>VLOOKUP($A562,Table1[],10,TRUE)</f>
        <v>Graphic Design</v>
      </c>
      <c r="H562" s="13" t="str">
        <f>VLOOKUP($A562,Table1[],12,TRUE)</f>
        <v>21</v>
      </c>
      <c r="I562" s="20">
        <v>30</v>
      </c>
      <c r="J562" s="15">
        <f>VLOOKUP($A562,Table1[],18,TRUE)</f>
        <v>1.6</v>
      </c>
      <c r="K562" s="12" t="str">
        <f>VLOOKUP($A562,Table1[],22,TRUE)</f>
        <v>TRUE</v>
      </c>
      <c r="L562" s="13">
        <f>VLOOKUP($A562,Table1[],25,TRUE)</f>
        <v>0.67</v>
      </c>
    </row>
    <row r="563" spans="1:12" x14ac:dyDescent="0.25">
      <c r="A563" t="s">
        <v>1204</v>
      </c>
      <c r="B563" s="18" t="str">
        <f>VLOOKUP(A563,Table1[],3,TRUE)</f>
        <v>Nicole Davis</v>
      </c>
      <c r="C563" s="18" t="str">
        <f>VLOOKUP($A563,Table1[],5,TRUE)</f>
        <v>Female</v>
      </c>
      <c r="D563" s="3" t="str">
        <f>VLOOKUP($A563,Table1[],7,TRUE)</f>
        <v>24</v>
      </c>
      <c r="E563" s="3" t="str">
        <f>VLOOKUP($A563,Table1[],8,TRUE)</f>
        <v>France</v>
      </c>
      <c r="F563" s="3" t="str">
        <f>VLOOKUP($A563,Table1[],9,TRUE)</f>
        <v>French</v>
      </c>
      <c r="G563" s="3" t="str">
        <f>VLOOKUP($A563,Table1[],10,TRUE)</f>
        <v>Cybersecurity</v>
      </c>
      <c r="H563" s="13" t="str">
        <f>VLOOKUP($A563,Table1[],12,TRUE)</f>
        <v>5</v>
      </c>
      <c r="I563" s="20">
        <v>40</v>
      </c>
      <c r="J563" s="15">
        <f>VLOOKUP($A563,Table1[],18,TRUE)</f>
        <v>3</v>
      </c>
      <c r="K563" s="12" t="str">
        <f>VLOOKUP($A563,Table1[],22,TRUE)</f>
        <v>FALSE</v>
      </c>
      <c r="L563" s="13">
        <f>VLOOKUP($A563,Table1[],25,TRUE)</f>
        <v>0.86</v>
      </c>
    </row>
    <row r="564" spans="1:12" x14ac:dyDescent="0.25">
      <c r="A564" t="s">
        <v>1206</v>
      </c>
      <c r="B564" s="18" t="str">
        <f>VLOOKUP(A564,Table1[],3,TRUE)</f>
        <v>Elizabeth Hayes</v>
      </c>
      <c r="C564" s="18" t="str">
        <f>VLOOKUP($A564,Table1[],5,TRUE)</f>
        <v>Female</v>
      </c>
      <c r="D564" s="3" t="str">
        <f>VLOOKUP($A564,Table1[],7,TRUE)</f>
        <v>33</v>
      </c>
      <c r="E564" s="3" t="str">
        <f>VLOOKUP($A564,Table1[],8,TRUE)</f>
        <v>Mexico</v>
      </c>
      <c r="F564" s="3" t="str">
        <f>VLOOKUP($A564,Table1[],9,TRUE)</f>
        <v>Spanish</v>
      </c>
      <c r="G564" s="3" t="str">
        <f>VLOOKUP($A564,Table1[],10,TRUE)</f>
        <v>DevOps</v>
      </c>
      <c r="H564" s="13" t="str">
        <f>VLOOKUP($A564,Table1[],12,TRUE)</f>
        <v>11</v>
      </c>
      <c r="I564" s="20">
        <v>50</v>
      </c>
      <c r="J564" s="15">
        <f>VLOOKUP($A564,Table1[],18,TRUE)</f>
        <v>5</v>
      </c>
      <c r="K564" s="12" t="str">
        <f>VLOOKUP($A564,Table1[],22,TRUE)</f>
        <v>TRUE</v>
      </c>
      <c r="L564" s="13">
        <f>VLOOKUP($A564,Table1[],25,TRUE)</f>
        <v>0.69</v>
      </c>
    </row>
    <row r="565" spans="1:12" x14ac:dyDescent="0.25">
      <c r="A565" t="s">
        <v>1208</v>
      </c>
      <c r="B565" s="18" t="str">
        <f>VLOOKUP(A565,Table1[],3,TRUE)</f>
        <v>Kathy Faulkner</v>
      </c>
      <c r="C565" s="18" t="str">
        <f>VLOOKUP($A565,Table1[],5,TRUE)</f>
        <v>Female</v>
      </c>
      <c r="D565" s="3" t="str">
        <f>VLOOKUP($A565,Table1[],7,TRUE)</f>
        <v>20</v>
      </c>
      <c r="E565" s="3" t="str">
        <f>VLOOKUP($A565,Table1[],8,TRUE)</f>
        <v>Turkey</v>
      </c>
      <c r="F565" s="3" t="str">
        <f>VLOOKUP($A565,Table1[],9,TRUE)</f>
        <v>Turkish</v>
      </c>
      <c r="G565" s="3" t="str">
        <f>VLOOKUP($A565,Table1[],10,TRUE)</f>
        <v>Graphic Design</v>
      </c>
      <c r="H565" s="13" t="str">
        <f>VLOOKUP($A565,Table1[],12,TRUE)</f>
        <v>0</v>
      </c>
      <c r="I565" s="20">
        <v>30</v>
      </c>
      <c r="J565" s="15">
        <f>VLOOKUP($A565,Table1[],18,TRUE)</f>
        <v>4.8</v>
      </c>
      <c r="K565" s="12" t="str">
        <f>VLOOKUP($A565,Table1[],22,TRUE)</f>
        <v>TRUE</v>
      </c>
      <c r="L565" s="13">
        <f>VLOOKUP($A565,Table1[],25,TRUE)</f>
        <v>0.68</v>
      </c>
    </row>
    <row r="566" spans="1:12" x14ac:dyDescent="0.25">
      <c r="A566" t="s">
        <v>1210</v>
      </c>
      <c r="B566" s="18" t="str">
        <f>VLOOKUP(A566,Table1[],3,TRUE)</f>
        <v>John Gonzales</v>
      </c>
      <c r="C566" s="18" t="str">
        <f>VLOOKUP($A566,Table1[],5,TRUE)</f>
        <v>Male</v>
      </c>
      <c r="D566" s="3" t="str">
        <f>VLOOKUP($A566,Table1[],7,TRUE)</f>
        <v>59</v>
      </c>
      <c r="E566" s="3" t="str">
        <f>VLOOKUP($A566,Table1[],8,TRUE)</f>
        <v>United Kingdom</v>
      </c>
      <c r="F566" s="3" t="str">
        <f>VLOOKUP($A566,Table1[],9,TRUE)</f>
        <v>English</v>
      </c>
      <c r="G566" s="3" t="str">
        <f>VLOOKUP($A566,Table1[],10,TRUE)</f>
        <v>DevOps</v>
      </c>
      <c r="H566" s="13" t="str">
        <f>VLOOKUP($A566,Table1[],12,TRUE)</f>
        <v>15</v>
      </c>
      <c r="I566" s="20">
        <v>50</v>
      </c>
      <c r="J566" s="15">
        <f>VLOOKUP($A566,Table1[],18,TRUE)</f>
        <v>2.6</v>
      </c>
      <c r="K566" s="12" t="str">
        <f>VLOOKUP($A566,Table1[],22,TRUE)</f>
        <v>FALSE</v>
      </c>
      <c r="L566" s="13">
        <f>VLOOKUP($A566,Table1[],25,TRUE)</f>
        <v>0.75</v>
      </c>
    </row>
    <row r="567" spans="1:12" x14ac:dyDescent="0.25">
      <c r="A567" t="s">
        <v>1212</v>
      </c>
      <c r="B567" s="18" t="str">
        <f>VLOOKUP(A567,Table1[],3,TRUE)</f>
        <v>Shannon Luna</v>
      </c>
      <c r="C567" s="18" t="str">
        <f>VLOOKUP($A567,Table1[],5,TRUE)</f>
        <v>Female</v>
      </c>
      <c r="D567" s="3" t="str">
        <f>VLOOKUP($A567,Table1[],7,TRUE)</f>
        <v>42</v>
      </c>
      <c r="E567" s="3" t="str">
        <f>VLOOKUP($A567,Table1[],8,TRUE)</f>
        <v>China</v>
      </c>
      <c r="F567" s="3" t="str">
        <f>VLOOKUP($A567,Table1[],9,TRUE)</f>
        <v>Mandarin</v>
      </c>
      <c r="G567" s="3" t="str">
        <f>VLOOKUP($A567,Table1[],10,TRUE)</f>
        <v>DevOps</v>
      </c>
      <c r="H567" s="13" t="str">
        <f>VLOOKUP($A567,Table1[],12,TRUE)</f>
        <v>22</v>
      </c>
      <c r="I567" s="20">
        <v>50</v>
      </c>
      <c r="J567" s="15">
        <f>VLOOKUP($A567,Table1[],18,TRUE)</f>
        <v>2.9</v>
      </c>
      <c r="K567" s="12" t="str">
        <f>VLOOKUP($A567,Table1[],22,TRUE)</f>
        <v>FALSE</v>
      </c>
      <c r="L567" s="13">
        <f>VLOOKUP($A567,Table1[],25,TRUE)</f>
        <v>0.61</v>
      </c>
    </row>
    <row r="568" spans="1:12" x14ac:dyDescent="0.25">
      <c r="A568" t="s">
        <v>1214</v>
      </c>
      <c r="B568" s="18" t="str">
        <f>VLOOKUP(A568,Table1[],3,TRUE)</f>
        <v>Stephanie Burton</v>
      </c>
      <c r="C568" s="18" t="str">
        <f>VLOOKUP($A568,Table1[],5,TRUE)</f>
        <v>Female</v>
      </c>
      <c r="D568" s="3" t="str">
        <f>VLOOKUP($A568,Table1[],7,TRUE)</f>
        <v>22</v>
      </c>
      <c r="E568" s="3" t="str">
        <f>VLOOKUP($A568,Table1[],8,TRUE)</f>
        <v>Turkey</v>
      </c>
      <c r="F568" s="3" t="str">
        <f>VLOOKUP($A568,Table1[],9,TRUE)</f>
        <v>Turkish</v>
      </c>
      <c r="G568" s="3" t="str">
        <f>VLOOKUP($A568,Table1[],10,TRUE)</f>
        <v>UI/UX Design</v>
      </c>
      <c r="H568" s="13" t="str">
        <f>VLOOKUP($A568,Table1[],12,TRUE)</f>
        <v>3</v>
      </c>
      <c r="I568" s="20">
        <v>50</v>
      </c>
      <c r="J568" s="15">
        <f>VLOOKUP($A568,Table1[],18,TRUE)</f>
        <v>3</v>
      </c>
      <c r="K568" s="12" t="str">
        <f>VLOOKUP($A568,Table1[],22,TRUE)</f>
        <v>TRUE</v>
      </c>
      <c r="L568" s="13">
        <f>VLOOKUP($A568,Table1[],25,TRUE)</f>
        <v>0.96</v>
      </c>
    </row>
    <row r="569" spans="1:12" x14ac:dyDescent="0.25">
      <c r="A569" t="s">
        <v>1216</v>
      </c>
      <c r="B569" s="18" t="str">
        <f>VLOOKUP(A569,Table1[],3,TRUE)</f>
        <v>Kevin Gonzales</v>
      </c>
      <c r="C569" s="18" t="str">
        <f>VLOOKUP($A569,Table1[],5,TRUE)</f>
        <v>Male</v>
      </c>
      <c r="D569" s="3" t="str">
        <f>VLOOKUP($A569,Table1[],7,TRUE)</f>
        <v>41</v>
      </c>
      <c r="E569" s="3" t="str">
        <f>VLOOKUP($A569,Table1[],8,TRUE)</f>
        <v>Canada</v>
      </c>
      <c r="F569" s="3" t="str">
        <f>VLOOKUP($A569,Table1[],9,TRUE)</f>
        <v>English</v>
      </c>
      <c r="G569" s="3" t="str">
        <f>VLOOKUP($A569,Table1[],10,TRUE)</f>
        <v>Cybersecurity</v>
      </c>
      <c r="H569" s="13" t="str">
        <f>VLOOKUP($A569,Table1[],12,TRUE)</f>
        <v>11</v>
      </c>
      <c r="I569" s="20">
        <v>50</v>
      </c>
      <c r="J569" s="15">
        <f>VLOOKUP($A569,Table1[],18,TRUE)</f>
        <v>3.5</v>
      </c>
      <c r="K569" s="12" t="str">
        <f>VLOOKUP($A569,Table1[],22,TRUE)</f>
        <v>TRUE</v>
      </c>
      <c r="L569" s="13">
        <f>VLOOKUP($A569,Table1[],25,TRUE)</f>
        <v>0.68</v>
      </c>
    </row>
    <row r="570" spans="1:12" x14ac:dyDescent="0.25">
      <c r="A570" t="s">
        <v>1218</v>
      </c>
      <c r="B570" s="18" t="str">
        <f>VLOOKUP(A570,Table1[],3,TRUE)</f>
        <v>Dawn Hardy</v>
      </c>
      <c r="C570" s="18" t="str">
        <f>VLOOKUP($A570,Table1[],5,TRUE)</f>
        <v>Female</v>
      </c>
      <c r="D570" s="3" t="str">
        <f>VLOOKUP($A570,Table1[],7,TRUE)</f>
        <v>25</v>
      </c>
      <c r="E570" s="3" t="str">
        <f>VLOOKUP($A570,Table1[],8,TRUE)</f>
        <v>Argentina</v>
      </c>
      <c r="F570" s="3" t="str">
        <f>VLOOKUP($A570,Table1[],9,TRUE)</f>
        <v>Spanish</v>
      </c>
      <c r="G570" s="3" t="str">
        <f>VLOOKUP($A570,Table1[],10,TRUE)</f>
        <v>Web Development</v>
      </c>
      <c r="H570" s="13" t="str">
        <f>VLOOKUP($A570,Table1[],12,TRUE)</f>
        <v>5</v>
      </c>
      <c r="I570" s="20">
        <v>40</v>
      </c>
      <c r="J570" s="15">
        <f>VLOOKUP($A570,Table1[],18,TRUE)</f>
        <v>2.6</v>
      </c>
      <c r="K570" s="12" t="str">
        <f>VLOOKUP($A570,Table1[],22,TRUE)</f>
        <v>TRUE</v>
      </c>
      <c r="L570" s="13">
        <f>VLOOKUP($A570,Table1[],25,TRUE)</f>
        <v>0.75</v>
      </c>
    </row>
    <row r="571" spans="1:12" x14ac:dyDescent="0.25">
      <c r="A571" t="s">
        <v>1220</v>
      </c>
      <c r="B571" s="18" t="str">
        <f>VLOOKUP(A571,Table1[],3,TRUE)</f>
        <v>Margaret Perkins</v>
      </c>
      <c r="C571" s="18" t="str">
        <f>VLOOKUP($A571,Table1[],5,TRUE)</f>
        <v>Female</v>
      </c>
      <c r="D571" s="3" t="str">
        <f>VLOOKUP($A571,Table1[],7,TRUE)</f>
        <v>38</v>
      </c>
      <c r="E571" s="3" t="str">
        <f>VLOOKUP($A571,Table1[],8,TRUE)</f>
        <v>Canada</v>
      </c>
      <c r="F571" s="3" t="str">
        <f>VLOOKUP($A571,Table1[],9,TRUE)</f>
        <v>English</v>
      </c>
      <c r="G571" s="3" t="str">
        <f>VLOOKUP($A571,Table1[],10,TRUE)</f>
        <v>UI/UX Design</v>
      </c>
      <c r="H571" s="13" t="str">
        <f>VLOOKUP($A571,Table1[],12,TRUE)</f>
        <v>3</v>
      </c>
      <c r="I571" s="20">
        <v>40</v>
      </c>
      <c r="J571" s="15">
        <f>VLOOKUP($A571,Table1[],18,TRUE)</f>
        <v>4.7</v>
      </c>
      <c r="K571" s="12" t="str">
        <f>VLOOKUP($A571,Table1[],22,TRUE)</f>
        <v>FALSE</v>
      </c>
      <c r="L571" s="13">
        <f>VLOOKUP($A571,Table1[],25,TRUE)</f>
        <v>0.69</v>
      </c>
    </row>
    <row r="572" spans="1:12" x14ac:dyDescent="0.25">
      <c r="A572" t="s">
        <v>1222</v>
      </c>
      <c r="B572" s="18" t="str">
        <f>VLOOKUP(A572,Table1[],3,TRUE)</f>
        <v>Amanda Vargas</v>
      </c>
      <c r="C572" s="18" t="str">
        <f>VLOOKUP($A572,Table1[],5,TRUE)</f>
        <v>Female</v>
      </c>
      <c r="D572" s="3" t="str">
        <f>VLOOKUP($A572,Table1[],7,TRUE)</f>
        <v>43</v>
      </c>
      <c r="E572" s="3" t="str">
        <f>VLOOKUP($A572,Table1[],8,TRUE)</f>
        <v>United States</v>
      </c>
      <c r="F572" s="3" t="str">
        <f>VLOOKUP($A572,Table1[],9,TRUE)</f>
        <v>English</v>
      </c>
      <c r="G572" s="3" t="str">
        <f>VLOOKUP($A572,Table1[],10,TRUE)</f>
        <v>DevOps</v>
      </c>
      <c r="H572" s="13" t="str">
        <f>VLOOKUP($A572,Table1[],12,TRUE)</f>
        <v>1</v>
      </c>
      <c r="I572" s="20">
        <v>50</v>
      </c>
      <c r="J572" s="15">
        <f>VLOOKUP($A572,Table1[],18,TRUE)</f>
        <v>2.9</v>
      </c>
      <c r="K572" s="12" t="str">
        <f>VLOOKUP($A572,Table1[],22,TRUE)</f>
        <v>FALSE</v>
      </c>
      <c r="L572" s="13">
        <f>VLOOKUP($A572,Table1[],25,TRUE)</f>
        <v>0.78</v>
      </c>
    </row>
    <row r="573" spans="1:12" x14ac:dyDescent="0.25">
      <c r="A573" t="s">
        <v>1224</v>
      </c>
      <c r="B573" s="18" t="str">
        <f>VLOOKUP(A573,Table1[],3,TRUE)</f>
        <v>Tonya Gonzalez</v>
      </c>
      <c r="C573" s="18" t="str">
        <f>VLOOKUP($A573,Table1[],5,TRUE)</f>
        <v>Female</v>
      </c>
      <c r="D573" s="3" t="str">
        <f>VLOOKUP($A573,Table1[],7,TRUE)</f>
        <v>54</v>
      </c>
      <c r="E573" s="3" t="str">
        <f>VLOOKUP($A573,Table1[],8,TRUE)</f>
        <v>Mexico</v>
      </c>
      <c r="F573" s="3" t="str">
        <f>VLOOKUP($A573,Table1[],9,TRUE)</f>
        <v>Spanish</v>
      </c>
      <c r="G573" s="3" t="str">
        <f>VLOOKUP($A573,Table1[],10,TRUE)</f>
        <v>AI</v>
      </c>
      <c r="H573" s="13" t="str">
        <f>VLOOKUP($A573,Table1[],12,TRUE)</f>
        <v>1</v>
      </c>
      <c r="I573" s="20">
        <v>75</v>
      </c>
      <c r="J573" s="15">
        <f>VLOOKUP($A573,Table1[],18,TRUE)</f>
        <v>4.4000000000000004</v>
      </c>
      <c r="K573" s="12" t="str">
        <f>VLOOKUP($A573,Table1[],22,TRUE)</f>
        <v>TRUE</v>
      </c>
      <c r="L573" s="13">
        <f>VLOOKUP($A573,Table1[],25,TRUE)</f>
        <v>0.75</v>
      </c>
    </row>
    <row r="574" spans="1:12" x14ac:dyDescent="0.25">
      <c r="A574" t="s">
        <v>1226</v>
      </c>
      <c r="B574" s="18" t="str">
        <f>VLOOKUP(A574,Table1[],3,TRUE)</f>
        <v>Elizabeth Bowman</v>
      </c>
      <c r="C574" s="18" t="str">
        <f>VLOOKUP($A574,Table1[],5,TRUE)</f>
        <v>Female</v>
      </c>
      <c r="D574" s="3" t="str">
        <f>VLOOKUP($A574,Table1[],7,TRUE)</f>
        <v>31</v>
      </c>
      <c r="E574" s="3" t="str">
        <f>VLOOKUP($A574,Table1[],8,TRUE)</f>
        <v>Indonesia</v>
      </c>
      <c r="F574" s="3" t="str">
        <f>VLOOKUP($A574,Table1[],9,TRUE)</f>
        <v>Indonesian</v>
      </c>
      <c r="G574" s="3" t="str">
        <f>VLOOKUP($A574,Table1[],10,TRUE)</f>
        <v>Mobile Apps</v>
      </c>
      <c r="H574" s="13" t="str">
        <f>VLOOKUP($A574,Table1[],12,TRUE)</f>
        <v>2</v>
      </c>
      <c r="I574" s="20">
        <v>40</v>
      </c>
      <c r="J574" s="15">
        <f>VLOOKUP($A574,Table1[],18,TRUE)</f>
        <v>2.2999999999999998</v>
      </c>
      <c r="K574" s="12" t="str">
        <f>VLOOKUP($A574,Table1[],22,TRUE)</f>
        <v>FALSE</v>
      </c>
      <c r="L574" s="13">
        <f>VLOOKUP($A574,Table1[],25,TRUE)</f>
        <v>0.98</v>
      </c>
    </row>
    <row r="575" spans="1:12" x14ac:dyDescent="0.25">
      <c r="A575" t="s">
        <v>1228</v>
      </c>
      <c r="B575" s="18" t="str">
        <f>VLOOKUP(A575,Table1[],3,TRUE)</f>
        <v>Ariana Pittman</v>
      </c>
      <c r="C575" s="18" t="str">
        <f>VLOOKUP($A575,Table1[],5,TRUE)</f>
        <v>Female</v>
      </c>
      <c r="D575" s="3" t="str">
        <f>VLOOKUP($A575,Table1[],7,TRUE)</f>
        <v>56</v>
      </c>
      <c r="E575" s="3" t="str">
        <f>VLOOKUP($A575,Table1[],8,TRUE)</f>
        <v>Mexico</v>
      </c>
      <c r="F575" s="3" t="str">
        <f>VLOOKUP($A575,Table1[],9,TRUE)</f>
        <v>Spanish</v>
      </c>
      <c r="G575" s="3" t="str">
        <f>VLOOKUP($A575,Table1[],10,TRUE)</f>
        <v>AI</v>
      </c>
      <c r="H575" s="13" t="str">
        <f>VLOOKUP($A575,Table1[],12,TRUE)</f>
        <v>3</v>
      </c>
      <c r="I575" s="20">
        <v>30</v>
      </c>
      <c r="J575" s="15">
        <f>VLOOKUP($A575,Table1[],18,TRUE)</f>
        <v>3.7</v>
      </c>
      <c r="K575" s="12" t="str">
        <f>VLOOKUP($A575,Table1[],22,TRUE)</f>
        <v>TRUE</v>
      </c>
      <c r="L575" s="13">
        <f>VLOOKUP($A575,Table1[],25,TRUE)</f>
        <v>0.83</v>
      </c>
    </row>
    <row r="576" spans="1:12" x14ac:dyDescent="0.25">
      <c r="A576" t="s">
        <v>1230</v>
      </c>
      <c r="B576" s="18" t="str">
        <f>VLOOKUP(A576,Table1[],3,TRUE)</f>
        <v>Antonio Johnson</v>
      </c>
      <c r="C576" s="18" t="str">
        <f>VLOOKUP($A576,Table1[],5,TRUE)</f>
        <v>Male</v>
      </c>
      <c r="D576" s="3" t="str">
        <f>VLOOKUP($A576,Table1[],7,TRUE)</f>
        <v>46</v>
      </c>
      <c r="E576" s="3" t="str">
        <f>VLOOKUP($A576,Table1[],8,TRUE)</f>
        <v>Mexico</v>
      </c>
      <c r="F576" s="3" t="str">
        <f>VLOOKUP($A576,Table1[],9,TRUE)</f>
        <v>Spanish</v>
      </c>
      <c r="G576" s="3" t="str">
        <f>VLOOKUP($A576,Table1[],10,TRUE)</f>
        <v>Graphic Design</v>
      </c>
      <c r="H576" s="13" t="str">
        <f>VLOOKUP($A576,Table1[],12,TRUE)</f>
        <v>11</v>
      </c>
      <c r="I576" s="20">
        <v>50</v>
      </c>
      <c r="J576" s="15">
        <f>VLOOKUP($A576,Table1[],18,TRUE)</f>
        <v>1.8</v>
      </c>
      <c r="K576" s="12" t="str">
        <f>VLOOKUP($A576,Table1[],22,TRUE)</f>
        <v>TRUE</v>
      </c>
      <c r="L576" s="13">
        <f>VLOOKUP($A576,Table1[],25,TRUE)</f>
        <v>0.91</v>
      </c>
    </row>
    <row r="577" spans="1:12" x14ac:dyDescent="0.25">
      <c r="A577" t="s">
        <v>1232</v>
      </c>
      <c r="B577" s="18" t="str">
        <f>VLOOKUP(A577,Table1[],3,TRUE)</f>
        <v>Justin Lang</v>
      </c>
      <c r="C577" s="18" t="str">
        <f>VLOOKUP($A577,Table1[],5,TRUE)</f>
        <v>Male</v>
      </c>
      <c r="D577" s="3" t="str">
        <f>VLOOKUP($A577,Table1[],7,TRUE)</f>
        <v>60</v>
      </c>
      <c r="E577" s="3" t="str">
        <f>VLOOKUP($A577,Table1[],8,TRUE)</f>
        <v>Egypt</v>
      </c>
      <c r="F577" s="3" t="str">
        <f>VLOOKUP($A577,Table1[],9,TRUE)</f>
        <v>Arabic</v>
      </c>
      <c r="G577" s="3" t="str">
        <f>VLOOKUP($A577,Table1[],10,TRUE)</f>
        <v>AI</v>
      </c>
      <c r="H577" s="13" t="str">
        <f>VLOOKUP($A577,Table1[],12,TRUE)</f>
        <v>Unknown</v>
      </c>
      <c r="I577" s="20">
        <v>100</v>
      </c>
      <c r="J577" s="15">
        <f>VLOOKUP($A577,Table1[],18,TRUE)</f>
        <v>0</v>
      </c>
      <c r="K577" s="12" t="str">
        <f>VLOOKUP($A577,Table1[],22,TRUE)</f>
        <v>TRUE</v>
      </c>
      <c r="L577" s="13">
        <f>VLOOKUP($A577,Table1[],25,TRUE)</f>
        <v>0.96</v>
      </c>
    </row>
    <row r="578" spans="1:12" x14ac:dyDescent="0.25">
      <c r="A578" t="s">
        <v>1234</v>
      </c>
      <c r="B578" s="18" t="str">
        <f>VLOOKUP(A578,Table1[],3,TRUE)</f>
        <v>Kelli Ramirez</v>
      </c>
      <c r="C578" s="18" t="str">
        <f>VLOOKUP($A578,Table1[],5,TRUE)</f>
        <v>Female</v>
      </c>
      <c r="D578" s="3" t="str">
        <f>VLOOKUP($A578,Table1[],7,TRUE)</f>
        <v>28</v>
      </c>
      <c r="E578" s="3" t="str">
        <f>VLOOKUP($A578,Table1[],8,TRUE)</f>
        <v>South Korea</v>
      </c>
      <c r="F578" s="3" t="str">
        <f>VLOOKUP($A578,Table1[],9,TRUE)</f>
        <v>Korean</v>
      </c>
      <c r="G578" s="3" t="str">
        <f>VLOOKUP($A578,Table1[],10,TRUE)</f>
        <v>Graphic Design</v>
      </c>
      <c r="H578" s="13" t="str">
        <f>VLOOKUP($A578,Table1[],12,TRUE)</f>
        <v>2</v>
      </c>
      <c r="I578" s="20">
        <v>50</v>
      </c>
      <c r="J578" s="15">
        <f>VLOOKUP($A578,Table1[],18,TRUE)</f>
        <v>2.6</v>
      </c>
      <c r="K578" s="12" t="str">
        <f>VLOOKUP($A578,Table1[],22,TRUE)</f>
        <v>TRUE</v>
      </c>
      <c r="L578" s="13">
        <f>VLOOKUP($A578,Table1[],25,TRUE)</f>
        <v>0.85</v>
      </c>
    </row>
    <row r="579" spans="1:12" x14ac:dyDescent="0.25">
      <c r="A579" t="s">
        <v>1236</v>
      </c>
      <c r="B579" s="18" t="str">
        <f>VLOOKUP(A579,Table1[],3,TRUE)</f>
        <v>Deborah Torres</v>
      </c>
      <c r="C579" s="18" t="str">
        <f>VLOOKUP($A579,Table1[],5,TRUE)</f>
        <v>Female</v>
      </c>
      <c r="D579" s="3" t="str">
        <f>VLOOKUP($A579,Table1[],7,TRUE)</f>
        <v>43</v>
      </c>
      <c r="E579" s="3" t="str">
        <f>VLOOKUP($A579,Table1[],8,TRUE)</f>
        <v>Indonesia</v>
      </c>
      <c r="F579" s="3" t="str">
        <f>VLOOKUP($A579,Table1[],9,TRUE)</f>
        <v>Indonesian</v>
      </c>
      <c r="G579" s="3" t="str">
        <f>VLOOKUP($A579,Table1[],10,TRUE)</f>
        <v>Web Development</v>
      </c>
      <c r="H579" s="13" t="str">
        <f>VLOOKUP($A579,Table1[],12,TRUE)</f>
        <v>20</v>
      </c>
      <c r="I579" s="20">
        <v>30</v>
      </c>
      <c r="J579" s="15">
        <f>VLOOKUP($A579,Table1[],18,TRUE)</f>
        <v>2.7</v>
      </c>
      <c r="K579" s="12" t="str">
        <f>VLOOKUP($A579,Table1[],22,TRUE)</f>
        <v>TRUE</v>
      </c>
      <c r="L579" s="13">
        <f>VLOOKUP($A579,Table1[],25,TRUE)</f>
        <v>0.72</v>
      </c>
    </row>
    <row r="580" spans="1:12" x14ac:dyDescent="0.25">
      <c r="A580" t="s">
        <v>1238</v>
      </c>
      <c r="B580" s="18" t="str">
        <f>VLOOKUP(A580,Table1[],3,TRUE)</f>
        <v>Joseph Horn</v>
      </c>
      <c r="C580" s="18" t="str">
        <f>VLOOKUP($A580,Table1[],5,TRUE)</f>
        <v>Male</v>
      </c>
      <c r="D580" s="3" t="str">
        <f>VLOOKUP($A580,Table1[],7,TRUE)</f>
        <v>41</v>
      </c>
      <c r="E580" s="3" t="str">
        <f>VLOOKUP($A580,Table1[],8,TRUE)</f>
        <v>France</v>
      </c>
      <c r="F580" s="3" t="str">
        <f>VLOOKUP($A580,Table1[],9,TRUE)</f>
        <v>French</v>
      </c>
      <c r="G580" s="3" t="str">
        <f>VLOOKUP($A580,Table1[],10,TRUE)</f>
        <v>Web Development</v>
      </c>
      <c r="H580" s="13" t="str">
        <f>VLOOKUP($A580,Table1[],12,TRUE)</f>
        <v>11</v>
      </c>
      <c r="I580" s="20">
        <v>20</v>
      </c>
      <c r="J580" s="15">
        <f>VLOOKUP($A580,Table1[],18,TRUE)</f>
        <v>4.7</v>
      </c>
      <c r="K580" s="12" t="str">
        <f>VLOOKUP($A580,Table1[],22,TRUE)</f>
        <v>TRUE</v>
      </c>
      <c r="L580" s="13">
        <f>VLOOKUP($A580,Table1[],25,TRUE)</f>
        <v>0.69</v>
      </c>
    </row>
    <row r="581" spans="1:12" x14ac:dyDescent="0.25">
      <c r="A581" t="s">
        <v>1240</v>
      </c>
      <c r="B581" s="18" t="str">
        <f>VLOOKUP(A581,Table1[],3,TRUE)</f>
        <v>Christopher Robinson</v>
      </c>
      <c r="C581" s="18" t="str">
        <f>VLOOKUP($A581,Table1[],5,TRUE)</f>
        <v>Male</v>
      </c>
      <c r="D581" s="3" t="str">
        <f>VLOOKUP($A581,Table1[],7,TRUE)</f>
        <v>41</v>
      </c>
      <c r="E581" s="3" t="str">
        <f>VLOOKUP($A581,Table1[],8,TRUE)</f>
        <v>United Kingdom</v>
      </c>
      <c r="F581" s="3" t="str">
        <f>VLOOKUP($A581,Table1[],9,TRUE)</f>
        <v>English</v>
      </c>
      <c r="G581" s="3" t="str">
        <f>VLOOKUP($A581,Table1[],10,TRUE)</f>
        <v>DevOps</v>
      </c>
      <c r="H581" s="13" t="str">
        <f>VLOOKUP($A581,Table1[],12,TRUE)</f>
        <v>0</v>
      </c>
      <c r="I581" s="20">
        <v>20</v>
      </c>
      <c r="J581" s="15">
        <f>VLOOKUP($A581,Table1[],18,TRUE)</f>
        <v>3.1</v>
      </c>
      <c r="K581" s="12" t="str">
        <f>VLOOKUP($A581,Table1[],22,TRUE)</f>
        <v>FALSE</v>
      </c>
      <c r="L581" s="13">
        <f>VLOOKUP($A581,Table1[],25,TRUE)</f>
        <v>0.9</v>
      </c>
    </row>
    <row r="582" spans="1:12" x14ac:dyDescent="0.25">
      <c r="A582" t="s">
        <v>1242</v>
      </c>
      <c r="B582" s="18" t="str">
        <f>VLOOKUP(A582,Table1[],3,TRUE)</f>
        <v>Sandra Mccormick</v>
      </c>
      <c r="C582" s="18" t="str">
        <f>VLOOKUP($A582,Table1[],5,TRUE)</f>
        <v>Female</v>
      </c>
      <c r="D582" s="3" t="str">
        <f>VLOOKUP($A582,Table1[],7,TRUE)</f>
        <v>40</v>
      </c>
      <c r="E582" s="3" t="str">
        <f>VLOOKUP($A582,Table1[],8,TRUE)</f>
        <v>United Kingdom</v>
      </c>
      <c r="F582" s="3" t="str">
        <f>VLOOKUP($A582,Table1[],9,TRUE)</f>
        <v>English</v>
      </c>
      <c r="G582" s="3" t="str">
        <f>VLOOKUP($A582,Table1[],10,TRUE)</f>
        <v>Mobile Apps</v>
      </c>
      <c r="H582" s="13" t="str">
        <f>VLOOKUP($A582,Table1[],12,TRUE)</f>
        <v>20</v>
      </c>
      <c r="I582" s="20">
        <v>20</v>
      </c>
      <c r="J582" s="15">
        <f>VLOOKUP($A582,Table1[],18,TRUE)</f>
        <v>2.2999999999999998</v>
      </c>
      <c r="K582" s="12" t="str">
        <f>VLOOKUP($A582,Table1[],22,TRUE)</f>
        <v>FALSE</v>
      </c>
      <c r="L582" s="13">
        <f>VLOOKUP($A582,Table1[],25,TRUE)</f>
        <v>0.92</v>
      </c>
    </row>
    <row r="583" spans="1:12" x14ac:dyDescent="0.25">
      <c r="A583" t="s">
        <v>1244</v>
      </c>
      <c r="B583" s="18" t="str">
        <f>VLOOKUP(A583,Table1[],3,TRUE)</f>
        <v>Michael Holland</v>
      </c>
      <c r="C583" s="18" t="str">
        <f>VLOOKUP($A583,Table1[],5,TRUE)</f>
        <v>Male</v>
      </c>
      <c r="D583" s="3" t="str">
        <f>VLOOKUP($A583,Table1[],7,TRUE)</f>
        <v>45</v>
      </c>
      <c r="E583" s="3" t="str">
        <f>VLOOKUP($A583,Table1[],8,TRUE)</f>
        <v>Germany</v>
      </c>
      <c r="F583" s="3" t="str">
        <f>VLOOKUP($A583,Table1[],9,TRUE)</f>
        <v>German</v>
      </c>
      <c r="G583" s="3" t="str">
        <f>VLOOKUP($A583,Table1[],10,TRUE)</f>
        <v>DevOps</v>
      </c>
      <c r="H583" s="13" t="str">
        <f>VLOOKUP($A583,Table1[],12,TRUE)</f>
        <v>3</v>
      </c>
      <c r="I583" s="20">
        <v>20</v>
      </c>
      <c r="J583" s="15">
        <f>VLOOKUP($A583,Table1[],18,TRUE)</f>
        <v>1.3</v>
      </c>
      <c r="K583" s="12" t="str">
        <f>VLOOKUP($A583,Table1[],22,TRUE)</f>
        <v>TRUE</v>
      </c>
      <c r="L583" s="13">
        <f>VLOOKUP($A583,Table1[],25,TRUE)</f>
        <v>0.91</v>
      </c>
    </row>
    <row r="584" spans="1:12" x14ac:dyDescent="0.25">
      <c r="A584" t="s">
        <v>1246</v>
      </c>
      <c r="B584" s="18" t="str">
        <f>VLOOKUP(A584,Table1[],3,TRUE)</f>
        <v>Kenneth Stevenson</v>
      </c>
      <c r="C584" s="18" t="str">
        <f>VLOOKUP($A584,Table1[],5,TRUE)</f>
        <v>Male</v>
      </c>
      <c r="D584" s="3" t="str">
        <f>VLOOKUP($A584,Table1[],7,TRUE)</f>
        <v>47</v>
      </c>
      <c r="E584" s="3" t="str">
        <f>VLOOKUP($A584,Table1[],8,TRUE)</f>
        <v>Egypt</v>
      </c>
      <c r="F584" s="3" t="str">
        <f>VLOOKUP($A584,Table1[],9,TRUE)</f>
        <v>Arabic</v>
      </c>
      <c r="G584" s="3" t="str">
        <f>VLOOKUP($A584,Table1[],10,TRUE)</f>
        <v>DevOps</v>
      </c>
      <c r="H584" s="13" t="str">
        <f>VLOOKUP($A584,Table1[],12,TRUE)</f>
        <v>28</v>
      </c>
      <c r="I584" s="20">
        <v>50</v>
      </c>
      <c r="J584" s="15">
        <f>VLOOKUP($A584,Table1[],18,TRUE)</f>
        <v>2.9</v>
      </c>
      <c r="K584" s="12" t="str">
        <f>VLOOKUP($A584,Table1[],22,TRUE)</f>
        <v>TRUE</v>
      </c>
      <c r="L584" s="13">
        <f>VLOOKUP($A584,Table1[],25,TRUE)</f>
        <v>0.75</v>
      </c>
    </row>
    <row r="585" spans="1:12" x14ac:dyDescent="0.25">
      <c r="A585" t="s">
        <v>1248</v>
      </c>
      <c r="B585" s="18" t="str">
        <f>VLOOKUP(A585,Table1[],3,TRUE)</f>
        <v>Timothy Bennett</v>
      </c>
      <c r="C585" s="18" t="str">
        <f>VLOOKUP($A585,Table1[],5,TRUE)</f>
        <v>Male</v>
      </c>
      <c r="D585" s="3" t="str">
        <f>VLOOKUP($A585,Table1[],7,TRUE)</f>
        <v>34</v>
      </c>
      <c r="E585" s="3" t="str">
        <f>VLOOKUP($A585,Table1[],8,TRUE)</f>
        <v>India</v>
      </c>
      <c r="F585" s="3" t="str">
        <f>VLOOKUP($A585,Table1[],9,TRUE)</f>
        <v>Hindi</v>
      </c>
      <c r="G585" s="3" t="str">
        <f>VLOOKUP($A585,Table1[],10,TRUE)</f>
        <v>Data Analysis</v>
      </c>
      <c r="H585" s="13" t="str">
        <f>VLOOKUP($A585,Table1[],12,TRUE)</f>
        <v>0</v>
      </c>
      <c r="I585" s="20">
        <v>40</v>
      </c>
      <c r="J585" s="15">
        <f>VLOOKUP($A585,Table1[],18,TRUE)</f>
        <v>3.3</v>
      </c>
      <c r="K585" s="12" t="str">
        <f>VLOOKUP($A585,Table1[],22,TRUE)</f>
        <v>FALSE</v>
      </c>
      <c r="L585" s="13">
        <f>VLOOKUP($A585,Table1[],25,TRUE)</f>
        <v>0.98</v>
      </c>
    </row>
    <row r="586" spans="1:12" x14ac:dyDescent="0.25">
      <c r="A586" t="s">
        <v>1250</v>
      </c>
      <c r="B586" s="18" t="str">
        <f>VLOOKUP(A586,Table1[],3,TRUE)</f>
        <v>Gregory Randall</v>
      </c>
      <c r="C586" s="18" t="str">
        <f>VLOOKUP($A586,Table1[],5,TRUE)</f>
        <v>Male</v>
      </c>
      <c r="D586" s="3" t="str">
        <f>VLOOKUP($A586,Table1[],7,TRUE)</f>
        <v>47</v>
      </c>
      <c r="E586" s="3" t="str">
        <f>VLOOKUP($A586,Table1[],8,TRUE)</f>
        <v>United States</v>
      </c>
      <c r="F586" s="3" t="str">
        <f>VLOOKUP($A586,Table1[],9,TRUE)</f>
        <v>English</v>
      </c>
      <c r="G586" s="3" t="str">
        <f>VLOOKUP($A586,Table1[],10,TRUE)</f>
        <v>UI/UX Design</v>
      </c>
      <c r="H586" s="13" t="str">
        <f>VLOOKUP($A586,Table1[],12,TRUE)</f>
        <v>4</v>
      </c>
      <c r="I586" s="20">
        <v>20</v>
      </c>
      <c r="J586" s="15">
        <f>VLOOKUP($A586,Table1[],18,TRUE)</f>
        <v>4.2</v>
      </c>
      <c r="K586" s="12" t="str">
        <f>VLOOKUP($A586,Table1[],22,TRUE)</f>
        <v>TRUE</v>
      </c>
      <c r="L586" s="13">
        <f>VLOOKUP($A586,Table1[],25,TRUE)</f>
        <v>0.82</v>
      </c>
    </row>
    <row r="587" spans="1:12" x14ac:dyDescent="0.25">
      <c r="A587" t="s">
        <v>1252</v>
      </c>
      <c r="B587" s="18" t="str">
        <f>VLOOKUP(A587,Table1[],3,TRUE)</f>
        <v>Charles Martinez</v>
      </c>
      <c r="C587" s="18" t="str">
        <f>VLOOKUP($A587,Table1[],5,TRUE)</f>
        <v>Male</v>
      </c>
      <c r="D587" s="3" t="str">
        <f>VLOOKUP($A587,Table1[],7,TRUE)</f>
        <v>32</v>
      </c>
      <c r="E587" s="3" t="str">
        <f>VLOOKUP($A587,Table1[],8,TRUE)</f>
        <v>Mexico</v>
      </c>
      <c r="F587" s="3" t="str">
        <f>VLOOKUP($A587,Table1[],9,TRUE)</f>
        <v>Spanish</v>
      </c>
      <c r="G587" s="3" t="str">
        <f>VLOOKUP($A587,Table1[],10,TRUE)</f>
        <v>UI/UX Design</v>
      </c>
      <c r="H587" s="13" t="str">
        <f>VLOOKUP($A587,Table1[],12,TRUE)</f>
        <v>9</v>
      </c>
      <c r="I587" s="20">
        <v>40</v>
      </c>
      <c r="J587" s="15">
        <f>VLOOKUP($A587,Table1[],18,TRUE)</f>
        <v>1.3</v>
      </c>
      <c r="K587" s="12" t="str">
        <f>VLOOKUP($A587,Table1[],22,TRUE)</f>
        <v>TRUE</v>
      </c>
      <c r="L587" s="13">
        <f>VLOOKUP($A587,Table1[],25,TRUE)</f>
        <v>0.83</v>
      </c>
    </row>
    <row r="588" spans="1:12" x14ac:dyDescent="0.25">
      <c r="A588" t="s">
        <v>1254</v>
      </c>
      <c r="B588" s="18" t="str">
        <f>VLOOKUP(A588,Table1[],3,TRUE)</f>
        <v>James Hall</v>
      </c>
      <c r="C588" s="18" t="str">
        <f>VLOOKUP($A588,Table1[],5,TRUE)</f>
        <v>Male</v>
      </c>
      <c r="D588" s="3" t="str">
        <f>VLOOKUP($A588,Table1[],7,TRUE)</f>
        <v>28</v>
      </c>
      <c r="E588" s="3" t="str">
        <f>VLOOKUP($A588,Table1[],8,TRUE)</f>
        <v>United Kingdom</v>
      </c>
      <c r="F588" s="3" t="str">
        <f>VLOOKUP($A588,Table1[],9,TRUE)</f>
        <v>English</v>
      </c>
      <c r="G588" s="3" t="str">
        <f>VLOOKUP($A588,Table1[],10,TRUE)</f>
        <v>Mobile Apps</v>
      </c>
      <c r="H588" s="13" t="str">
        <f>VLOOKUP($A588,Table1[],12,TRUE)</f>
        <v>2</v>
      </c>
      <c r="I588" s="20">
        <v>100</v>
      </c>
      <c r="J588" s="15">
        <f>VLOOKUP($A588,Table1[],18,TRUE)</f>
        <v>4.4000000000000004</v>
      </c>
      <c r="K588" s="12" t="str">
        <f>VLOOKUP($A588,Table1[],22,TRUE)</f>
        <v>TRUE</v>
      </c>
      <c r="L588" s="13">
        <f>VLOOKUP($A588,Table1[],25,TRUE)</f>
        <v>0.75</v>
      </c>
    </row>
    <row r="589" spans="1:12" x14ac:dyDescent="0.25">
      <c r="A589" t="s">
        <v>1256</v>
      </c>
      <c r="B589" s="18" t="str">
        <f>VLOOKUP(A589,Table1[],3,TRUE)</f>
        <v>Michael Garcia</v>
      </c>
      <c r="C589" s="18" t="str">
        <f>VLOOKUP($A589,Table1[],5,TRUE)</f>
        <v>Male</v>
      </c>
      <c r="D589" s="3" t="str">
        <f>VLOOKUP($A589,Table1[],7,TRUE)</f>
        <v>32</v>
      </c>
      <c r="E589" s="3" t="str">
        <f>VLOOKUP($A589,Table1[],8,TRUE)</f>
        <v>Australia</v>
      </c>
      <c r="F589" s="3" t="str">
        <f>VLOOKUP($A589,Table1[],9,TRUE)</f>
        <v>English</v>
      </c>
      <c r="G589" s="3" t="str">
        <f>VLOOKUP($A589,Table1[],10,TRUE)</f>
        <v>DevOps</v>
      </c>
      <c r="H589" s="13" t="str">
        <f>VLOOKUP($A589,Table1[],12,TRUE)</f>
        <v>1</v>
      </c>
      <c r="I589" s="20">
        <v>100</v>
      </c>
      <c r="J589" s="15">
        <f>VLOOKUP($A589,Table1[],18,TRUE)</f>
        <v>3.4</v>
      </c>
      <c r="K589" s="12" t="str">
        <f>VLOOKUP($A589,Table1[],22,TRUE)</f>
        <v>TRUE</v>
      </c>
      <c r="L589" s="13">
        <f>VLOOKUP($A589,Table1[],25,TRUE)</f>
        <v>0.75</v>
      </c>
    </row>
    <row r="590" spans="1:12" x14ac:dyDescent="0.25">
      <c r="A590" t="s">
        <v>1258</v>
      </c>
      <c r="B590" s="18" t="str">
        <f>VLOOKUP(A590,Table1[],3,TRUE)</f>
        <v>Michele Duran</v>
      </c>
      <c r="C590" s="18" t="str">
        <f>VLOOKUP($A590,Table1[],5,TRUE)</f>
        <v>Female</v>
      </c>
      <c r="D590" s="3" t="str">
        <f>VLOOKUP($A590,Table1[],7,TRUE)</f>
        <v>49</v>
      </c>
      <c r="E590" s="3" t="str">
        <f>VLOOKUP($A590,Table1[],8,TRUE)</f>
        <v>Netherlands</v>
      </c>
      <c r="F590" s="3" t="str">
        <f>VLOOKUP($A590,Table1[],9,TRUE)</f>
        <v>Dutch</v>
      </c>
      <c r="G590" s="3" t="str">
        <f>VLOOKUP($A590,Table1[],10,TRUE)</f>
        <v>AI</v>
      </c>
      <c r="H590" s="13" t="str">
        <f>VLOOKUP($A590,Table1[],12,TRUE)</f>
        <v>2</v>
      </c>
      <c r="I590" s="20">
        <v>100</v>
      </c>
      <c r="J590" s="15">
        <f>VLOOKUP($A590,Table1[],18,TRUE)</f>
        <v>3.4</v>
      </c>
      <c r="K590" s="12" t="str">
        <f>VLOOKUP($A590,Table1[],22,TRUE)</f>
        <v>TRUE</v>
      </c>
      <c r="L590" s="13">
        <f>VLOOKUP($A590,Table1[],25,TRUE)</f>
        <v>0.85</v>
      </c>
    </row>
    <row r="591" spans="1:12" x14ac:dyDescent="0.25">
      <c r="A591" t="s">
        <v>1260</v>
      </c>
      <c r="B591" s="18" t="str">
        <f>VLOOKUP(A591,Table1[],3,TRUE)</f>
        <v>Jessica Gray</v>
      </c>
      <c r="C591" s="18" t="str">
        <f>VLOOKUP($A591,Table1[],5,TRUE)</f>
        <v>Female</v>
      </c>
      <c r="D591" s="3" t="str">
        <f>VLOOKUP($A591,Table1[],7,TRUE)</f>
        <v>36</v>
      </c>
      <c r="E591" s="3" t="str">
        <f>VLOOKUP($A591,Table1[],8,TRUE)</f>
        <v>Argentina</v>
      </c>
      <c r="F591" s="3" t="str">
        <f>VLOOKUP($A591,Table1[],9,TRUE)</f>
        <v>Spanish</v>
      </c>
      <c r="G591" s="3" t="str">
        <f>VLOOKUP($A591,Table1[],10,TRUE)</f>
        <v>Mobile Apps</v>
      </c>
      <c r="H591" s="13" t="str">
        <f>VLOOKUP($A591,Table1[],12,TRUE)</f>
        <v>16</v>
      </c>
      <c r="I591" s="20">
        <v>20</v>
      </c>
      <c r="J591" s="15">
        <f>VLOOKUP($A591,Table1[],18,TRUE)</f>
        <v>3.2</v>
      </c>
      <c r="K591" s="12" t="str">
        <f>VLOOKUP($A591,Table1[],22,TRUE)</f>
        <v>TRUE</v>
      </c>
      <c r="L591" s="13">
        <f>VLOOKUP($A591,Table1[],25,TRUE)</f>
        <v>0.75</v>
      </c>
    </row>
    <row r="592" spans="1:12" x14ac:dyDescent="0.25">
      <c r="A592" t="s">
        <v>1262</v>
      </c>
      <c r="B592" s="18" t="str">
        <f>VLOOKUP(A592,Table1[],3,TRUE)</f>
        <v>Keith Shaffer</v>
      </c>
      <c r="C592" s="18" t="str">
        <f>VLOOKUP($A592,Table1[],5,TRUE)</f>
        <v>Male</v>
      </c>
      <c r="D592" s="3" t="str">
        <f>VLOOKUP($A592,Table1[],7,TRUE)</f>
        <v>59</v>
      </c>
      <c r="E592" s="3" t="str">
        <f>VLOOKUP($A592,Table1[],8,TRUE)</f>
        <v>Mexico</v>
      </c>
      <c r="F592" s="3" t="str">
        <f>VLOOKUP($A592,Table1[],9,TRUE)</f>
        <v>Spanish</v>
      </c>
      <c r="G592" s="3" t="str">
        <f>VLOOKUP($A592,Table1[],10,TRUE)</f>
        <v>Blockchain Development</v>
      </c>
      <c r="H592" s="13" t="str">
        <f>VLOOKUP($A592,Table1[],12,TRUE)</f>
        <v>22</v>
      </c>
      <c r="I592" s="20">
        <v>20</v>
      </c>
      <c r="J592" s="15">
        <f>VLOOKUP($A592,Table1[],18,TRUE)</f>
        <v>3.6</v>
      </c>
      <c r="K592" s="12" t="str">
        <f>VLOOKUP($A592,Table1[],22,TRUE)</f>
        <v>FALSE</v>
      </c>
      <c r="L592" s="13">
        <f>VLOOKUP($A592,Table1[],25,TRUE)</f>
        <v>0.63</v>
      </c>
    </row>
    <row r="593" spans="1:12" x14ac:dyDescent="0.25">
      <c r="A593" t="s">
        <v>1264</v>
      </c>
      <c r="B593" s="18" t="str">
        <f>VLOOKUP(A593,Table1[],3,TRUE)</f>
        <v>Jessica Decker</v>
      </c>
      <c r="C593" s="18" t="str">
        <f>VLOOKUP($A593,Table1[],5,TRUE)</f>
        <v>Female</v>
      </c>
      <c r="D593" s="3" t="str">
        <f>VLOOKUP($A593,Table1[],7,TRUE)</f>
        <v>52</v>
      </c>
      <c r="E593" s="3" t="str">
        <f>VLOOKUP($A593,Table1[],8,TRUE)</f>
        <v>Canada</v>
      </c>
      <c r="F593" s="3" t="str">
        <f>VLOOKUP($A593,Table1[],9,TRUE)</f>
        <v>English</v>
      </c>
      <c r="G593" s="3" t="str">
        <f>VLOOKUP($A593,Table1[],10,TRUE)</f>
        <v>Cybersecurity</v>
      </c>
      <c r="H593" s="13" t="str">
        <f>VLOOKUP($A593,Table1[],12,TRUE)</f>
        <v>22</v>
      </c>
      <c r="I593" s="20">
        <v>20</v>
      </c>
      <c r="J593" s="15">
        <f>VLOOKUP($A593,Table1[],18,TRUE)</f>
        <v>0</v>
      </c>
      <c r="K593" s="12" t="str">
        <f>VLOOKUP($A593,Table1[],22,TRUE)</f>
        <v>FALSE</v>
      </c>
      <c r="L593" s="13">
        <f>VLOOKUP($A593,Table1[],25,TRUE)</f>
        <v>0.75</v>
      </c>
    </row>
    <row r="594" spans="1:12" x14ac:dyDescent="0.25">
      <c r="A594" t="s">
        <v>1266</v>
      </c>
      <c r="B594" s="18" t="str">
        <f>VLOOKUP(A594,Table1[],3,TRUE)</f>
        <v>Brianna Pittman</v>
      </c>
      <c r="C594" s="18" t="str">
        <f>VLOOKUP($A594,Table1[],5,TRUE)</f>
        <v>Female</v>
      </c>
      <c r="D594" s="3" t="str">
        <f>VLOOKUP($A594,Table1[],7,TRUE)</f>
        <v>24</v>
      </c>
      <c r="E594" s="3" t="str">
        <f>VLOOKUP($A594,Table1[],8,TRUE)</f>
        <v>China</v>
      </c>
      <c r="F594" s="3" t="str">
        <f>VLOOKUP($A594,Table1[],9,TRUE)</f>
        <v>Mandarin</v>
      </c>
      <c r="G594" s="3" t="str">
        <f>VLOOKUP($A594,Table1[],10,TRUE)</f>
        <v>Blockchain Development</v>
      </c>
      <c r="H594" s="13" t="str">
        <f>VLOOKUP($A594,Table1[],12,TRUE)</f>
        <v>5</v>
      </c>
      <c r="I594" s="20">
        <v>40</v>
      </c>
      <c r="J594" s="15">
        <f>VLOOKUP($A594,Table1[],18,TRUE)</f>
        <v>1.8</v>
      </c>
      <c r="K594" s="12" t="str">
        <f>VLOOKUP($A594,Table1[],22,TRUE)</f>
        <v>TRUE</v>
      </c>
      <c r="L594" s="13">
        <f>VLOOKUP($A594,Table1[],25,TRUE)</f>
        <v>0.86</v>
      </c>
    </row>
    <row r="595" spans="1:12" x14ac:dyDescent="0.25">
      <c r="A595" t="s">
        <v>1268</v>
      </c>
      <c r="B595" s="18" t="str">
        <f>VLOOKUP(A595,Table1[],3,TRUE)</f>
        <v>Kimberly Hunter</v>
      </c>
      <c r="C595" s="18" t="str">
        <f>VLOOKUP($A595,Table1[],5,TRUE)</f>
        <v>Female</v>
      </c>
      <c r="D595" s="3" t="str">
        <f>VLOOKUP($A595,Table1[],7,TRUE)</f>
        <v>26</v>
      </c>
      <c r="E595" s="3" t="str">
        <f>VLOOKUP($A595,Table1[],8,TRUE)</f>
        <v>Australia</v>
      </c>
      <c r="F595" s="3" t="str">
        <f>VLOOKUP($A595,Table1[],9,TRUE)</f>
        <v>English</v>
      </c>
      <c r="G595" s="3" t="str">
        <f>VLOOKUP($A595,Table1[],10,TRUE)</f>
        <v>Graphic Design</v>
      </c>
      <c r="H595" s="13" t="str">
        <f>VLOOKUP($A595,Table1[],12,TRUE)</f>
        <v>2</v>
      </c>
      <c r="I595" s="20">
        <v>75</v>
      </c>
      <c r="J595" s="15">
        <f>VLOOKUP($A595,Table1[],18,TRUE)</f>
        <v>2.5</v>
      </c>
      <c r="K595" s="12" t="str">
        <f>VLOOKUP($A595,Table1[],22,TRUE)</f>
        <v>TRUE</v>
      </c>
      <c r="L595" s="13">
        <f>VLOOKUP($A595,Table1[],25,TRUE)</f>
        <v>0.6</v>
      </c>
    </row>
    <row r="596" spans="1:12" x14ac:dyDescent="0.25">
      <c r="A596" t="s">
        <v>1270</v>
      </c>
      <c r="B596" s="18" t="str">
        <f>VLOOKUP(A596,Table1[],3,TRUE)</f>
        <v>Daniel Martin</v>
      </c>
      <c r="C596" s="18" t="str">
        <f>VLOOKUP($A596,Table1[],5,TRUE)</f>
        <v>Male</v>
      </c>
      <c r="D596" s="3" t="str">
        <f>VLOOKUP($A596,Table1[],7,TRUE)</f>
        <v>55</v>
      </c>
      <c r="E596" s="3" t="str">
        <f>VLOOKUP($A596,Table1[],8,TRUE)</f>
        <v>Canada</v>
      </c>
      <c r="F596" s="3" t="str">
        <f>VLOOKUP($A596,Table1[],9,TRUE)</f>
        <v>English</v>
      </c>
      <c r="G596" s="3" t="str">
        <f>VLOOKUP($A596,Table1[],10,TRUE)</f>
        <v>Cybersecurity</v>
      </c>
      <c r="H596" s="13" t="str">
        <f>VLOOKUP($A596,Table1[],12,TRUE)</f>
        <v>24</v>
      </c>
      <c r="I596" s="20">
        <v>40</v>
      </c>
      <c r="J596" s="15">
        <f>VLOOKUP($A596,Table1[],18,TRUE)</f>
        <v>2</v>
      </c>
      <c r="K596" s="12" t="str">
        <f>VLOOKUP($A596,Table1[],22,TRUE)</f>
        <v>TRUE</v>
      </c>
      <c r="L596" s="13">
        <f>VLOOKUP($A596,Table1[],25,TRUE)</f>
        <v>0.88</v>
      </c>
    </row>
    <row r="597" spans="1:12" x14ac:dyDescent="0.25">
      <c r="A597" t="s">
        <v>1272</v>
      </c>
      <c r="B597" s="18" t="str">
        <f>VLOOKUP(A597,Table1[],3,TRUE)</f>
        <v>Rachel Smith</v>
      </c>
      <c r="C597" s="18" t="str">
        <f>VLOOKUP($A597,Table1[],5,TRUE)</f>
        <v>Female</v>
      </c>
      <c r="D597" s="3" t="str">
        <f>VLOOKUP($A597,Table1[],7,TRUE)</f>
        <v>56</v>
      </c>
      <c r="E597" s="3" t="str">
        <f>VLOOKUP($A597,Table1[],8,TRUE)</f>
        <v>Italy</v>
      </c>
      <c r="F597" s="3" t="str">
        <f>VLOOKUP($A597,Table1[],9,TRUE)</f>
        <v>Italian</v>
      </c>
      <c r="G597" s="3" t="str">
        <f>VLOOKUP($A597,Table1[],10,TRUE)</f>
        <v>Mobile Apps</v>
      </c>
      <c r="H597" s="13" t="str">
        <f>VLOOKUP($A597,Table1[],12,TRUE)</f>
        <v>37</v>
      </c>
      <c r="I597" s="20">
        <v>40</v>
      </c>
      <c r="J597" s="15">
        <f>VLOOKUP($A597,Table1[],18,TRUE)</f>
        <v>0</v>
      </c>
      <c r="K597" s="12" t="str">
        <f>VLOOKUP($A597,Table1[],22,TRUE)</f>
        <v>FALSE</v>
      </c>
      <c r="L597" s="13">
        <f>VLOOKUP($A597,Table1[],25,TRUE)</f>
        <v>0.7</v>
      </c>
    </row>
    <row r="598" spans="1:12" x14ac:dyDescent="0.25">
      <c r="A598" t="s">
        <v>1274</v>
      </c>
      <c r="B598" s="18" t="str">
        <f>VLOOKUP(A598,Table1[],3,TRUE)</f>
        <v>Michael Miller</v>
      </c>
      <c r="C598" s="18" t="str">
        <f>VLOOKUP($A598,Table1[],5,TRUE)</f>
        <v>Male</v>
      </c>
      <c r="D598" s="3" t="str">
        <f>VLOOKUP($A598,Table1[],7,TRUE)</f>
        <v>36</v>
      </c>
      <c r="E598" s="3" t="str">
        <f>VLOOKUP($A598,Table1[],8,TRUE)</f>
        <v>France</v>
      </c>
      <c r="F598" s="3" t="str">
        <f>VLOOKUP($A598,Table1[],9,TRUE)</f>
        <v>French</v>
      </c>
      <c r="G598" s="3" t="str">
        <f>VLOOKUP($A598,Table1[],10,TRUE)</f>
        <v>Graphic Design</v>
      </c>
      <c r="H598" s="13" t="str">
        <f>VLOOKUP($A598,Table1[],12,TRUE)</f>
        <v>3</v>
      </c>
      <c r="I598" s="20">
        <v>50</v>
      </c>
      <c r="J598" s="15">
        <f>VLOOKUP($A598,Table1[],18,TRUE)</f>
        <v>1.3</v>
      </c>
      <c r="K598" s="12" t="str">
        <f>VLOOKUP($A598,Table1[],22,TRUE)</f>
        <v>TRUE</v>
      </c>
      <c r="L598" s="13">
        <f>VLOOKUP($A598,Table1[],25,TRUE)</f>
        <v>0.77</v>
      </c>
    </row>
    <row r="599" spans="1:12" x14ac:dyDescent="0.25">
      <c r="A599" t="s">
        <v>1276</v>
      </c>
      <c r="B599" s="18" t="str">
        <f>VLOOKUP(A599,Table1[],3,TRUE)</f>
        <v>Willie Clark</v>
      </c>
      <c r="C599" s="18" t="str">
        <f>VLOOKUP($A599,Table1[],5,TRUE)</f>
        <v>Male</v>
      </c>
      <c r="D599" s="3" t="str">
        <f>VLOOKUP($A599,Table1[],7,TRUE)</f>
        <v>48</v>
      </c>
      <c r="E599" s="3" t="str">
        <f>VLOOKUP($A599,Table1[],8,TRUE)</f>
        <v>Argentina</v>
      </c>
      <c r="F599" s="3" t="str">
        <f>VLOOKUP($A599,Table1[],9,TRUE)</f>
        <v>Spanish</v>
      </c>
      <c r="G599" s="3" t="str">
        <f>VLOOKUP($A599,Table1[],10,TRUE)</f>
        <v>Web Development</v>
      </c>
      <c r="H599" s="13" t="str">
        <f>VLOOKUP($A599,Table1[],12,TRUE)</f>
        <v>18</v>
      </c>
      <c r="I599" s="20">
        <v>75</v>
      </c>
      <c r="J599" s="15">
        <f>VLOOKUP($A599,Table1[],18,TRUE)</f>
        <v>0</v>
      </c>
      <c r="K599" s="12" t="str">
        <f>VLOOKUP($A599,Table1[],22,TRUE)</f>
        <v>FALSE</v>
      </c>
      <c r="L599" s="13">
        <f>VLOOKUP($A599,Table1[],25,TRUE)</f>
        <v>0.8</v>
      </c>
    </row>
    <row r="600" spans="1:12" x14ac:dyDescent="0.25">
      <c r="A600" t="s">
        <v>1278</v>
      </c>
      <c r="B600" s="18" t="str">
        <f>VLOOKUP(A600,Table1[],3,TRUE)</f>
        <v>Jeremy Hernandez</v>
      </c>
      <c r="C600" s="18" t="str">
        <f>VLOOKUP($A600,Table1[],5,TRUE)</f>
        <v>Male</v>
      </c>
      <c r="D600" s="3" t="str">
        <f>VLOOKUP($A600,Table1[],7,TRUE)</f>
        <v>55</v>
      </c>
      <c r="E600" s="3" t="str">
        <f>VLOOKUP($A600,Table1[],8,TRUE)</f>
        <v>Egypt</v>
      </c>
      <c r="F600" s="3" t="str">
        <f>VLOOKUP($A600,Table1[],9,TRUE)</f>
        <v>Arabic</v>
      </c>
      <c r="G600" s="3" t="str">
        <f>VLOOKUP($A600,Table1[],10,TRUE)</f>
        <v>Machine Learning</v>
      </c>
      <c r="H600" s="13" t="str">
        <f>VLOOKUP($A600,Table1[],12,TRUE)</f>
        <v>6</v>
      </c>
      <c r="I600" s="20">
        <v>40</v>
      </c>
      <c r="J600" s="15">
        <f>VLOOKUP($A600,Table1[],18,TRUE)</f>
        <v>3.6</v>
      </c>
      <c r="K600" s="12" t="str">
        <f>VLOOKUP($A600,Table1[],22,TRUE)</f>
        <v>TRUE</v>
      </c>
      <c r="L600" s="13">
        <f>VLOOKUP($A600,Table1[],25,TRUE)</f>
        <v>0.75</v>
      </c>
    </row>
    <row r="601" spans="1:12" x14ac:dyDescent="0.25">
      <c r="A601" t="s">
        <v>1280</v>
      </c>
      <c r="B601" s="18" t="str">
        <f>VLOOKUP(A601,Table1[],3,TRUE)</f>
        <v>Tina Shelton</v>
      </c>
      <c r="C601" s="18" t="str">
        <f>VLOOKUP($A601,Table1[],5,TRUE)</f>
        <v>Female</v>
      </c>
      <c r="D601" s="3" t="str">
        <f>VLOOKUP($A601,Table1[],7,TRUE)</f>
        <v>56</v>
      </c>
      <c r="E601" s="3" t="str">
        <f>VLOOKUP($A601,Table1[],8,TRUE)</f>
        <v>Spain</v>
      </c>
      <c r="F601" s="3" t="str">
        <f>VLOOKUP($A601,Table1[],9,TRUE)</f>
        <v>Spanish</v>
      </c>
      <c r="G601" s="3" t="str">
        <f>VLOOKUP($A601,Table1[],10,TRUE)</f>
        <v>DevOps</v>
      </c>
      <c r="H601" s="13" t="str">
        <f>VLOOKUP($A601,Table1[],12,TRUE)</f>
        <v>17</v>
      </c>
      <c r="I601" s="20">
        <v>50</v>
      </c>
      <c r="J601" s="15">
        <f>VLOOKUP($A601,Table1[],18,TRUE)</f>
        <v>1.3</v>
      </c>
      <c r="K601" s="12" t="str">
        <f>VLOOKUP($A601,Table1[],22,TRUE)</f>
        <v>TRUE</v>
      </c>
      <c r="L601" s="13">
        <f>VLOOKUP($A601,Table1[],25,TRUE)</f>
        <v>0.87</v>
      </c>
    </row>
    <row r="602" spans="1:12" x14ac:dyDescent="0.25">
      <c r="A602" t="s">
        <v>1282</v>
      </c>
      <c r="B602" s="18" t="str">
        <f>VLOOKUP(A602,Table1[],3,TRUE)</f>
        <v>Dr. Pamela Larson</v>
      </c>
      <c r="C602" s="18" t="str">
        <f>VLOOKUP($A602,Table1[],5,TRUE)</f>
        <v>Female</v>
      </c>
      <c r="D602" s="3" t="str">
        <f>VLOOKUP($A602,Table1[],7,TRUE)</f>
        <v>28</v>
      </c>
      <c r="E602" s="3" t="str">
        <f>VLOOKUP($A602,Table1[],8,TRUE)</f>
        <v>Canada</v>
      </c>
      <c r="F602" s="3" t="str">
        <f>VLOOKUP($A602,Table1[],9,TRUE)</f>
        <v>English</v>
      </c>
      <c r="G602" s="3" t="str">
        <f>VLOOKUP($A602,Table1[],10,TRUE)</f>
        <v>Blockchain Development</v>
      </c>
      <c r="H602" s="13" t="str">
        <f>VLOOKUP($A602,Table1[],12,TRUE)</f>
        <v>1</v>
      </c>
      <c r="I602" s="20">
        <v>75</v>
      </c>
      <c r="J602" s="15">
        <f>VLOOKUP($A602,Table1[],18,TRUE)</f>
        <v>2.7</v>
      </c>
      <c r="K602" s="12" t="str">
        <f>VLOOKUP($A602,Table1[],22,TRUE)</f>
        <v>TRUE</v>
      </c>
      <c r="L602" s="13">
        <f>VLOOKUP($A602,Table1[],25,TRUE)</f>
        <v>0.93</v>
      </c>
    </row>
    <row r="603" spans="1:12" x14ac:dyDescent="0.25">
      <c r="A603" t="s">
        <v>1284</v>
      </c>
      <c r="B603" s="18" t="str">
        <f>VLOOKUP(A603,Table1[],3,TRUE)</f>
        <v>Ryan Ewing</v>
      </c>
      <c r="C603" s="18" t="str">
        <f>VLOOKUP($A603,Table1[],5,TRUE)</f>
        <v>Male</v>
      </c>
      <c r="D603" s="3" t="str">
        <f>VLOOKUP($A603,Table1[],7,TRUE)</f>
        <v>60</v>
      </c>
      <c r="E603" s="3" t="str">
        <f>VLOOKUP($A603,Table1[],8,TRUE)</f>
        <v>United States</v>
      </c>
      <c r="F603" s="3" t="str">
        <f>VLOOKUP($A603,Table1[],9,TRUE)</f>
        <v>English</v>
      </c>
      <c r="G603" s="3" t="str">
        <f>VLOOKUP($A603,Table1[],10,TRUE)</f>
        <v>AI</v>
      </c>
      <c r="H603" s="13" t="str">
        <f>VLOOKUP($A603,Table1[],12,TRUE)</f>
        <v>39</v>
      </c>
      <c r="I603" s="20">
        <v>100</v>
      </c>
      <c r="J603" s="15">
        <f>VLOOKUP($A603,Table1[],18,TRUE)</f>
        <v>1.5</v>
      </c>
      <c r="K603" s="12" t="str">
        <f>VLOOKUP($A603,Table1[],22,TRUE)</f>
        <v>TRUE</v>
      </c>
      <c r="L603" s="13">
        <f>VLOOKUP($A603,Table1[],25,TRUE)</f>
        <v>0.88</v>
      </c>
    </row>
    <row r="604" spans="1:12" x14ac:dyDescent="0.25">
      <c r="A604" t="s">
        <v>1286</v>
      </c>
      <c r="B604" s="18" t="str">
        <f>VLOOKUP(A604,Table1[],3,TRUE)</f>
        <v>Mark Cochran</v>
      </c>
      <c r="C604" s="18" t="str">
        <f>VLOOKUP($A604,Table1[],5,TRUE)</f>
        <v>Male</v>
      </c>
      <c r="D604" s="3" t="str">
        <f>VLOOKUP($A604,Table1[],7,TRUE)</f>
        <v>34</v>
      </c>
      <c r="E604" s="3" t="str">
        <f>VLOOKUP($A604,Table1[],8,TRUE)</f>
        <v>South Korea</v>
      </c>
      <c r="F604" s="3" t="str">
        <f>VLOOKUP($A604,Table1[],9,TRUE)</f>
        <v>Korean</v>
      </c>
      <c r="G604" s="3" t="str">
        <f>VLOOKUP($A604,Table1[],10,TRUE)</f>
        <v>Blockchain Development</v>
      </c>
      <c r="H604" s="13" t="str">
        <f>VLOOKUP($A604,Table1[],12,TRUE)</f>
        <v>15</v>
      </c>
      <c r="I604" s="20">
        <v>20</v>
      </c>
      <c r="J604" s="15">
        <f>VLOOKUP($A604,Table1[],18,TRUE)</f>
        <v>0</v>
      </c>
      <c r="K604" s="12" t="str">
        <f>VLOOKUP($A604,Table1[],22,TRUE)</f>
        <v>FALSE</v>
      </c>
      <c r="L604" s="13">
        <f>VLOOKUP($A604,Table1[],25,TRUE)</f>
        <v>1</v>
      </c>
    </row>
    <row r="605" spans="1:12" x14ac:dyDescent="0.25">
      <c r="A605" t="s">
        <v>1288</v>
      </c>
      <c r="B605" s="18" t="str">
        <f>VLOOKUP(A605,Table1[],3,TRUE)</f>
        <v>Martha Carson</v>
      </c>
      <c r="C605" s="18" t="str">
        <f>VLOOKUP($A605,Table1[],5,TRUE)</f>
        <v>Female</v>
      </c>
      <c r="D605" s="3" t="str">
        <f>VLOOKUP($A605,Table1[],7,TRUE)</f>
        <v>38</v>
      </c>
      <c r="E605" s="3" t="str">
        <f>VLOOKUP($A605,Table1[],8,TRUE)</f>
        <v>Indonesia</v>
      </c>
      <c r="F605" s="3" t="str">
        <f>VLOOKUP($A605,Table1[],9,TRUE)</f>
        <v>Indonesian</v>
      </c>
      <c r="G605" s="3" t="str">
        <f>VLOOKUP($A605,Table1[],10,TRUE)</f>
        <v>AI</v>
      </c>
      <c r="H605" s="13" t="str">
        <f>VLOOKUP($A605,Table1[],12,TRUE)</f>
        <v>13</v>
      </c>
      <c r="I605" s="20">
        <v>40</v>
      </c>
      <c r="J605" s="15">
        <f>VLOOKUP($A605,Table1[],18,TRUE)</f>
        <v>0</v>
      </c>
      <c r="K605" s="12" t="str">
        <f>VLOOKUP($A605,Table1[],22,TRUE)</f>
        <v>TRUE</v>
      </c>
      <c r="L605" s="13">
        <f>VLOOKUP($A605,Table1[],25,TRUE)</f>
        <v>0.61</v>
      </c>
    </row>
    <row r="606" spans="1:12" x14ac:dyDescent="0.25">
      <c r="A606" t="s">
        <v>1290</v>
      </c>
      <c r="B606" s="18" t="str">
        <f>VLOOKUP(A606,Table1[],3,TRUE)</f>
        <v>Heather Jackson</v>
      </c>
      <c r="C606" s="18" t="str">
        <f>VLOOKUP($A606,Table1[],5,TRUE)</f>
        <v>Female</v>
      </c>
      <c r="D606" s="3" t="str">
        <f>VLOOKUP($A606,Table1[],7,TRUE)</f>
        <v>51</v>
      </c>
      <c r="E606" s="3" t="str">
        <f>VLOOKUP($A606,Table1[],8,TRUE)</f>
        <v>South Korea</v>
      </c>
      <c r="F606" s="3" t="str">
        <f>VLOOKUP($A606,Table1[],9,TRUE)</f>
        <v>Korean</v>
      </c>
      <c r="G606" s="3" t="str">
        <f>VLOOKUP($A606,Table1[],10,TRUE)</f>
        <v>Web Development</v>
      </c>
      <c r="H606" s="13" t="str">
        <f>VLOOKUP($A606,Table1[],12,TRUE)</f>
        <v>17</v>
      </c>
      <c r="I606" s="20">
        <v>100</v>
      </c>
      <c r="J606" s="15">
        <f>VLOOKUP($A606,Table1[],18,TRUE)</f>
        <v>3</v>
      </c>
      <c r="K606" s="12" t="str">
        <f>VLOOKUP($A606,Table1[],22,TRUE)</f>
        <v>TRUE</v>
      </c>
      <c r="L606" s="13">
        <f>VLOOKUP($A606,Table1[],25,TRUE)</f>
        <v>0.79</v>
      </c>
    </row>
    <row r="607" spans="1:12" x14ac:dyDescent="0.25">
      <c r="A607" t="s">
        <v>1292</v>
      </c>
      <c r="B607" s="18" t="str">
        <f>VLOOKUP(A607,Table1[],3,TRUE)</f>
        <v>Megan Young</v>
      </c>
      <c r="C607" s="18" t="str">
        <f>VLOOKUP($A607,Table1[],5,TRUE)</f>
        <v>Female</v>
      </c>
      <c r="D607" s="3" t="str">
        <f>VLOOKUP($A607,Table1[],7,TRUE)</f>
        <v>21</v>
      </c>
      <c r="E607" s="3" t="str">
        <f>VLOOKUP($A607,Table1[],8,TRUE)</f>
        <v>Japan</v>
      </c>
      <c r="F607" s="3" t="str">
        <f>VLOOKUP($A607,Table1[],9,TRUE)</f>
        <v>Japanese</v>
      </c>
      <c r="G607" s="3" t="str">
        <f>VLOOKUP($A607,Table1[],10,TRUE)</f>
        <v>Mobile Apps</v>
      </c>
      <c r="H607" s="13" t="str">
        <f>VLOOKUP($A607,Table1[],12,TRUE)</f>
        <v>1</v>
      </c>
      <c r="I607" s="20">
        <v>30</v>
      </c>
      <c r="J607" s="15">
        <f>VLOOKUP($A607,Table1[],18,TRUE)</f>
        <v>1.2</v>
      </c>
      <c r="K607" s="12" t="str">
        <f>VLOOKUP($A607,Table1[],22,TRUE)</f>
        <v>TRUE</v>
      </c>
      <c r="L607" s="13">
        <f>VLOOKUP($A607,Table1[],25,TRUE)</f>
        <v>0.73</v>
      </c>
    </row>
    <row r="608" spans="1:12" x14ac:dyDescent="0.25">
      <c r="A608" t="s">
        <v>1294</v>
      </c>
      <c r="B608" s="18" t="str">
        <f>VLOOKUP(A608,Table1[],3,TRUE)</f>
        <v>Thomas Davis</v>
      </c>
      <c r="C608" s="18" t="str">
        <f>VLOOKUP($A608,Table1[],5,TRUE)</f>
        <v>Male</v>
      </c>
      <c r="D608" s="3" t="str">
        <f>VLOOKUP($A608,Table1[],7,TRUE)</f>
        <v>35</v>
      </c>
      <c r="E608" s="3" t="str">
        <f>VLOOKUP($A608,Table1[],8,TRUE)</f>
        <v>Italy</v>
      </c>
      <c r="F608" s="3" t="str">
        <f>VLOOKUP($A608,Table1[],9,TRUE)</f>
        <v>Italian</v>
      </c>
      <c r="G608" s="3" t="str">
        <f>VLOOKUP($A608,Table1[],10,TRUE)</f>
        <v>UI/UX Design</v>
      </c>
      <c r="H608" s="13" t="str">
        <f>VLOOKUP($A608,Table1[],12,TRUE)</f>
        <v>16</v>
      </c>
      <c r="I608" s="20">
        <v>50</v>
      </c>
      <c r="J608" s="15">
        <f>VLOOKUP($A608,Table1[],18,TRUE)</f>
        <v>1.3</v>
      </c>
      <c r="K608" s="12" t="str">
        <f>VLOOKUP($A608,Table1[],22,TRUE)</f>
        <v>TRUE</v>
      </c>
      <c r="L608" s="13">
        <f>VLOOKUP($A608,Table1[],25,TRUE)</f>
        <v>0.64</v>
      </c>
    </row>
    <row r="609" spans="1:12" x14ac:dyDescent="0.25">
      <c r="A609" t="s">
        <v>1296</v>
      </c>
      <c r="B609" s="18" t="str">
        <f>VLOOKUP(A609,Table1[],3,TRUE)</f>
        <v>Thomas Mooney</v>
      </c>
      <c r="C609" s="18" t="str">
        <f>VLOOKUP($A609,Table1[],5,TRUE)</f>
        <v>Male</v>
      </c>
      <c r="D609" s="3" t="str">
        <f>VLOOKUP($A609,Table1[],7,TRUE)</f>
        <v>27</v>
      </c>
      <c r="E609" s="3" t="str">
        <f>VLOOKUP($A609,Table1[],8,TRUE)</f>
        <v>Brazil</v>
      </c>
      <c r="F609" s="3" t="str">
        <f>VLOOKUP($A609,Table1[],9,TRUE)</f>
        <v>Portuguese</v>
      </c>
      <c r="G609" s="3" t="str">
        <f>VLOOKUP($A609,Table1[],10,TRUE)</f>
        <v>Web Development</v>
      </c>
      <c r="H609" s="13" t="str">
        <f>VLOOKUP($A609,Table1[],12,TRUE)</f>
        <v>9</v>
      </c>
      <c r="I609" s="20">
        <v>100</v>
      </c>
      <c r="J609" s="15">
        <f>VLOOKUP($A609,Table1[],18,TRUE)</f>
        <v>2.6</v>
      </c>
      <c r="K609" s="12" t="str">
        <f>VLOOKUP($A609,Table1[],22,TRUE)</f>
        <v>TRUE</v>
      </c>
      <c r="L609" s="13">
        <f>VLOOKUP($A609,Table1[],25,TRUE)</f>
        <v>0.75</v>
      </c>
    </row>
    <row r="610" spans="1:12" x14ac:dyDescent="0.25">
      <c r="A610" t="s">
        <v>1298</v>
      </c>
      <c r="B610" s="18" t="str">
        <f>VLOOKUP(A610,Table1[],3,TRUE)</f>
        <v>Susan Smith</v>
      </c>
      <c r="C610" s="18" t="str">
        <f>VLOOKUP($A610,Table1[],5,TRUE)</f>
        <v>Female</v>
      </c>
      <c r="D610" s="3" t="str">
        <f>VLOOKUP($A610,Table1[],7,TRUE)</f>
        <v>42</v>
      </c>
      <c r="E610" s="3" t="str">
        <f>VLOOKUP($A610,Table1[],8,TRUE)</f>
        <v>Turkey</v>
      </c>
      <c r="F610" s="3" t="str">
        <f>VLOOKUP($A610,Table1[],9,TRUE)</f>
        <v>Turkish</v>
      </c>
      <c r="G610" s="3" t="str">
        <f>VLOOKUP($A610,Table1[],10,TRUE)</f>
        <v>Mobile Apps</v>
      </c>
      <c r="H610" s="13" t="str">
        <f>VLOOKUP($A610,Table1[],12,TRUE)</f>
        <v>20</v>
      </c>
      <c r="I610" s="20">
        <v>50</v>
      </c>
      <c r="J610" s="15">
        <f>VLOOKUP($A610,Table1[],18,TRUE)</f>
        <v>3.8</v>
      </c>
      <c r="K610" s="12" t="str">
        <f>VLOOKUP($A610,Table1[],22,TRUE)</f>
        <v>FALSE</v>
      </c>
      <c r="L610" s="13">
        <f>VLOOKUP($A610,Table1[],25,TRUE)</f>
        <v>0.93</v>
      </c>
    </row>
    <row r="611" spans="1:12" x14ac:dyDescent="0.25">
      <c r="A611" t="s">
        <v>1300</v>
      </c>
      <c r="B611" s="18" t="str">
        <f>VLOOKUP(A611,Table1[],3,TRUE)</f>
        <v>Brianna Orr</v>
      </c>
      <c r="C611" s="18" t="str">
        <f>VLOOKUP($A611,Table1[],5,TRUE)</f>
        <v>Female</v>
      </c>
      <c r="D611" s="3" t="str">
        <f>VLOOKUP($A611,Table1[],7,TRUE)</f>
        <v>52</v>
      </c>
      <c r="E611" s="3" t="str">
        <f>VLOOKUP($A611,Table1[],8,TRUE)</f>
        <v>Canada</v>
      </c>
      <c r="F611" s="3" t="str">
        <f>VLOOKUP($A611,Table1[],9,TRUE)</f>
        <v>English</v>
      </c>
      <c r="G611" s="3" t="str">
        <f>VLOOKUP($A611,Table1[],10,TRUE)</f>
        <v>Blockchain Development</v>
      </c>
      <c r="H611" s="13" t="str">
        <f>VLOOKUP($A611,Table1[],12,TRUE)</f>
        <v>29</v>
      </c>
      <c r="I611" s="20">
        <v>30</v>
      </c>
      <c r="J611" s="15">
        <f>VLOOKUP($A611,Table1[],18,TRUE)</f>
        <v>3.8</v>
      </c>
      <c r="K611" s="12" t="str">
        <f>VLOOKUP($A611,Table1[],22,TRUE)</f>
        <v>FALSE</v>
      </c>
      <c r="L611" s="13">
        <f>VLOOKUP($A611,Table1[],25,TRUE)</f>
        <v>0.68</v>
      </c>
    </row>
    <row r="612" spans="1:12" x14ac:dyDescent="0.25">
      <c r="A612" t="s">
        <v>1302</v>
      </c>
      <c r="B612" s="18" t="str">
        <f>VLOOKUP(A612,Table1[],3,TRUE)</f>
        <v>Dustin Smith</v>
      </c>
      <c r="C612" s="18" t="str">
        <f>VLOOKUP($A612,Table1[],5,TRUE)</f>
        <v>Male</v>
      </c>
      <c r="D612" s="3" t="str">
        <f>VLOOKUP($A612,Table1[],7,TRUE)</f>
        <v>53</v>
      </c>
      <c r="E612" s="3" t="str">
        <f>VLOOKUP($A612,Table1[],8,TRUE)</f>
        <v>South Korea</v>
      </c>
      <c r="F612" s="3" t="str">
        <f>VLOOKUP($A612,Table1[],9,TRUE)</f>
        <v>Korean</v>
      </c>
      <c r="G612" s="3" t="str">
        <f>VLOOKUP($A612,Table1[],10,TRUE)</f>
        <v>Web Development</v>
      </c>
      <c r="H612" s="13" t="str">
        <f>VLOOKUP($A612,Table1[],12,TRUE)</f>
        <v>21</v>
      </c>
      <c r="I612" s="20">
        <v>40</v>
      </c>
      <c r="J612" s="15">
        <f>VLOOKUP($A612,Table1[],18,TRUE)</f>
        <v>4.7</v>
      </c>
      <c r="K612" s="12" t="str">
        <f>VLOOKUP($A612,Table1[],22,TRUE)</f>
        <v>TRUE</v>
      </c>
      <c r="L612" s="13">
        <f>VLOOKUP($A612,Table1[],25,TRUE)</f>
        <v>0.62</v>
      </c>
    </row>
    <row r="613" spans="1:12" x14ac:dyDescent="0.25">
      <c r="A613" t="s">
        <v>1304</v>
      </c>
      <c r="B613" s="18" t="str">
        <f>VLOOKUP(A613,Table1[],3,TRUE)</f>
        <v>Sarah White</v>
      </c>
      <c r="C613" s="18" t="str">
        <f>VLOOKUP($A613,Table1[],5,TRUE)</f>
        <v>Female</v>
      </c>
      <c r="D613" s="3" t="str">
        <f>VLOOKUP($A613,Table1[],7,TRUE)</f>
        <v>54</v>
      </c>
      <c r="E613" s="3" t="str">
        <f>VLOOKUP($A613,Table1[],8,TRUE)</f>
        <v>Italy</v>
      </c>
      <c r="F613" s="3" t="str">
        <f>VLOOKUP($A613,Table1[],9,TRUE)</f>
        <v>Italian</v>
      </c>
      <c r="G613" s="3" t="str">
        <f>VLOOKUP($A613,Table1[],10,TRUE)</f>
        <v>Mobile Apps</v>
      </c>
      <c r="H613" s="13" t="str">
        <f>VLOOKUP($A613,Table1[],12,TRUE)</f>
        <v>28</v>
      </c>
      <c r="I613" s="20">
        <v>40</v>
      </c>
      <c r="J613" s="15">
        <f>VLOOKUP($A613,Table1[],18,TRUE)</f>
        <v>1.1000000000000001</v>
      </c>
      <c r="K613" s="12" t="str">
        <f>VLOOKUP($A613,Table1[],22,TRUE)</f>
        <v>FALSE</v>
      </c>
      <c r="L613" s="13">
        <f>VLOOKUP($A613,Table1[],25,TRUE)</f>
        <v>0.75</v>
      </c>
    </row>
    <row r="614" spans="1:12" x14ac:dyDescent="0.25">
      <c r="A614" t="s">
        <v>1306</v>
      </c>
      <c r="B614" s="18" t="str">
        <f>VLOOKUP(A614,Table1[],3,TRUE)</f>
        <v>Michael Davis</v>
      </c>
      <c r="C614" s="18" t="str">
        <f>VLOOKUP($A614,Table1[],5,TRUE)</f>
        <v>Male</v>
      </c>
      <c r="D614" s="3" t="str">
        <f>VLOOKUP($A614,Table1[],7,TRUE)</f>
        <v>51</v>
      </c>
      <c r="E614" s="3" t="str">
        <f>VLOOKUP($A614,Table1[],8,TRUE)</f>
        <v>Japan</v>
      </c>
      <c r="F614" s="3" t="str">
        <f>VLOOKUP($A614,Table1[],9,TRUE)</f>
        <v>Japanese</v>
      </c>
      <c r="G614" s="3" t="str">
        <f>VLOOKUP($A614,Table1[],10,TRUE)</f>
        <v>Graphic Design</v>
      </c>
      <c r="H614" s="13" t="str">
        <f>VLOOKUP($A614,Table1[],12,TRUE)</f>
        <v>5</v>
      </c>
      <c r="I614" s="20">
        <v>50</v>
      </c>
      <c r="J614" s="15">
        <f>VLOOKUP($A614,Table1[],18,TRUE)</f>
        <v>4.2</v>
      </c>
      <c r="K614" s="12" t="str">
        <f>VLOOKUP($A614,Table1[],22,TRUE)</f>
        <v>TRUE</v>
      </c>
      <c r="L614" s="13">
        <f>VLOOKUP($A614,Table1[],25,TRUE)</f>
        <v>0.82</v>
      </c>
    </row>
    <row r="615" spans="1:12" x14ac:dyDescent="0.25">
      <c r="A615" t="s">
        <v>1308</v>
      </c>
      <c r="B615" s="18" t="str">
        <f>VLOOKUP(A615,Table1[],3,TRUE)</f>
        <v>Jennifer Phillips</v>
      </c>
      <c r="C615" s="18" t="str">
        <f>VLOOKUP($A615,Table1[],5,TRUE)</f>
        <v>Female</v>
      </c>
      <c r="D615" s="3" t="str">
        <f>VLOOKUP($A615,Table1[],7,TRUE)</f>
        <v>30</v>
      </c>
      <c r="E615" s="3" t="str">
        <f>VLOOKUP($A615,Table1[],8,TRUE)</f>
        <v>South Korea</v>
      </c>
      <c r="F615" s="3" t="str">
        <f>VLOOKUP($A615,Table1[],9,TRUE)</f>
        <v>Korean</v>
      </c>
      <c r="G615" s="3" t="str">
        <f>VLOOKUP($A615,Table1[],10,TRUE)</f>
        <v>Web Development</v>
      </c>
      <c r="H615" s="13" t="str">
        <f>VLOOKUP($A615,Table1[],12,TRUE)</f>
        <v>0</v>
      </c>
      <c r="I615" s="20">
        <v>50</v>
      </c>
      <c r="J615" s="15">
        <f>VLOOKUP($A615,Table1[],18,TRUE)</f>
        <v>0</v>
      </c>
      <c r="K615" s="12" t="str">
        <f>VLOOKUP($A615,Table1[],22,TRUE)</f>
        <v>FALSE</v>
      </c>
      <c r="L615" s="13">
        <f>VLOOKUP($A615,Table1[],25,TRUE)</f>
        <v>0.75</v>
      </c>
    </row>
    <row r="616" spans="1:12" x14ac:dyDescent="0.25">
      <c r="A616" t="s">
        <v>1310</v>
      </c>
      <c r="B616" s="18" t="str">
        <f>VLOOKUP(A616,Table1[],3,TRUE)</f>
        <v>Dana Sanders</v>
      </c>
      <c r="C616" s="18" t="str">
        <f>VLOOKUP($A616,Table1[],5,TRUE)</f>
        <v>Female</v>
      </c>
      <c r="D616" s="3" t="str">
        <f>VLOOKUP($A616,Table1[],7,TRUE)</f>
        <v>45</v>
      </c>
      <c r="E616" s="3" t="str">
        <f>VLOOKUP($A616,Table1[],8,TRUE)</f>
        <v>Netherlands</v>
      </c>
      <c r="F616" s="3" t="str">
        <f>VLOOKUP($A616,Table1[],9,TRUE)</f>
        <v>Dutch</v>
      </c>
      <c r="G616" s="3" t="str">
        <f>VLOOKUP($A616,Table1[],10,TRUE)</f>
        <v>Machine Learning</v>
      </c>
      <c r="H616" s="13" t="str">
        <f>VLOOKUP($A616,Table1[],12,TRUE)</f>
        <v>27</v>
      </c>
      <c r="I616" s="20">
        <v>75</v>
      </c>
      <c r="J616" s="15">
        <f>VLOOKUP($A616,Table1[],18,TRUE)</f>
        <v>0</v>
      </c>
      <c r="K616" s="12" t="str">
        <f>VLOOKUP($A616,Table1[],22,TRUE)</f>
        <v>TRUE</v>
      </c>
      <c r="L616" s="13">
        <f>VLOOKUP($A616,Table1[],25,TRUE)</f>
        <v>0.85</v>
      </c>
    </row>
    <row r="617" spans="1:12" x14ac:dyDescent="0.25">
      <c r="A617" t="s">
        <v>1312</v>
      </c>
      <c r="B617" s="18" t="str">
        <f>VLOOKUP(A617,Table1[],3,TRUE)</f>
        <v>Daniel Quinn</v>
      </c>
      <c r="C617" s="18" t="str">
        <f>VLOOKUP($A617,Table1[],5,TRUE)</f>
        <v>Male</v>
      </c>
      <c r="D617" s="3" t="str">
        <f>VLOOKUP($A617,Table1[],7,TRUE)</f>
        <v>57</v>
      </c>
      <c r="E617" s="3" t="str">
        <f>VLOOKUP($A617,Table1[],8,TRUE)</f>
        <v>Indonesia</v>
      </c>
      <c r="F617" s="3" t="str">
        <f>VLOOKUP($A617,Table1[],9,TRUE)</f>
        <v>Indonesian</v>
      </c>
      <c r="G617" s="3" t="str">
        <f>VLOOKUP($A617,Table1[],10,TRUE)</f>
        <v>Graphic Design</v>
      </c>
      <c r="H617" s="13" t="str">
        <f>VLOOKUP($A617,Table1[],12,TRUE)</f>
        <v>26</v>
      </c>
      <c r="I617" s="20">
        <v>100</v>
      </c>
      <c r="J617" s="15">
        <f>VLOOKUP($A617,Table1[],18,TRUE)</f>
        <v>2.4</v>
      </c>
      <c r="K617" s="12" t="str">
        <f>VLOOKUP($A617,Table1[],22,TRUE)</f>
        <v>TRUE</v>
      </c>
      <c r="L617" s="13">
        <f>VLOOKUP($A617,Table1[],25,TRUE)</f>
        <v>0.78</v>
      </c>
    </row>
    <row r="618" spans="1:12" x14ac:dyDescent="0.25">
      <c r="A618" t="s">
        <v>1314</v>
      </c>
      <c r="B618" s="18" t="str">
        <f>VLOOKUP(A618,Table1[],3,TRUE)</f>
        <v>Matthew Steele</v>
      </c>
      <c r="C618" s="18" t="str">
        <f>VLOOKUP($A618,Table1[],5,TRUE)</f>
        <v>Male</v>
      </c>
      <c r="D618" s="3" t="str">
        <f>VLOOKUP($A618,Table1[],7,TRUE)</f>
        <v>38</v>
      </c>
      <c r="E618" s="3" t="str">
        <f>VLOOKUP($A618,Table1[],8,TRUE)</f>
        <v>Turkey</v>
      </c>
      <c r="F618" s="3" t="str">
        <f>VLOOKUP($A618,Table1[],9,TRUE)</f>
        <v>Turkish</v>
      </c>
      <c r="G618" s="3" t="str">
        <f>VLOOKUP($A618,Table1[],10,TRUE)</f>
        <v>Blockchain Development</v>
      </c>
      <c r="H618" s="13" t="str">
        <f>VLOOKUP($A618,Table1[],12,TRUE)</f>
        <v>19</v>
      </c>
      <c r="I618" s="20">
        <v>40</v>
      </c>
      <c r="J618" s="15">
        <f>VLOOKUP($A618,Table1[],18,TRUE)</f>
        <v>0</v>
      </c>
      <c r="K618" s="12" t="str">
        <f>VLOOKUP($A618,Table1[],22,TRUE)</f>
        <v>TRUE</v>
      </c>
      <c r="L618" s="13">
        <f>VLOOKUP($A618,Table1[],25,TRUE)</f>
        <v>0.86</v>
      </c>
    </row>
    <row r="619" spans="1:12" x14ac:dyDescent="0.25">
      <c r="A619" t="s">
        <v>1316</v>
      </c>
      <c r="B619" s="18" t="str">
        <f>VLOOKUP(A619,Table1[],3,TRUE)</f>
        <v>Michele Taylor</v>
      </c>
      <c r="C619" s="18" t="str">
        <f>VLOOKUP($A619,Table1[],5,TRUE)</f>
        <v>Female</v>
      </c>
      <c r="D619" s="3" t="str">
        <f>VLOOKUP($A619,Table1[],7,TRUE)</f>
        <v>42</v>
      </c>
      <c r="E619" s="3" t="str">
        <f>VLOOKUP($A619,Table1[],8,TRUE)</f>
        <v>Russia</v>
      </c>
      <c r="F619" s="3" t="str">
        <f>VLOOKUP($A619,Table1[],9,TRUE)</f>
        <v>Russian</v>
      </c>
      <c r="G619" s="3" t="str">
        <f>VLOOKUP($A619,Table1[],10,TRUE)</f>
        <v>DevOps</v>
      </c>
      <c r="H619" s="13" t="str">
        <f>VLOOKUP($A619,Table1[],12,TRUE)</f>
        <v>24</v>
      </c>
      <c r="I619" s="20">
        <v>40</v>
      </c>
      <c r="J619" s="15">
        <f>VLOOKUP($A619,Table1[],18,TRUE)</f>
        <v>2.6</v>
      </c>
      <c r="K619" s="12" t="str">
        <f>VLOOKUP($A619,Table1[],22,TRUE)</f>
        <v>TRUE</v>
      </c>
      <c r="L619" s="13">
        <f>VLOOKUP($A619,Table1[],25,TRUE)</f>
        <v>0.88</v>
      </c>
    </row>
    <row r="620" spans="1:12" x14ac:dyDescent="0.25">
      <c r="A620" t="s">
        <v>1318</v>
      </c>
      <c r="B620" s="18" t="str">
        <f>VLOOKUP(A620,Table1[],3,TRUE)</f>
        <v>Ashley Hammond</v>
      </c>
      <c r="C620" s="18" t="str">
        <f>VLOOKUP($A620,Table1[],5,TRUE)</f>
        <v>Female</v>
      </c>
      <c r="D620" s="3" t="str">
        <f>VLOOKUP($A620,Table1[],7,TRUE)</f>
        <v>30</v>
      </c>
      <c r="E620" s="3" t="str">
        <f>VLOOKUP($A620,Table1[],8,TRUE)</f>
        <v>South Africa</v>
      </c>
      <c r="F620" s="3" t="str">
        <f>VLOOKUP($A620,Table1[],9,TRUE)</f>
        <v>Afrikaans</v>
      </c>
      <c r="G620" s="3" t="str">
        <f>VLOOKUP($A620,Table1[],10,TRUE)</f>
        <v>DevOps</v>
      </c>
      <c r="H620" s="13" t="str">
        <f>VLOOKUP($A620,Table1[],12,TRUE)</f>
        <v>7</v>
      </c>
      <c r="I620" s="20">
        <v>30</v>
      </c>
      <c r="J620" s="15">
        <f>VLOOKUP($A620,Table1[],18,TRUE)</f>
        <v>3.3</v>
      </c>
      <c r="K620" s="12" t="str">
        <f>VLOOKUP($A620,Table1[],22,TRUE)</f>
        <v>TRUE</v>
      </c>
      <c r="L620" s="13">
        <f>VLOOKUP($A620,Table1[],25,TRUE)</f>
        <v>0.68</v>
      </c>
    </row>
    <row r="621" spans="1:12" x14ac:dyDescent="0.25">
      <c r="A621" t="s">
        <v>1320</v>
      </c>
      <c r="B621" s="18" t="str">
        <f>VLOOKUP(A621,Table1[],3,TRUE)</f>
        <v>Nicole Taylor</v>
      </c>
      <c r="C621" s="18" t="str">
        <f>VLOOKUP($A621,Table1[],5,TRUE)</f>
        <v>Female</v>
      </c>
      <c r="D621" s="3" t="str">
        <f>VLOOKUP($A621,Table1[],7,TRUE)</f>
        <v>43</v>
      </c>
      <c r="E621" s="3" t="str">
        <f>VLOOKUP($A621,Table1[],8,TRUE)</f>
        <v>Australia</v>
      </c>
      <c r="F621" s="3" t="str">
        <f>VLOOKUP($A621,Table1[],9,TRUE)</f>
        <v>English</v>
      </c>
      <c r="G621" s="3" t="str">
        <f>VLOOKUP($A621,Table1[],10,TRUE)</f>
        <v>Web Development</v>
      </c>
      <c r="H621" s="13" t="str">
        <f>VLOOKUP($A621,Table1[],12,TRUE)</f>
        <v>13</v>
      </c>
      <c r="I621" s="20">
        <v>100</v>
      </c>
      <c r="J621" s="15">
        <f>VLOOKUP($A621,Table1[],18,TRUE)</f>
        <v>1.4</v>
      </c>
      <c r="K621" s="12" t="str">
        <f>VLOOKUP($A621,Table1[],22,TRUE)</f>
        <v>TRUE</v>
      </c>
      <c r="L621" s="13">
        <f>VLOOKUP($A621,Table1[],25,TRUE)</f>
        <v>0.97</v>
      </c>
    </row>
    <row r="622" spans="1:12" x14ac:dyDescent="0.25">
      <c r="A622" t="s">
        <v>1322</v>
      </c>
      <c r="B622" s="18" t="str">
        <f>VLOOKUP(A622,Table1[],3,TRUE)</f>
        <v>Casey Bush</v>
      </c>
      <c r="C622" s="18" t="str">
        <f>VLOOKUP($A622,Table1[],5,TRUE)</f>
        <v>Male</v>
      </c>
      <c r="D622" s="3" t="str">
        <f>VLOOKUP($A622,Table1[],7,TRUE)</f>
        <v>22</v>
      </c>
      <c r="E622" s="3" t="str">
        <f>VLOOKUP($A622,Table1[],8,TRUE)</f>
        <v>Egypt</v>
      </c>
      <c r="F622" s="3" t="str">
        <f>VLOOKUP($A622,Table1[],9,TRUE)</f>
        <v>Arabic</v>
      </c>
      <c r="G622" s="3" t="str">
        <f>VLOOKUP($A622,Table1[],10,TRUE)</f>
        <v>UI/UX Design</v>
      </c>
      <c r="H622" s="13" t="str">
        <f>VLOOKUP($A622,Table1[],12,TRUE)</f>
        <v>2</v>
      </c>
      <c r="I622" s="20">
        <v>75</v>
      </c>
      <c r="J622" s="15">
        <f>VLOOKUP($A622,Table1[],18,TRUE)</f>
        <v>1.7</v>
      </c>
      <c r="K622" s="12" t="str">
        <f>VLOOKUP($A622,Table1[],22,TRUE)</f>
        <v>FALSE</v>
      </c>
      <c r="L622" s="13">
        <f>VLOOKUP($A622,Table1[],25,TRUE)</f>
        <v>0.91</v>
      </c>
    </row>
    <row r="623" spans="1:12" x14ac:dyDescent="0.25">
      <c r="A623" t="s">
        <v>1324</v>
      </c>
      <c r="B623" s="18" t="str">
        <f>VLOOKUP(A623,Table1[],3,TRUE)</f>
        <v>Samuel Patterson</v>
      </c>
      <c r="C623" s="18" t="str">
        <f>VLOOKUP($A623,Table1[],5,TRUE)</f>
        <v>Male</v>
      </c>
      <c r="D623" s="3" t="str">
        <f>VLOOKUP($A623,Table1[],7,TRUE)</f>
        <v>57</v>
      </c>
      <c r="E623" s="3" t="str">
        <f>VLOOKUP($A623,Table1[],8,TRUE)</f>
        <v>Mexico</v>
      </c>
      <c r="F623" s="3" t="str">
        <f>VLOOKUP($A623,Table1[],9,TRUE)</f>
        <v>Spanish</v>
      </c>
      <c r="G623" s="3" t="str">
        <f>VLOOKUP($A623,Table1[],10,TRUE)</f>
        <v>Machine Learning</v>
      </c>
      <c r="H623" s="13" t="str">
        <f>VLOOKUP($A623,Table1[],12,TRUE)</f>
        <v>37</v>
      </c>
      <c r="I623" s="20">
        <v>30</v>
      </c>
      <c r="J623" s="15">
        <f>VLOOKUP($A623,Table1[],18,TRUE)</f>
        <v>4.8</v>
      </c>
      <c r="K623" s="12" t="str">
        <f>VLOOKUP($A623,Table1[],22,TRUE)</f>
        <v>TRUE</v>
      </c>
      <c r="L623" s="13">
        <f>VLOOKUP($A623,Table1[],25,TRUE)</f>
        <v>0.75</v>
      </c>
    </row>
    <row r="624" spans="1:12" x14ac:dyDescent="0.25">
      <c r="A624" t="s">
        <v>1326</v>
      </c>
      <c r="B624" s="18" t="str">
        <f>VLOOKUP(A624,Table1[],3,TRUE)</f>
        <v>Craig Dennis</v>
      </c>
      <c r="C624" s="18" t="str">
        <f>VLOOKUP($A624,Table1[],5,TRUE)</f>
        <v>Male</v>
      </c>
      <c r="D624" s="3" t="str">
        <f>VLOOKUP($A624,Table1[],7,TRUE)</f>
        <v>44</v>
      </c>
      <c r="E624" s="3" t="str">
        <f>VLOOKUP($A624,Table1[],8,TRUE)</f>
        <v>United Kingdom</v>
      </c>
      <c r="F624" s="3" t="str">
        <f>VLOOKUP($A624,Table1[],9,TRUE)</f>
        <v>English</v>
      </c>
      <c r="G624" s="3" t="str">
        <f>VLOOKUP($A624,Table1[],10,TRUE)</f>
        <v>Graphic Design</v>
      </c>
      <c r="H624" s="13" t="str">
        <f>VLOOKUP($A624,Table1[],12,TRUE)</f>
        <v>1</v>
      </c>
      <c r="I624" s="20">
        <v>50</v>
      </c>
      <c r="J624" s="15">
        <f>VLOOKUP($A624,Table1[],18,TRUE)</f>
        <v>4.8</v>
      </c>
      <c r="K624" s="12" t="str">
        <f>VLOOKUP($A624,Table1[],22,TRUE)</f>
        <v>FALSE</v>
      </c>
      <c r="L624" s="13">
        <f>VLOOKUP($A624,Table1[],25,TRUE)</f>
        <v>0.97</v>
      </c>
    </row>
    <row r="625" spans="1:12" x14ac:dyDescent="0.25">
      <c r="A625" t="s">
        <v>1328</v>
      </c>
      <c r="B625" s="18" t="str">
        <f>VLOOKUP(A625,Table1[],3,TRUE)</f>
        <v>Heidi Dixon</v>
      </c>
      <c r="C625" s="18" t="str">
        <f>VLOOKUP($A625,Table1[],5,TRUE)</f>
        <v>Female</v>
      </c>
      <c r="D625" s="3" t="str">
        <f>VLOOKUP($A625,Table1[],7,TRUE)</f>
        <v>46</v>
      </c>
      <c r="E625" s="3" t="str">
        <f>VLOOKUP($A625,Table1[],8,TRUE)</f>
        <v>China</v>
      </c>
      <c r="F625" s="3" t="str">
        <f>VLOOKUP($A625,Table1[],9,TRUE)</f>
        <v>Mandarin</v>
      </c>
      <c r="G625" s="3" t="str">
        <f>VLOOKUP($A625,Table1[],10,TRUE)</f>
        <v>DevOps</v>
      </c>
      <c r="H625" s="13" t="str">
        <f>VLOOKUP($A625,Table1[],12,TRUE)</f>
        <v>5</v>
      </c>
      <c r="I625" s="20">
        <v>30</v>
      </c>
      <c r="J625" s="15">
        <f>VLOOKUP($A625,Table1[],18,TRUE)</f>
        <v>2</v>
      </c>
      <c r="K625" s="12" t="str">
        <f>VLOOKUP($A625,Table1[],22,TRUE)</f>
        <v>TRUE</v>
      </c>
      <c r="L625" s="13">
        <f>VLOOKUP($A625,Table1[],25,TRUE)</f>
        <v>0.64</v>
      </c>
    </row>
    <row r="626" spans="1:12" x14ac:dyDescent="0.25">
      <c r="A626" t="s">
        <v>1330</v>
      </c>
      <c r="B626" s="18" t="str">
        <f>VLOOKUP(A626,Table1[],3,TRUE)</f>
        <v>David Bishop</v>
      </c>
      <c r="C626" s="18" t="str">
        <f>VLOOKUP($A626,Table1[],5,TRUE)</f>
        <v>Male</v>
      </c>
      <c r="D626" s="3" t="str">
        <f>VLOOKUP($A626,Table1[],7,TRUE)</f>
        <v>Unknown</v>
      </c>
      <c r="E626" s="3" t="str">
        <f>VLOOKUP($A626,Table1[],8,TRUE)</f>
        <v>Spain</v>
      </c>
      <c r="F626" s="3" t="str">
        <f>VLOOKUP($A626,Table1[],9,TRUE)</f>
        <v>Spanish</v>
      </c>
      <c r="G626" s="3" t="str">
        <f>VLOOKUP($A626,Table1[],10,TRUE)</f>
        <v>Blockchain Development</v>
      </c>
      <c r="H626" s="13" t="str">
        <f>VLOOKUP($A626,Table1[],12,TRUE)</f>
        <v>1</v>
      </c>
      <c r="I626" s="20">
        <v>50</v>
      </c>
      <c r="J626" s="15">
        <f>VLOOKUP($A626,Table1[],18,TRUE)</f>
        <v>2.8</v>
      </c>
      <c r="K626" s="12" t="str">
        <f>VLOOKUP($A626,Table1[],22,TRUE)</f>
        <v>FALSE</v>
      </c>
      <c r="L626" s="13">
        <f>VLOOKUP($A626,Table1[],25,TRUE)</f>
        <v>0.87</v>
      </c>
    </row>
    <row r="627" spans="1:12" x14ac:dyDescent="0.25">
      <c r="A627" t="s">
        <v>1332</v>
      </c>
      <c r="B627" s="18" t="str">
        <f>VLOOKUP(A627,Table1[],3,TRUE)</f>
        <v>Laura Butler</v>
      </c>
      <c r="C627" s="18" t="str">
        <f>VLOOKUP($A627,Table1[],5,TRUE)</f>
        <v>Female</v>
      </c>
      <c r="D627" s="3" t="str">
        <f>VLOOKUP($A627,Table1[],7,TRUE)</f>
        <v>34</v>
      </c>
      <c r="E627" s="3" t="str">
        <f>VLOOKUP($A627,Table1[],8,TRUE)</f>
        <v>Australia</v>
      </c>
      <c r="F627" s="3" t="str">
        <f>VLOOKUP($A627,Table1[],9,TRUE)</f>
        <v>English</v>
      </c>
      <c r="G627" s="3" t="str">
        <f>VLOOKUP($A627,Table1[],10,TRUE)</f>
        <v>Data Analysis</v>
      </c>
      <c r="H627" s="13" t="str">
        <f>VLOOKUP($A627,Table1[],12,TRUE)</f>
        <v>2</v>
      </c>
      <c r="I627" s="20">
        <v>100</v>
      </c>
      <c r="J627" s="15">
        <f>VLOOKUP($A627,Table1[],18,TRUE)</f>
        <v>0</v>
      </c>
      <c r="K627" s="12" t="str">
        <f>VLOOKUP($A627,Table1[],22,TRUE)</f>
        <v>FALSE</v>
      </c>
      <c r="L627" s="13">
        <f>VLOOKUP($A627,Table1[],25,TRUE)</f>
        <v>0.86</v>
      </c>
    </row>
    <row r="628" spans="1:12" x14ac:dyDescent="0.25">
      <c r="A628" t="s">
        <v>1334</v>
      </c>
      <c r="B628" s="18" t="str">
        <f>VLOOKUP(A628,Table1[],3,TRUE)</f>
        <v>Denise Erickson</v>
      </c>
      <c r="C628" s="18" t="str">
        <f>VLOOKUP($A628,Table1[],5,TRUE)</f>
        <v>Female</v>
      </c>
      <c r="D628" s="3" t="str">
        <f>VLOOKUP($A628,Table1[],7,TRUE)</f>
        <v>46</v>
      </c>
      <c r="E628" s="3" t="str">
        <f>VLOOKUP($A628,Table1[],8,TRUE)</f>
        <v>Italy</v>
      </c>
      <c r="F628" s="3" t="str">
        <f>VLOOKUP($A628,Table1[],9,TRUE)</f>
        <v>Italian</v>
      </c>
      <c r="G628" s="3" t="str">
        <f>VLOOKUP($A628,Table1[],10,TRUE)</f>
        <v>Mobile Apps</v>
      </c>
      <c r="H628" s="13" t="str">
        <f>VLOOKUP($A628,Table1[],12,TRUE)</f>
        <v>Unknown</v>
      </c>
      <c r="I628" s="20">
        <v>100</v>
      </c>
      <c r="J628" s="15">
        <f>VLOOKUP($A628,Table1[],18,TRUE)</f>
        <v>4.4000000000000004</v>
      </c>
      <c r="K628" s="12" t="str">
        <f>VLOOKUP($A628,Table1[],22,TRUE)</f>
        <v>TRUE</v>
      </c>
      <c r="L628" s="13">
        <f>VLOOKUP($A628,Table1[],25,TRUE)</f>
        <v>0.97</v>
      </c>
    </row>
    <row r="629" spans="1:12" x14ac:dyDescent="0.25">
      <c r="A629" t="s">
        <v>1336</v>
      </c>
      <c r="B629" s="18" t="str">
        <f>VLOOKUP(A629,Table1[],3,TRUE)</f>
        <v>Nicole Austin</v>
      </c>
      <c r="C629" s="18" t="str">
        <f>VLOOKUP($A629,Table1[],5,TRUE)</f>
        <v>Female</v>
      </c>
      <c r="D629" s="3" t="str">
        <f>VLOOKUP($A629,Table1[],7,TRUE)</f>
        <v>22</v>
      </c>
      <c r="E629" s="3" t="str">
        <f>VLOOKUP($A629,Table1[],8,TRUE)</f>
        <v>France</v>
      </c>
      <c r="F629" s="3" t="str">
        <f>VLOOKUP($A629,Table1[],9,TRUE)</f>
        <v>French</v>
      </c>
      <c r="G629" s="3" t="str">
        <f>VLOOKUP($A629,Table1[],10,TRUE)</f>
        <v>Blockchain Development</v>
      </c>
      <c r="H629" s="13" t="str">
        <f>VLOOKUP($A629,Table1[],12,TRUE)</f>
        <v>0</v>
      </c>
      <c r="I629" s="20">
        <v>30</v>
      </c>
      <c r="J629" s="15">
        <f>VLOOKUP($A629,Table1[],18,TRUE)</f>
        <v>4.9000000000000004</v>
      </c>
      <c r="K629" s="12" t="str">
        <f>VLOOKUP($A629,Table1[],22,TRUE)</f>
        <v>TRUE</v>
      </c>
      <c r="L629" s="13">
        <f>VLOOKUP($A629,Table1[],25,TRUE)</f>
        <v>0.73</v>
      </c>
    </row>
    <row r="630" spans="1:12" x14ac:dyDescent="0.25">
      <c r="A630" t="s">
        <v>1338</v>
      </c>
      <c r="B630" s="18" t="str">
        <f>VLOOKUP(A630,Table1[],3,TRUE)</f>
        <v>Summer Williams</v>
      </c>
      <c r="C630" s="18" t="str">
        <f>VLOOKUP($A630,Table1[],5,TRUE)</f>
        <v>Female</v>
      </c>
      <c r="D630" s="3" t="str">
        <f>VLOOKUP($A630,Table1[],7,TRUE)</f>
        <v>23</v>
      </c>
      <c r="E630" s="3" t="str">
        <f>VLOOKUP($A630,Table1[],8,TRUE)</f>
        <v>South Africa</v>
      </c>
      <c r="F630" s="3" t="str">
        <f>VLOOKUP($A630,Table1[],9,TRUE)</f>
        <v>Afrikaans</v>
      </c>
      <c r="G630" s="3" t="str">
        <f>VLOOKUP($A630,Table1[],10,TRUE)</f>
        <v>AI</v>
      </c>
      <c r="H630" s="13" t="str">
        <f>VLOOKUP($A630,Table1[],12,TRUE)</f>
        <v>0</v>
      </c>
      <c r="I630" s="20">
        <v>75</v>
      </c>
      <c r="J630" s="15">
        <f>VLOOKUP($A630,Table1[],18,TRUE)</f>
        <v>2.2999999999999998</v>
      </c>
      <c r="K630" s="12" t="str">
        <f>VLOOKUP($A630,Table1[],22,TRUE)</f>
        <v>TRUE</v>
      </c>
      <c r="L630" s="13">
        <f>VLOOKUP($A630,Table1[],25,TRUE)</f>
        <v>0.6</v>
      </c>
    </row>
    <row r="631" spans="1:12" x14ac:dyDescent="0.25">
      <c r="A631" t="s">
        <v>1340</v>
      </c>
      <c r="B631" s="18" t="str">
        <f>VLOOKUP(A631,Table1[],3,TRUE)</f>
        <v>Angela Blackwell</v>
      </c>
      <c r="C631" s="18" t="str">
        <f>VLOOKUP($A631,Table1[],5,TRUE)</f>
        <v>Female</v>
      </c>
      <c r="D631" s="3" t="str">
        <f>VLOOKUP($A631,Table1[],7,TRUE)</f>
        <v>60</v>
      </c>
      <c r="E631" s="3" t="str">
        <f>VLOOKUP($A631,Table1[],8,TRUE)</f>
        <v>Turkey</v>
      </c>
      <c r="F631" s="3" t="str">
        <f>VLOOKUP($A631,Table1[],9,TRUE)</f>
        <v>Turkish</v>
      </c>
      <c r="G631" s="3" t="str">
        <f>VLOOKUP($A631,Table1[],10,TRUE)</f>
        <v>Web Development</v>
      </c>
      <c r="H631" s="13" t="str">
        <f>VLOOKUP($A631,Table1[],12,TRUE)</f>
        <v>41</v>
      </c>
      <c r="I631" s="20">
        <v>40</v>
      </c>
      <c r="J631" s="15">
        <f>VLOOKUP($A631,Table1[],18,TRUE)</f>
        <v>4.9000000000000004</v>
      </c>
      <c r="K631" s="12" t="str">
        <f>VLOOKUP($A631,Table1[],22,TRUE)</f>
        <v>TRUE</v>
      </c>
      <c r="L631" s="13">
        <f>VLOOKUP($A631,Table1[],25,TRUE)</f>
        <v>0.66</v>
      </c>
    </row>
    <row r="632" spans="1:12" x14ac:dyDescent="0.25">
      <c r="A632" t="s">
        <v>1342</v>
      </c>
      <c r="B632" s="18" t="str">
        <f>VLOOKUP(A632,Table1[],3,TRUE)</f>
        <v>Thomas Wall</v>
      </c>
      <c r="C632" s="18" t="str">
        <f>VLOOKUP($A632,Table1[],5,TRUE)</f>
        <v>Male</v>
      </c>
      <c r="D632" s="3" t="str">
        <f>VLOOKUP($A632,Table1[],7,TRUE)</f>
        <v>20</v>
      </c>
      <c r="E632" s="3" t="str">
        <f>VLOOKUP($A632,Table1[],8,TRUE)</f>
        <v>Canada</v>
      </c>
      <c r="F632" s="3" t="str">
        <f>VLOOKUP($A632,Table1[],9,TRUE)</f>
        <v>English</v>
      </c>
      <c r="G632" s="3" t="str">
        <f>VLOOKUP($A632,Table1[],10,TRUE)</f>
        <v>DevOps</v>
      </c>
      <c r="H632" s="13" t="str">
        <f>VLOOKUP($A632,Table1[],12,TRUE)</f>
        <v>Unknown</v>
      </c>
      <c r="I632" s="20">
        <v>75</v>
      </c>
      <c r="J632" s="15">
        <f>VLOOKUP($A632,Table1[],18,TRUE)</f>
        <v>4.3</v>
      </c>
      <c r="K632" s="12" t="str">
        <f>VLOOKUP($A632,Table1[],22,TRUE)</f>
        <v>FALSE</v>
      </c>
      <c r="L632" s="13">
        <f>VLOOKUP($A632,Table1[],25,TRUE)</f>
        <v>0.9</v>
      </c>
    </row>
    <row r="633" spans="1:12" x14ac:dyDescent="0.25">
      <c r="A633" t="s">
        <v>1344</v>
      </c>
      <c r="B633" s="18" t="str">
        <f>VLOOKUP(A633,Table1[],3,TRUE)</f>
        <v>Sarah Anderson</v>
      </c>
      <c r="C633" s="18" t="str">
        <f>VLOOKUP($A633,Table1[],5,TRUE)</f>
        <v>Female</v>
      </c>
      <c r="D633" s="3" t="str">
        <f>VLOOKUP($A633,Table1[],7,TRUE)</f>
        <v>41</v>
      </c>
      <c r="E633" s="3" t="str">
        <f>VLOOKUP($A633,Table1[],8,TRUE)</f>
        <v>South Korea</v>
      </c>
      <c r="F633" s="3" t="str">
        <f>VLOOKUP($A633,Table1[],9,TRUE)</f>
        <v>Korean</v>
      </c>
      <c r="G633" s="3" t="str">
        <f>VLOOKUP($A633,Table1[],10,TRUE)</f>
        <v>UI/UX Design</v>
      </c>
      <c r="H633" s="13" t="str">
        <f>VLOOKUP($A633,Table1[],12,TRUE)</f>
        <v>23</v>
      </c>
      <c r="I633" s="20">
        <v>75</v>
      </c>
      <c r="J633" s="15">
        <f>VLOOKUP($A633,Table1[],18,TRUE)</f>
        <v>1.4</v>
      </c>
      <c r="K633" s="12" t="str">
        <f>VLOOKUP($A633,Table1[],22,TRUE)</f>
        <v>FALSE</v>
      </c>
      <c r="L633" s="13">
        <f>VLOOKUP($A633,Table1[],25,TRUE)</f>
        <v>0.75</v>
      </c>
    </row>
    <row r="634" spans="1:12" x14ac:dyDescent="0.25">
      <c r="A634" t="s">
        <v>1346</v>
      </c>
      <c r="B634" s="18" t="str">
        <f>VLOOKUP(A634,Table1[],3,TRUE)</f>
        <v>Christian Lane</v>
      </c>
      <c r="C634" s="18" t="str">
        <f>VLOOKUP($A634,Table1[],5,TRUE)</f>
        <v>Male</v>
      </c>
      <c r="D634" s="3" t="str">
        <f>VLOOKUP($A634,Table1[],7,TRUE)</f>
        <v>24</v>
      </c>
      <c r="E634" s="3" t="str">
        <f>VLOOKUP($A634,Table1[],8,TRUE)</f>
        <v>France</v>
      </c>
      <c r="F634" s="3" t="str">
        <f>VLOOKUP($A634,Table1[],9,TRUE)</f>
        <v>French</v>
      </c>
      <c r="G634" s="3" t="str">
        <f>VLOOKUP($A634,Table1[],10,TRUE)</f>
        <v>Mobile Apps</v>
      </c>
      <c r="H634" s="13" t="str">
        <f>VLOOKUP($A634,Table1[],12,TRUE)</f>
        <v>0</v>
      </c>
      <c r="I634" s="20">
        <v>100</v>
      </c>
      <c r="J634" s="15">
        <f>VLOOKUP($A634,Table1[],18,TRUE)</f>
        <v>2.6</v>
      </c>
      <c r="K634" s="12" t="str">
        <f>VLOOKUP($A634,Table1[],22,TRUE)</f>
        <v>FALSE</v>
      </c>
      <c r="L634" s="13">
        <f>VLOOKUP($A634,Table1[],25,TRUE)</f>
        <v>0.75</v>
      </c>
    </row>
    <row r="635" spans="1:12" x14ac:dyDescent="0.25">
      <c r="A635" t="s">
        <v>1348</v>
      </c>
      <c r="B635" s="18" t="str">
        <f>VLOOKUP(A635,Table1[],3,TRUE)</f>
        <v>Todd Casey</v>
      </c>
      <c r="C635" s="18" t="str">
        <f>VLOOKUP($A635,Table1[],5,TRUE)</f>
        <v>Male</v>
      </c>
      <c r="D635" s="3" t="str">
        <f>VLOOKUP($A635,Table1[],7,TRUE)</f>
        <v>44</v>
      </c>
      <c r="E635" s="3" t="str">
        <f>VLOOKUP($A635,Table1[],8,TRUE)</f>
        <v>Netherlands</v>
      </c>
      <c r="F635" s="3" t="str">
        <f>VLOOKUP($A635,Table1[],9,TRUE)</f>
        <v>Dutch</v>
      </c>
      <c r="G635" s="3" t="str">
        <f>VLOOKUP($A635,Table1[],10,TRUE)</f>
        <v>Machine Learning</v>
      </c>
      <c r="H635" s="13" t="str">
        <f>VLOOKUP($A635,Table1[],12,TRUE)</f>
        <v>4</v>
      </c>
      <c r="I635" s="20">
        <v>50</v>
      </c>
      <c r="J635" s="15">
        <f>VLOOKUP($A635,Table1[],18,TRUE)</f>
        <v>1.3</v>
      </c>
      <c r="K635" s="12" t="str">
        <f>VLOOKUP($A635,Table1[],22,TRUE)</f>
        <v>TRUE</v>
      </c>
      <c r="L635" s="13">
        <f>VLOOKUP($A635,Table1[],25,TRUE)</f>
        <v>0.77</v>
      </c>
    </row>
    <row r="636" spans="1:12" x14ac:dyDescent="0.25">
      <c r="A636" t="s">
        <v>1350</v>
      </c>
      <c r="B636" s="18" t="str">
        <f>VLOOKUP(A636,Table1[],3,TRUE)</f>
        <v>David Martinez</v>
      </c>
      <c r="C636" s="18" t="str">
        <f>VLOOKUP($A636,Table1[],5,TRUE)</f>
        <v>Male</v>
      </c>
      <c r="D636" s="3" t="str">
        <f>VLOOKUP($A636,Table1[],7,TRUE)</f>
        <v>52</v>
      </c>
      <c r="E636" s="3" t="str">
        <f>VLOOKUP($A636,Table1[],8,TRUE)</f>
        <v>China</v>
      </c>
      <c r="F636" s="3" t="str">
        <f>VLOOKUP($A636,Table1[],9,TRUE)</f>
        <v>Mandarin</v>
      </c>
      <c r="G636" s="3" t="str">
        <f>VLOOKUP($A636,Table1[],10,TRUE)</f>
        <v>UI/UX Design</v>
      </c>
      <c r="H636" s="13" t="str">
        <f>VLOOKUP($A636,Table1[],12,TRUE)</f>
        <v>4</v>
      </c>
      <c r="I636" s="20">
        <v>75</v>
      </c>
      <c r="J636" s="15">
        <f>VLOOKUP($A636,Table1[],18,TRUE)</f>
        <v>2.2999999999999998</v>
      </c>
      <c r="K636" s="12" t="str">
        <f>VLOOKUP($A636,Table1[],22,TRUE)</f>
        <v>TRUE</v>
      </c>
      <c r="L636" s="13">
        <f>VLOOKUP($A636,Table1[],25,TRUE)</f>
        <v>0.79</v>
      </c>
    </row>
    <row r="637" spans="1:12" x14ac:dyDescent="0.25">
      <c r="A637" t="s">
        <v>1352</v>
      </c>
      <c r="B637" s="18" t="str">
        <f>VLOOKUP(A637,Table1[],3,TRUE)</f>
        <v>Donald Salas</v>
      </c>
      <c r="C637" s="18" t="str">
        <f>VLOOKUP($A637,Table1[],5,TRUE)</f>
        <v>Male</v>
      </c>
      <c r="D637" s="3" t="str">
        <f>VLOOKUP($A637,Table1[],7,TRUE)</f>
        <v>35</v>
      </c>
      <c r="E637" s="3" t="str">
        <f>VLOOKUP($A637,Table1[],8,TRUE)</f>
        <v>Spain</v>
      </c>
      <c r="F637" s="3" t="str">
        <f>VLOOKUP($A637,Table1[],9,TRUE)</f>
        <v>Spanish</v>
      </c>
      <c r="G637" s="3" t="str">
        <f>VLOOKUP($A637,Table1[],10,TRUE)</f>
        <v>Machine Learning</v>
      </c>
      <c r="H637" s="13" t="str">
        <f>VLOOKUP($A637,Table1[],12,TRUE)</f>
        <v>13</v>
      </c>
      <c r="I637" s="20">
        <v>40</v>
      </c>
      <c r="J637" s="15">
        <f>VLOOKUP($A637,Table1[],18,TRUE)</f>
        <v>3.6</v>
      </c>
      <c r="K637" s="12" t="str">
        <f>VLOOKUP($A637,Table1[],22,TRUE)</f>
        <v>FALSE</v>
      </c>
      <c r="L637" s="13">
        <f>VLOOKUP($A637,Table1[],25,TRUE)</f>
        <v>0.83</v>
      </c>
    </row>
    <row r="638" spans="1:12" x14ac:dyDescent="0.25">
      <c r="A638" t="s">
        <v>1354</v>
      </c>
      <c r="B638" s="18" t="str">
        <f>VLOOKUP(A638,Table1[],3,TRUE)</f>
        <v>Emma Hicks</v>
      </c>
      <c r="C638" s="18" t="str">
        <f>VLOOKUP($A638,Table1[],5,TRUE)</f>
        <v>Female</v>
      </c>
      <c r="D638" s="3" t="str">
        <f>VLOOKUP($A638,Table1[],7,TRUE)</f>
        <v>24</v>
      </c>
      <c r="E638" s="3" t="str">
        <f>VLOOKUP($A638,Table1[],8,TRUE)</f>
        <v>Netherlands</v>
      </c>
      <c r="F638" s="3" t="str">
        <f>VLOOKUP($A638,Table1[],9,TRUE)</f>
        <v>Dutch</v>
      </c>
      <c r="G638" s="3" t="str">
        <f>VLOOKUP($A638,Table1[],10,TRUE)</f>
        <v>DevOps</v>
      </c>
      <c r="H638" s="13" t="str">
        <f>VLOOKUP($A638,Table1[],12,TRUE)</f>
        <v>2</v>
      </c>
      <c r="I638" s="20">
        <v>50</v>
      </c>
      <c r="J638" s="15">
        <f>VLOOKUP($A638,Table1[],18,TRUE)</f>
        <v>2.6</v>
      </c>
      <c r="K638" s="12" t="str">
        <f>VLOOKUP($A638,Table1[],22,TRUE)</f>
        <v>FALSE</v>
      </c>
      <c r="L638" s="13">
        <f>VLOOKUP($A638,Table1[],25,TRUE)</f>
        <v>0.64</v>
      </c>
    </row>
    <row r="639" spans="1:12" x14ac:dyDescent="0.25">
      <c r="A639" t="s">
        <v>1356</v>
      </c>
      <c r="B639" s="18" t="str">
        <f>VLOOKUP(A639,Table1[],3,TRUE)</f>
        <v>Alison Clark</v>
      </c>
      <c r="C639" s="18" t="str">
        <f>VLOOKUP($A639,Table1[],5,TRUE)</f>
        <v>Female</v>
      </c>
      <c r="D639" s="3" t="str">
        <f>VLOOKUP($A639,Table1[],7,TRUE)</f>
        <v>46</v>
      </c>
      <c r="E639" s="3" t="str">
        <f>VLOOKUP($A639,Table1[],8,TRUE)</f>
        <v>Australia</v>
      </c>
      <c r="F639" s="3" t="str">
        <f>VLOOKUP($A639,Table1[],9,TRUE)</f>
        <v>English</v>
      </c>
      <c r="G639" s="3" t="str">
        <f>VLOOKUP($A639,Table1[],10,TRUE)</f>
        <v>Cybersecurity</v>
      </c>
      <c r="H639" s="13" t="str">
        <f>VLOOKUP($A639,Table1[],12,TRUE)</f>
        <v>25</v>
      </c>
      <c r="I639" s="20">
        <v>100</v>
      </c>
      <c r="J639" s="15">
        <f>VLOOKUP($A639,Table1[],18,TRUE)</f>
        <v>1.3</v>
      </c>
      <c r="K639" s="12" t="str">
        <f>VLOOKUP($A639,Table1[],22,TRUE)</f>
        <v>FALSE</v>
      </c>
      <c r="L639" s="13">
        <f>VLOOKUP($A639,Table1[],25,TRUE)</f>
        <v>0.8</v>
      </c>
    </row>
    <row r="640" spans="1:12" x14ac:dyDescent="0.25">
      <c r="A640" t="s">
        <v>1358</v>
      </c>
      <c r="B640" s="18" t="str">
        <f>VLOOKUP(A640,Table1[],3,TRUE)</f>
        <v>Andrew Barnes</v>
      </c>
      <c r="C640" s="18" t="str">
        <f>VLOOKUP($A640,Table1[],5,TRUE)</f>
        <v>Male</v>
      </c>
      <c r="D640" s="3" t="str">
        <f>VLOOKUP($A640,Table1[],7,TRUE)</f>
        <v>57</v>
      </c>
      <c r="E640" s="3" t="str">
        <f>VLOOKUP($A640,Table1[],8,TRUE)</f>
        <v>Mexico</v>
      </c>
      <c r="F640" s="3" t="str">
        <f>VLOOKUP($A640,Table1[],9,TRUE)</f>
        <v>Spanish</v>
      </c>
      <c r="G640" s="3" t="str">
        <f>VLOOKUP($A640,Table1[],10,TRUE)</f>
        <v>Mobile Apps</v>
      </c>
      <c r="H640" s="13" t="str">
        <f>VLOOKUP($A640,Table1[],12,TRUE)</f>
        <v>18</v>
      </c>
      <c r="I640" s="20">
        <v>30</v>
      </c>
      <c r="J640" s="15">
        <f>VLOOKUP($A640,Table1[],18,TRUE)</f>
        <v>1.1000000000000001</v>
      </c>
      <c r="K640" s="12" t="str">
        <f>VLOOKUP($A640,Table1[],22,TRUE)</f>
        <v>TRUE</v>
      </c>
      <c r="L640" s="13">
        <f>VLOOKUP($A640,Table1[],25,TRUE)</f>
        <v>0.9</v>
      </c>
    </row>
    <row r="641" spans="1:12" x14ac:dyDescent="0.25">
      <c r="A641" t="s">
        <v>1360</v>
      </c>
      <c r="B641" s="18" t="str">
        <f>VLOOKUP(A641,Table1[],3,TRUE)</f>
        <v>Gina Snyder</v>
      </c>
      <c r="C641" s="18" t="str">
        <f>VLOOKUP($A641,Table1[],5,TRUE)</f>
        <v>Female</v>
      </c>
      <c r="D641" s="3" t="str">
        <f>VLOOKUP($A641,Table1[],7,TRUE)</f>
        <v>49</v>
      </c>
      <c r="E641" s="3" t="str">
        <f>VLOOKUP($A641,Table1[],8,TRUE)</f>
        <v>Mexico</v>
      </c>
      <c r="F641" s="3" t="str">
        <f>VLOOKUP($A641,Table1[],9,TRUE)</f>
        <v>Spanish</v>
      </c>
      <c r="G641" s="3" t="str">
        <f>VLOOKUP($A641,Table1[],10,TRUE)</f>
        <v>Web Development</v>
      </c>
      <c r="H641" s="13" t="str">
        <f>VLOOKUP($A641,Table1[],12,TRUE)</f>
        <v>24</v>
      </c>
      <c r="I641" s="20">
        <v>50</v>
      </c>
      <c r="J641" s="15">
        <f>VLOOKUP($A641,Table1[],18,TRUE)</f>
        <v>0</v>
      </c>
      <c r="K641" s="12" t="str">
        <f>VLOOKUP($A641,Table1[],22,TRUE)</f>
        <v>FALSE</v>
      </c>
      <c r="L641" s="13">
        <f>VLOOKUP($A641,Table1[],25,TRUE)</f>
        <v>0.94</v>
      </c>
    </row>
    <row r="642" spans="1:12" x14ac:dyDescent="0.25">
      <c r="A642" t="s">
        <v>1362</v>
      </c>
      <c r="B642" s="18" t="str">
        <f>VLOOKUP(A642,Table1[],3,TRUE)</f>
        <v>David Watson</v>
      </c>
      <c r="C642" s="18" t="str">
        <f>VLOOKUP($A642,Table1[],5,TRUE)</f>
        <v>Male</v>
      </c>
      <c r="D642" s="3" t="str">
        <f>VLOOKUP($A642,Table1[],7,TRUE)</f>
        <v>41</v>
      </c>
      <c r="E642" s="3" t="str">
        <f>VLOOKUP($A642,Table1[],8,TRUE)</f>
        <v>Japan</v>
      </c>
      <c r="F642" s="3" t="str">
        <f>VLOOKUP($A642,Table1[],9,TRUE)</f>
        <v>Japanese</v>
      </c>
      <c r="G642" s="3" t="str">
        <f>VLOOKUP($A642,Table1[],10,TRUE)</f>
        <v>AI</v>
      </c>
      <c r="H642" s="13" t="str">
        <f>VLOOKUP($A642,Table1[],12,TRUE)</f>
        <v>7</v>
      </c>
      <c r="I642" s="20">
        <v>40</v>
      </c>
      <c r="J642" s="15">
        <f>VLOOKUP($A642,Table1[],18,TRUE)</f>
        <v>1.8</v>
      </c>
      <c r="K642" s="12" t="str">
        <f>VLOOKUP($A642,Table1[],22,TRUE)</f>
        <v>TRUE</v>
      </c>
      <c r="L642" s="13">
        <f>VLOOKUP($A642,Table1[],25,TRUE)</f>
        <v>0.7</v>
      </c>
    </row>
    <row r="643" spans="1:12" x14ac:dyDescent="0.25">
      <c r="A643" t="s">
        <v>1364</v>
      </c>
      <c r="B643" s="18" t="str">
        <f>VLOOKUP(A643,Table1[],3,TRUE)</f>
        <v>John Davis</v>
      </c>
      <c r="C643" s="18" t="str">
        <f>VLOOKUP($A643,Table1[],5,TRUE)</f>
        <v>Male</v>
      </c>
      <c r="D643" s="3" t="str">
        <f>VLOOKUP($A643,Table1[],7,TRUE)</f>
        <v>22</v>
      </c>
      <c r="E643" s="3" t="str">
        <f>VLOOKUP($A643,Table1[],8,TRUE)</f>
        <v>Mexico</v>
      </c>
      <c r="F643" s="3" t="str">
        <f>VLOOKUP($A643,Table1[],9,TRUE)</f>
        <v>Spanish</v>
      </c>
      <c r="G643" s="3" t="str">
        <f>VLOOKUP($A643,Table1[],10,TRUE)</f>
        <v>Machine Learning</v>
      </c>
      <c r="H643" s="13" t="str">
        <f>VLOOKUP($A643,Table1[],12,TRUE)</f>
        <v>1</v>
      </c>
      <c r="I643" s="20">
        <v>20</v>
      </c>
      <c r="J643" s="15">
        <f>VLOOKUP($A643,Table1[],18,TRUE)</f>
        <v>2.6</v>
      </c>
      <c r="K643" s="12" t="str">
        <f>VLOOKUP($A643,Table1[],22,TRUE)</f>
        <v>TRUE</v>
      </c>
      <c r="L643" s="13">
        <f>VLOOKUP($A643,Table1[],25,TRUE)</f>
        <v>0.75</v>
      </c>
    </row>
    <row r="644" spans="1:12" x14ac:dyDescent="0.25">
      <c r="A644" t="s">
        <v>1366</v>
      </c>
      <c r="B644" s="18" t="str">
        <f>VLOOKUP(A644,Table1[],3,TRUE)</f>
        <v>Joseph Thomas</v>
      </c>
      <c r="C644" s="18" t="str">
        <f>VLOOKUP($A644,Table1[],5,TRUE)</f>
        <v>Male</v>
      </c>
      <c r="D644" s="3" t="str">
        <f>VLOOKUP($A644,Table1[],7,TRUE)</f>
        <v>50</v>
      </c>
      <c r="E644" s="3" t="str">
        <f>VLOOKUP($A644,Table1[],8,TRUE)</f>
        <v>Australia</v>
      </c>
      <c r="F644" s="3" t="str">
        <f>VLOOKUP($A644,Table1[],9,TRUE)</f>
        <v>English</v>
      </c>
      <c r="G644" s="3" t="str">
        <f>VLOOKUP($A644,Table1[],10,TRUE)</f>
        <v>Blockchain Development</v>
      </c>
      <c r="H644" s="13" t="str">
        <f>VLOOKUP($A644,Table1[],12,TRUE)</f>
        <v>17</v>
      </c>
      <c r="I644" s="20">
        <v>75</v>
      </c>
      <c r="J644" s="15">
        <f>VLOOKUP($A644,Table1[],18,TRUE)</f>
        <v>3.3</v>
      </c>
      <c r="K644" s="12" t="str">
        <f>VLOOKUP($A644,Table1[],22,TRUE)</f>
        <v>TRUE</v>
      </c>
      <c r="L644" s="13">
        <f>VLOOKUP($A644,Table1[],25,TRUE)</f>
        <v>0.69</v>
      </c>
    </row>
    <row r="645" spans="1:12" x14ac:dyDescent="0.25">
      <c r="A645" t="s">
        <v>1368</v>
      </c>
      <c r="B645" s="18" t="str">
        <f>VLOOKUP(A645,Table1[],3,TRUE)</f>
        <v>Dean Finley</v>
      </c>
      <c r="C645" s="18" t="str">
        <f>VLOOKUP($A645,Table1[],5,TRUE)</f>
        <v>Male</v>
      </c>
      <c r="D645" s="3" t="str">
        <f>VLOOKUP($A645,Table1[],7,TRUE)</f>
        <v>57</v>
      </c>
      <c r="E645" s="3" t="str">
        <f>VLOOKUP($A645,Table1[],8,TRUE)</f>
        <v>Germany</v>
      </c>
      <c r="F645" s="3" t="str">
        <f>VLOOKUP($A645,Table1[],9,TRUE)</f>
        <v>German</v>
      </c>
      <c r="G645" s="3" t="str">
        <f>VLOOKUP($A645,Table1[],10,TRUE)</f>
        <v>Graphic Design</v>
      </c>
      <c r="H645" s="13" t="str">
        <f>VLOOKUP($A645,Table1[],12,TRUE)</f>
        <v>4</v>
      </c>
      <c r="I645" s="20">
        <v>30</v>
      </c>
      <c r="J645" s="15">
        <f>VLOOKUP($A645,Table1[],18,TRUE)</f>
        <v>4.2</v>
      </c>
      <c r="K645" s="12" t="str">
        <f>VLOOKUP($A645,Table1[],22,TRUE)</f>
        <v>FALSE</v>
      </c>
      <c r="L645" s="13">
        <f>VLOOKUP($A645,Table1[],25,TRUE)</f>
        <v>0.75</v>
      </c>
    </row>
    <row r="646" spans="1:12" x14ac:dyDescent="0.25">
      <c r="A646" t="s">
        <v>1370</v>
      </c>
      <c r="B646" s="18" t="str">
        <f>VLOOKUP(A646,Table1[],3,TRUE)</f>
        <v>Ashley Kemp</v>
      </c>
      <c r="C646" s="18" t="str">
        <f>VLOOKUP($A646,Table1[],5,TRUE)</f>
        <v>Female</v>
      </c>
      <c r="D646" s="3" t="str">
        <f>VLOOKUP($A646,Table1[],7,TRUE)</f>
        <v>47</v>
      </c>
      <c r="E646" s="3" t="str">
        <f>VLOOKUP($A646,Table1[],8,TRUE)</f>
        <v>Mexico</v>
      </c>
      <c r="F646" s="3" t="str">
        <f>VLOOKUP($A646,Table1[],9,TRUE)</f>
        <v>Spanish</v>
      </c>
      <c r="G646" s="3" t="str">
        <f>VLOOKUP($A646,Table1[],10,TRUE)</f>
        <v>AI</v>
      </c>
      <c r="H646" s="13" t="str">
        <f>VLOOKUP($A646,Table1[],12,TRUE)</f>
        <v>29</v>
      </c>
      <c r="I646" s="20">
        <v>50</v>
      </c>
      <c r="J646" s="15">
        <f>VLOOKUP($A646,Table1[],18,TRUE)</f>
        <v>2.6</v>
      </c>
      <c r="K646" s="12" t="str">
        <f>VLOOKUP($A646,Table1[],22,TRUE)</f>
        <v>TRUE</v>
      </c>
      <c r="L646" s="13">
        <f>VLOOKUP($A646,Table1[],25,TRUE)</f>
        <v>0.79</v>
      </c>
    </row>
    <row r="647" spans="1:12" x14ac:dyDescent="0.25">
      <c r="A647" t="s">
        <v>1372</v>
      </c>
      <c r="B647" s="18" t="str">
        <f>VLOOKUP(A647,Table1[],3,TRUE)</f>
        <v>Kenneth Evans</v>
      </c>
      <c r="C647" s="18" t="str">
        <f>VLOOKUP($A647,Table1[],5,TRUE)</f>
        <v>Male</v>
      </c>
      <c r="D647" s="3" t="str">
        <f>VLOOKUP($A647,Table1[],7,TRUE)</f>
        <v>24</v>
      </c>
      <c r="E647" s="3" t="str">
        <f>VLOOKUP($A647,Table1[],8,TRUE)</f>
        <v>South Africa</v>
      </c>
      <c r="F647" s="3" t="str">
        <f>VLOOKUP($A647,Table1[],9,TRUE)</f>
        <v>Afrikaans</v>
      </c>
      <c r="G647" s="3" t="str">
        <f>VLOOKUP($A647,Table1[],10,TRUE)</f>
        <v>Data Analysis</v>
      </c>
      <c r="H647" s="13" t="str">
        <f>VLOOKUP($A647,Table1[],12,TRUE)</f>
        <v>2</v>
      </c>
      <c r="I647" s="20">
        <v>100</v>
      </c>
      <c r="J647" s="15">
        <f>VLOOKUP($A647,Table1[],18,TRUE)</f>
        <v>3.8</v>
      </c>
      <c r="K647" s="12" t="str">
        <f>VLOOKUP($A647,Table1[],22,TRUE)</f>
        <v>TRUE</v>
      </c>
      <c r="L647" s="13">
        <f>VLOOKUP($A647,Table1[],25,TRUE)</f>
        <v>0.71</v>
      </c>
    </row>
    <row r="648" spans="1:12" x14ac:dyDescent="0.25">
      <c r="A648" t="s">
        <v>1374</v>
      </c>
      <c r="B648" s="18" t="str">
        <f>VLOOKUP(A648,Table1[],3,TRUE)</f>
        <v>Brandon Newman</v>
      </c>
      <c r="C648" s="18" t="str">
        <f>VLOOKUP($A648,Table1[],5,TRUE)</f>
        <v>Male</v>
      </c>
      <c r="D648" s="3" t="str">
        <f>VLOOKUP($A648,Table1[],7,TRUE)</f>
        <v>Unknown</v>
      </c>
      <c r="E648" s="3" t="str">
        <f>VLOOKUP($A648,Table1[],8,TRUE)</f>
        <v>India</v>
      </c>
      <c r="F648" s="3" t="str">
        <f>VLOOKUP($A648,Table1[],9,TRUE)</f>
        <v>Hindi</v>
      </c>
      <c r="G648" s="3" t="str">
        <f>VLOOKUP($A648,Table1[],10,TRUE)</f>
        <v>Cybersecurity</v>
      </c>
      <c r="H648" s="13" t="str">
        <f>VLOOKUP($A648,Table1[],12,TRUE)</f>
        <v>9</v>
      </c>
      <c r="I648" s="20">
        <v>100</v>
      </c>
      <c r="J648" s="15">
        <f>VLOOKUP($A648,Table1[],18,TRUE)</f>
        <v>4.8</v>
      </c>
      <c r="K648" s="12" t="str">
        <f>VLOOKUP($A648,Table1[],22,TRUE)</f>
        <v>TRUE</v>
      </c>
      <c r="L648" s="13">
        <f>VLOOKUP($A648,Table1[],25,TRUE)</f>
        <v>0.72</v>
      </c>
    </row>
    <row r="649" spans="1:12" x14ac:dyDescent="0.25">
      <c r="A649" t="s">
        <v>1376</v>
      </c>
      <c r="B649" s="18" t="str">
        <f>VLOOKUP(A649,Table1[],3,TRUE)</f>
        <v>Katie Hensley</v>
      </c>
      <c r="C649" s="18" t="str">
        <f>VLOOKUP($A649,Table1[],5,TRUE)</f>
        <v>Female</v>
      </c>
      <c r="D649" s="3" t="str">
        <f>VLOOKUP($A649,Table1[],7,TRUE)</f>
        <v>50</v>
      </c>
      <c r="E649" s="3" t="str">
        <f>VLOOKUP($A649,Table1[],8,TRUE)</f>
        <v>Germany</v>
      </c>
      <c r="F649" s="3" t="str">
        <f>VLOOKUP($A649,Table1[],9,TRUE)</f>
        <v>German</v>
      </c>
      <c r="G649" s="3" t="str">
        <f>VLOOKUP($A649,Table1[],10,TRUE)</f>
        <v>DevOps</v>
      </c>
      <c r="H649" s="13" t="str">
        <f>VLOOKUP($A649,Table1[],12,TRUE)</f>
        <v>10</v>
      </c>
      <c r="I649" s="20">
        <v>100</v>
      </c>
      <c r="J649" s="15">
        <f>VLOOKUP($A649,Table1[],18,TRUE)</f>
        <v>4.3</v>
      </c>
      <c r="K649" s="12" t="str">
        <f>VLOOKUP($A649,Table1[],22,TRUE)</f>
        <v>FALSE</v>
      </c>
      <c r="L649" s="13">
        <f>VLOOKUP($A649,Table1[],25,TRUE)</f>
        <v>0.93</v>
      </c>
    </row>
    <row r="650" spans="1:12" x14ac:dyDescent="0.25">
      <c r="A650" t="s">
        <v>1378</v>
      </c>
      <c r="B650" s="18" t="str">
        <f>VLOOKUP(A650,Table1[],3,TRUE)</f>
        <v>Joel Randolph</v>
      </c>
      <c r="C650" s="18" t="str">
        <f>VLOOKUP($A650,Table1[],5,TRUE)</f>
        <v>Male</v>
      </c>
      <c r="D650" s="3" t="str">
        <f>VLOOKUP($A650,Table1[],7,TRUE)</f>
        <v>46</v>
      </c>
      <c r="E650" s="3" t="str">
        <f>VLOOKUP($A650,Table1[],8,TRUE)</f>
        <v>Brazil</v>
      </c>
      <c r="F650" s="3" t="str">
        <f>VLOOKUP($A650,Table1[],9,TRUE)</f>
        <v>Portuguese</v>
      </c>
      <c r="G650" s="3" t="str">
        <f>VLOOKUP($A650,Table1[],10,TRUE)</f>
        <v>Machine Learning</v>
      </c>
      <c r="H650" s="13" t="str">
        <f>VLOOKUP($A650,Table1[],12,TRUE)</f>
        <v>20</v>
      </c>
      <c r="I650" s="20">
        <v>50</v>
      </c>
      <c r="J650" s="15">
        <f>VLOOKUP($A650,Table1[],18,TRUE)</f>
        <v>4.8</v>
      </c>
      <c r="K650" s="12" t="str">
        <f>VLOOKUP($A650,Table1[],22,TRUE)</f>
        <v>TRUE</v>
      </c>
      <c r="L650" s="13">
        <f>VLOOKUP($A650,Table1[],25,TRUE)</f>
        <v>0.82</v>
      </c>
    </row>
    <row r="651" spans="1:12" x14ac:dyDescent="0.25">
      <c r="A651" t="s">
        <v>1380</v>
      </c>
      <c r="B651" s="18" t="str">
        <f>VLOOKUP(A651,Table1[],3,TRUE)</f>
        <v>Andrew Scott</v>
      </c>
      <c r="C651" s="18" t="str">
        <f>VLOOKUP($A651,Table1[],5,TRUE)</f>
        <v>Male</v>
      </c>
      <c r="D651" s="3" t="str">
        <f>VLOOKUP($A651,Table1[],7,TRUE)</f>
        <v>51</v>
      </c>
      <c r="E651" s="3" t="str">
        <f>VLOOKUP($A651,Table1[],8,TRUE)</f>
        <v>Australia</v>
      </c>
      <c r="F651" s="3" t="str">
        <f>VLOOKUP($A651,Table1[],9,TRUE)</f>
        <v>English</v>
      </c>
      <c r="G651" s="3" t="str">
        <f>VLOOKUP($A651,Table1[],10,TRUE)</f>
        <v>Cybersecurity</v>
      </c>
      <c r="H651" s="13" t="str">
        <f>VLOOKUP($A651,Table1[],12,TRUE)</f>
        <v>9</v>
      </c>
      <c r="I651" s="20">
        <v>40</v>
      </c>
      <c r="J651" s="15">
        <f>VLOOKUP($A651,Table1[],18,TRUE)</f>
        <v>2.6</v>
      </c>
      <c r="K651" s="12" t="str">
        <f>VLOOKUP($A651,Table1[],22,TRUE)</f>
        <v>FALSE</v>
      </c>
      <c r="L651" s="13">
        <f>VLOOKUP($A651,Table1[],25,TRUE)</f>
        <v>0.6</v>
      </c>
    </row>
    <row r="652" spans="1:12" x14ac:dyDescent="0.25">
      <c r="A652" t="s">
        <v>1382</v>
      </c>
      <c r="B652" s="18" t="str">
        <f>VLOOKUP(A652,Table1[],3,TRUE)</f>
        <v>Zachary Ochoa</v>
      </c>
      <c r="C652" s="18" t="str">
        <f>VLOOKUP($A652,Table1[],5,TRUE)</f>
        <v>Male</v>
      </c>
      <c r="D652" s="3" t="str">
        <f>VLOOKUP($A652,Table1[],7,TRUE)</f>
        <v>51</v>
      </c>
      <c r="E652" s="3" t="str">
        <f>VLOOKUP($A652,Table1[],8,TRUE)</f>
        <v>United Kingdom</v>
      </c>
      <c r="F652" s="3" t="str">
        <f>VLOOKUP($A652,Table1[],9,TRUE)</f>
        <v>English</v>
      </c>
      <c r="G652" s="3" t="str">
        <f>VLOOKUP($A652,Table1[],10,TRUE)</f>
        <v>AI</v>
      </c>
      <c r="H652" s="13" t="str">
        <f>VLOOKUP($A652,Table1[],12,TRUE)</f>
        <v>12</v>
      </c>
      <c r="I652" s="20">
        <v>20</v>
      </c>
      <c r="J652" s="15">
        <f>VLOOKUP($A652,Table1[],18,TRUE)</f>
        <v>4</v>
      </c>
      <c r="K652" s="12" t="str">
        <f>VLOOKUP($A652,Table1[],22,TRUE)</f>
        <v>FALSE</v>
      </c>
      <c r="L652" s="13">
        <f>VLOOKUP($A652,Table1[],25,TRUE)</f>
        <v>0.93</v>
      </c>
    </row>
    <row r="653" spans="1:12" x14ac:dyDescent="0.25">
      <c r="A653" t="s">
        <v>1384</v>
      </c>
      <c r="B653" s="18" t="str">
        <f>VLOOKUP(A653,Table1[],3,TRUE)</f>
        <v>John Arroyo</v>
      </c>
      <c r="C653" s="18" t="str">
        <f>VLOOKUP($A653,Table1[],5,TRUE)</f>
        <v>Male</v>
      </c>
      <c r="D653" s="3" t="str">
        <f>VLOOKUP($A653,Table1[],7,TRUE)</f>
        <v>27</v>
      </c>
      <c r="E653" s="3" t="str">
        <f>VLOOKUP($A653,Table1[],8,TRUE)</f>
        <v>United Kingdom</v>
      </c>
      <c r="F653" s="3" t="str">
        <f>VLOOKUP($A653,Table1[],9,TRUE)</f>
        <v>English</v>
      </c>
      <c r="G653" s="3" t="str">
        <f>VLOOKUP($A653,Table1[],10,TRUE)</f>
        <v>AI</v>
      </c>
      <c r="H653" s="13" t="str">
        <f>VLOOKUP($A653,Table1[],12,TRUE)</f>
        <v>3</v>
      </c>
      <c r="I653" s="20">
        <v>50</v>
      </c>
      <c r="J653" s="15">
        <f>VLOOKUP($A653,Table1[],18,TRUE)</f>
        <v>2.6</v>
      </c>
      <c r="K653" s="12" t="str">
        <f>VLOOKUP($A653,Table1[],22,TRUE)</f>
        <v>TRUE</v>
      </c>
      <c r="L653" s="13">
        <f>VLOOKUP($A653,Table1[],25,TRUE)</f>
        <v>0.75</v>
      </c>
    </row>
    <row r="654" spans="1:12" x14ac:dyDescent="0.25">
      <c r="A654" t="s">
        <v>1386</v>
      </c>
      <c r="B654" s="18" t="str">
        <f>VLOOKUP(A654,Table1[],3,TRUE)</f>
        <v>Matthew Fernandez</v>
      </c>
      <c r="C654" s="18" t="str">
        <f>VLOOKUP($A654,Table1[],5,TRUE)</f>
        <v>Male</v>
      </c>
      <c r="D654" s="3" t="str">
        <f>VLOOKUP($A654,Table1[],7,TRUE)</f>
        <v>42</v>
      </c>
      <c r="E654" s="3" t="str">
        <f>VLOOKUP($A654,Table1[],8,TRUE)</f>
        <v>Spain</v>
      </c>
      <c r="F654" s="3" t="str">
        <f>VLOOKUP($A654,Table1[],9,TRUE)</f>
        <v>Spanish</v>
      </c>
      <c r="G654" s="3" t="str">
        <f>VLOOKUP($A654,Table1[],10,TRUE)</f>
        <v>Web Development</v>
      </c>
      <c r="H654" s="13" t="str">
        <f>VLOOKUP($A654,Table1[],12,TRUE)</f>
        <v>13</v>
      </c>
      <c r="I654" s="20">
        <v>30</v>
      </c>
      <c r="J654" s="15">
        <f>VLOOKUP($A654,Table1[],18,TRUE)</f>
        <v>0</v>
      </c>
      <c r="K654" s="12" t="str">
        <f>VLOOKUP($A654,Table1[],22,TRUE)</f>
        <v>TRUE</v>
      </c>
      <c r="L654" s="13">
        <f>VLOOKUP($A654,Table1[],25,TRUE)</f>
        <v>0.74</v>
      </c>
    </row>
    <row r="655" spans="1:12" x14ac:dyDescent="0.25">
      <c r="A655" t="s">
        <v>1388</v>
      </c>
      <c r="B655" s="18" t="str">
        <f>VLOOKUP(A655,Table1[],3,TRUE)</f>
        <v>Benjamin Stark</v>
      </c>
      <c r="C655" s="18" t="str">
        <f>VLOOKUP($A655,Table1[],5,TRUE)</f>
        <v>Male</v>
      </c>
      <c r="D655" s="3" t="str">
        <f>VLOOKUP($A655,Table1[],7,TRUE)</f>
        <v>25</v>
      </c>
      <c r="E655" s="3" t="str">
        <f>VLOOKUP($A655,Table1[],8,TRUE)</f>
        <v>Germany</v>
      </c>
      <c r="F655" s="3" t="str">
        <f>VLOOKUP($A655,Table1[],9,TRUE)</f>
        <v>German</v>
      </c>
      <c r="G655" s="3" t="str">
        <f>VLOOKUP($A655,Table1[],10,TRUE)</f>
        <v>UI/UX Design</v>
      </c>
      <c r="H655" s="13" t="str">
        <f>VLOOKUP($A655,Table1[],12,TRUE)</f>
        <v>4</v>
      </c>
      <c r="I655" s="20">
        <v>40</v>
      </c>
      <c r="J655" s="15">
        <f>VLOOKUP($A655,Table1[],18,TRUE)</f>
        <v>2.2999999999999998</v>
      </c>
      <c r="K655" s="12" t="str">
        <f>VLOOKUP($A655,Table1[],22,TRUE)</f>
        <v>TRUE</v>
      </c>
      <c r="L655" s="13">
        <f>VLOOKUP($A655,Table1[],25,TRUE)</f>
        <v>0.73</v>
      </c>
    </row>
    <row r="656" spans="1:12" x14ac:dyDescent="0.25">
      <c r="A656" t="s">
        <v>1390</v>
      </c>
      <c r="B656" s="18" t="str">
        <f>VLOOKUP(A656,Table1[],3,TRUE)</f>
        <v>Tammy Greer</v>
      </c>
      <c r="C656" s="18" t="str">
        <f>VLOOKUP($A656,Table1[],5,TRUE)</f>
        <v>Female</v>
      </c>
      <c r="D656" s="3" t="str">
        <f>VLOOKUP($A656,Table1[],7,TRUE)</f>
        <v>32</v>
      </c>
      <c r="E656" s="3" t="str">
        <f>VLOOKUP($A656,Table1[],8,TRUE)</f>
        <v>Germany</v>
      </c>
      <c r="F656" s="3" t="str">
        <f>VLOOKUP($A656,Table1[],9,TRUE)</f>
        <v>German</v>
      </c>
      <c r="G656" s="3" t="str">
        <f>VLOOKUP($A656,Table1[],10,TRUE)</f>
        <v>Data Analysis</v>
      </c>
      <c r="H656" s="13" t="str">
        <f>VLOOKUP($A656,Table1[],12,TRUE)</f>
        <v>9</v>
      </c>
      <c r="I656" s="20">
        <v>75</v>
      </c>
      <c r="J656" s="15">
        <f>VLOOKUP($A656,Table1[],18,TRUE)</f>
        <v>2.6</v>
      </c>
      <c r="K656" s="12" t="str">
        <f>VLOOKUP($A656,Table1[],22,TRUE)</f>
        <v>FALSE</v>
      </c>
      <c r="L656" s="13">
        <f>VLOOKUP($A656,Table1[],25,TRUE)</f>
        <v>0.96</v>
      </c>
    </row>
    <row r="657" spans="1:12" x14ac:dyDescent="0.25">
      <c r="A657" t="s">
        <v>1392</v>
      </c>
      <c r="B657" s="18" t="str">
        <f>VLOOKUP(A657,Table1[],3,TRUE)</f>
        <v>Cynthia Mckinney</v>
      </c>
      <c r="C657" s="18" t="str">
        <f>VLOOKUP($A657,Table1[],5,TRUE)</f>
        <v>Female</v>
      </c>
      <c r="D657" s="3" t="str">
        <f>VLOOKUP($A657,Table1[],7,TRUE)</f>
        <v>59</v>
      </c>
      <c r="E657" s="3" t="str">
        <f>VLOOKUP($A657,Table1[],8,TRUE)</f>
        <v>Canada</v>
      </c>
      <c r="F657" s="3" t="str">
        <f>VLOOKUP($A657,Table1[],9,TRUE)</f>
        <v>English</v>
      </c>
      <c r="G657" s="3" t="str">
        <f>VLOOKUP($A657,Table1[],10,TRUE)</f>
        <v>Graphic Design</v>
      </c>
      <c r="H657" s="13" t="str">
        <f>VLOOKUP($A657,Table1[],12,TRUE)</f>
        <v>14</v>
      </c>
      <c r="I657" s="20">
        <v>30</v>
      </c>
      <c r="J657" s="15">
        <f>VLOOKUP($A657,Table1[],18,TRUE)</f>
        <v>3.8</v>
      </c>
      <c r="K657" s="12" t="str">
        <f>VLOOKUP($A657,Table1[],22,TRUE)</f>
        <v>TRUE</v>
      </c>
      <c r="L657" s="13">
        <f>VLOOKUP($A657,Table1[],25,TRUE)</f>
        <v>0.66</v>
      </c>
    </row>
    <row r="658" spans="1:12" x14ac:dyDescent="0.25">
      <c r="A658" t="s">
        <v>1394</v>
      </c>
      <c r="B658" s="18" t="str">
        <f>VLOOKUP(A658,Table1[],3,TRUE)</f>
        <v>Wendy Rice</v>
      </c>
      <c r="C658" s="18" t="str">
        <f>VLOOKUP($A658,Table1[],5,TRUE)</f>
        <v>Female</v>
      </c>
      <c r="D658" s="3" t="str">
        <f>VLOOKUP($A658,Table1[],7,TRUE)</f>
        <v>59</v>
      </c>
      <c r="E658" s="3" t="str">
        <f>VLOOKUP($A658,Table1[],8,TRUE)</f>
        <v>France</v>
      </c>
      <c r="F658" s="3" t="str">
        <f>VLOOKUP($A658,Table1[],9,TRUE)</f>
        <v>French</v>
      </c>
      <c r="G658" s="3" t="str">
        <f>VLOOKUP($A658,Table1[],10,TRUE)</f>
        <v>Cybersecurity</v>
      </c>
      <c r="H658" s="13" t="str">
        <f>VLOOKUP($A658,Table1[],12,TRUE)</f>
        <v>37</v>
      </c>
      <c r="I658" s="20">
        <v>30</v>
      </c>
      <c r="J658" s="15">
        <f>VLOOKUP($A658,Table1[],18,TRUE)</f>
        <v>4</v>
      </c>
      <c r="K658" s="12" t="str">
        <f>VLOOKUP($A658,Table1[],22,TRUE)</f>
        <v>TRUE</v>
      </c>
      <c r="L658" s="13">
        <f>VLOOKUP($A658,Table1[],25,TRUE)</f>
        <v>0.62</v>
      </c>
    </row>
    <row r="659" spans="1:12" x14ac:dyDescent="0.25">
      <c r="A659" t="s">
        <v>1396</v>
      </c>
      <c r="B659" s="18" t="str">
        <f>VLOOKUP(A659,Table1[],3,TRUE)</f>
        <v>Randy Bender</v>
      </c>
      <c r="C659" s="18" t="str">
        <f>VLOOKUP($A659,Table1[],5,TRUE)</f>
        <v>Male</v>
      </c>
      <c r="D659" s="3" t="str">
        <f>VLOOKUP($A659,Table1[],7,TRUE)</f>
        <v>29</v>
      </c>
      <c r="E659" s="3" t="str">
        <f>VLOOKUP($A659,Table1[],8,TRUE)</f>
        <v>Germany</v>
      </c>
      <c r="F659" s="3" t="str">
        <f>VLOOKUP($A659,Table1[],9,TRUE)</f>
        <v>German</v>
      </c>
      <c r="G659" s="3" t="str">
        <f>VLOOKUP($A659,Table1[],10,TRUE)</f>
        <v>Graphic Design</v>
      </c>
      <c r="H659" s="13" t="str">
        <f>VLOOKUP($A659,Table1[],12,TRUE)</f>
        <v>2</v>
      </c>
      <c r="I659" s="20">
        <v>75</v>
      </c>
      <c r="J659" s="15">
        <f>VLOOKUP($A659,Table1[],18,TRUE)</f>
        <v>2.2000000000000002</v>
      </c>
      <c r="K659" s="12" t="str">
        <f>VLOOKUP($A659,Table1[],22,TRUE)</f>
        <v>TRUE</v>
      </c>
      <c r="L659" s="13">
        <f>VLOOKUP($A659,Table1[],25,TRUE)</f>
        <v>0.85</v>
      </c>
    </row>
    <row r="660" spans="1:12" x14ac:dyDescent="0.25">
      <c r="A660" t="s">
        <v>1398</v>
      </c>
      <c r="B660" s="18" t="str">
        <f>VLOOKUP(A660,Table1[],3,TRUE)</f>
        <v>Richard Dominguez</v>
      </c>
      <c r="C660" s="18" t="str">
        <f>VLOOKUP($A660,Table1[],5,TRUE)</f>
        <v>Male</v>
      </c>
      <c r="D660" s="3" t="str">
        <f>VLOOKUP($A660,Table1[],7,TRUE)</f>
        <v>58</v>
      </c>
      <c r="E660" s="3" t="str">
        <f>VLOOKUP($A660,Table1[],8,TRUE)</f>
        <v>China</v>
      </c>
      <c r="F660" s="3" t="str">
        <f>VLOOKUP($A660,Table1[],9,TRUE)</f>
        <v>Mandarin</v>
      </c>
      <c r="G660" s="3" t="str">
        <f>VLOOKUP($A660,Table1[],10,TRUE)</f>
        <v>AI</v>
      </c>
      <c r="H660" s="13" t="str">
        <f>VLOOKUP($A660,Table1[],12,TRUE)</f>
        <v>11</v>
      </c>
      <c r="I660" s="20">
        <v>100</v>
      </c>
      <c r="J660" s="15">
        <f>VLOOKUP($A660,Table1[],18,TRUE)</f>
        <v>4.3</v>
      </c>
      <c r="K660" s="12" t="str">
        <f>VLOOKUP($A660,Table1[],22,TRUE)</f>
        <v>FALSE</v>
      </c>
      <c r="L660" s="13">
        <f>VLOOKUP($A660,Table1[],25,TRUE)</f>
        <v>0.66</v>
      </c>
    </row>
    <row r="661" spans="1:12" x14ac:dyDescent="0.25">
      <c r="A661" t="s">
        <v>1400</v>
      </c>
      <c r="B661" s="18" t="str">
        <f>VLOOKUP(A661,Table1[],3,TRUE)</f>
        <v>Melissa Maldonado</v>
      </c>
      <c r="C661" s="18" t="str">
        <f>VLOOKUP($A661,Table1[],5,TRUE)</f>
        <v>Female</v>
      </c>
      <c r="D661" s="3" t="str">
        <f>VLOOKUP($A661,Table1[],7,TRUE)</f>
        <v>56</v>
      </c>
      <c r="E661" s="3" t="str">
        <f>VLOOKUP($A661,Table1[],8,TRUE)</f>
        <v>Canada</v>
      </c>
      <c r="F661" s="3" t="str">
        <f>VLOOKUP($A661,Table1[],9,TRUE)</f>
        <v>English</v>
      </c>
      <c r="G661" s="3" t="str">
        <f>VLOOKUP($A661,Table1[],10,TRUE)</f>
        <v>Cybersecurity</v>
      </c>
      <c r="H661" s="13" t="str">
        <f>VLOOKUP($A661,Table1[],12,TRUE)</f>
        <v>19</v>
      </c>
      <c r="I661" s="20">
        <v>20</v>
      </c>
      <c r="J661" s="15">
        <f>VLOOKUP($A661,Table1[],18,TRUE)</f>
        <v>0</v>
      </c>
      <c r="K661" s="12" t="str">
        <f>VLOOKUP($A661,Table1[],22,TRUE)</f>
        <v>FALSE</v>
      </c>
      <c r="L661" s="13">
        <f>VLOOKUP($A661,Table1[],25,TRUE)</f>
        <v>0.87</v>
      </c>
    </row>
    <row r="662" spans="1:12" x14ac:dyDescent="0.25">
      <c r="A662" t="s">
        <v>1402</v>
      </c>
      <c r="B662" s="18" t="str">
        <f>VLOOKUP(A662,Table1[],3,TRUE)</f>
        <v>Leah Harris</v>
      </c>
      <c r="C662" s="18" t="str">
        <f>VLOOKUP($A662,Table1[],5,TRUE)</f>
        <v>Female</v>
      </c>
      <c r="D662" s="3" t="str">
        <f>VLOOKUP($A662,Table1[],7,TRUE)</f>
        <v>36</v>
      </c>
      <c r="E662" s="3" t="str">
        <f>VLOOKUP($A662,Table1[],8,TRUE)</f>
        <v>United States</v>
      </c>
      <c r="F662" s="3" t="str">
        <f>VLOOKUP($A662,Table1[],9,TRUE)</f>
        <v>English</v>
      </c>
      <c r="G662" s="3" t="str">
        <f>VLOOKUP($A662,Table1[],10,TRUE)</f>
        <v>Machine Learning</v>
      </c>
      <c r="H662" s="13" t="str">
        <f>VLOOKUP($A662,Table1[],12,TRUE)</f>
        <v>9</v>
      </c>
      <c r="I662" s="20">
        <v>20</v>
      </c>
      <c r="J662" s="15">
        <f>VLOOKUP($A662,Table1[],18,TRUE)</f>
        <v>0</v>
      </c>
      <c r="K662" s="12" t="str">
        <f>VLOOKUP($A662,Table1[],22,TRUE)</f>
        <v>TRUE</v>
      </c>
      <c r="L662" s="13">
        <f>VLOOKUP($A662,Table1[],25,TRUE)</f>
        <v>0.68</v>
      </c>
    </row>
    <row r="663" spans="1:12" x14ac:dyDescent="0.25">
      <c r="A663" t="s">
        <v>1404</v>
      </c>
      <c r="B663" s="18" t="str">
        <f>VLOOKUP(A663,Table1[],3,TRUE)</f>
        <v>Lynn French</v>
      </c>
      <c r="C663" s="18" t="str">
        <f>VLOOKUP($A663,Table1[],5,TRUE)</f>
        <v>Female</v>
      </c>
      <c r="D663" s="3" t="str">
        <f>VLOOKUP($A663,Table1[],7,TRUE)</f>
        <v>52</v>
      </c>
      <c r="E663" s="3" t="str">
        <f>VLOOKUP($A663,Table1[],8,TRUE)</f>
        <v>Canada</v>
      </c>
      <c r="F663" s="3" t="str">
        <f>VLOOKUP($A663,Table1[],9,TRUE)</f>
        <v>English</v>
      </c>
      <c r="G663" s="3" t="str">
        <f>VLOOKUP($A663,Table1[],10,TRUE)</f>
        <v>UI/UX Design</v>
      </c>
      <c r="H663" s="13" t="str">
        <f>VLOOKUP($A663,Table1[],12,TRUE)</f>
        <v>16</v>
      </c>
      <c r="I663" s="20">
        <v>100</v>
      </c>
      <c r="J663" s="15">
        <f>VLOOKUP($A663,Table1[],18,TRUE)</f>
        <v>4</v>
      </c>
      <c r="K663" s="12" t="str">
        <f>VLOOKUP($A663,Table1[],22,TRUE)</f>
        <v>TRUE</v>
      </c>
      <c r="L663" s="13">
        <f>VLOOKUP($A663,Table1[],25,TRUE)</f>
        <v>0.75</v>
      </c>
    </row>
    <row r="664" spans="1:12" x14ac:dyDescent="0.25">
      <c r="A664" t="s">
        <v>1406</v>
      </c>
      <c r="B664" s="18" t="str">
        <f>VLOOKUP(A664,Table1[],3,TRUE)</f>
        <v>Angela Johnson</v>
      </c>
      <c r="C664" s="18" t="str">
        <f>VLOOKUP($A664,Table1[],5,TRUE)</f>
        <v>Female</v>
      </c>
      <c r="D664" s="3" t="str">
        <f>VLOOKUP($A664,Table1[],7,TRUE)</f>
        <v>42</v>
      </c>
      <c r="E664" s="3" t="str">
        <f>VLOOKUP($A664,Table1[],8,TRUE)</f>
        <v>Netherlands</v>
      </c>
      <c r="F664" s="3" t="str">
        <f>VLOOKUP($A664,Table1[],9,TRUE)</f>
        <v>Dutch</v>
      </c>
      <c r="G664" s="3" t="str">
        <f>VLOOKUP($A664,Table1[],10,TRUE)</f>
        <v>Mobile Apps</v>
      </c>
      <c r="H664" s="13" t="str">
        <f>VLOOKUP($A664,Table1[],12,TRUE)</f>
        <v>8</v>
      </c>
      <c r="I664" s="20">
        <v>50</v>
      </c>
      <c r="J664" s="15">
        <f>VLOOKUP($A664,Table1[],18,TRUE)</f>
        <v>2.6</v>
      </c>
      <c r="K664" s="12" t="str">
        <f>VLOOKUP($A664,Table1[],22,TRUE)</f>
        <v>TRUE</v>
      </c>
      <c r="L664" s="13">
        <f>VLOOKUP($A664,Table1[],25,TRUE)</f>
        <v>0.75</v>
      </c>
    </row>
    <row r="665" spans="1:12" x14ac:dyDescent="0.25">
      <c r="A665" t="s">
        <v>1408</v>
      </c>
      <c r="B665" s="18" t="str">
        <f>VLOOKUP(A665,Table1[],3,TRUE)</f>
        <v>Sarah Edwards</v>
      </c>
      <c r="C665" s="18" t="str">
        <f>VLOOKUP($A665,Table1[],5,TRUE)</f>
        <v>Female</v>
      </c>
      <c r="D665" s="3" t="str">
        <f>VLOOKUP($A665,Table1[],7,TRUE)</f>
        <v>59</v>
      </c>
      <c r="E665" s="3" t="str">
        <f>VLOOKUP($A665,Table1[],8,TRUE)</f>
        <v>India</v>
      </c>
      <c r="F665" s="3" t="str">
        <f>VLOOKUP($A665,Table1[],9,TRUE)</f>
        <v>Hindi</v>
      </c>
      <c r="G665" s="3" t="str">
        <f>VLOOKUP($A665,Table1[],10,TRUE)</f>
        <v>Mobile Apps</v>
      </c>
      <c r="H665" s="13" t="str">
        <f>VLOOKUP($A665,Table1[],12,TRUE)</f>
        <v>34</v>
      </c>
      <c r="I665" s="20">
        <v>100</v>
      </c>
      <c r="J665" s="15">
        <f>VLOOKUP($A665,Table1[],18,TRUE)</f>
        <v>2</v>
      </c>
      <c r="K665" s="12" t="str">
        <f>VLOOKUP($A665,Table1[],22,TRUE)</f>
        <v>TRUE</v>
      </c>
      <c r="L665" s="13">
        <f>VLOOKUP($A665,Table1[],25,TRUE)</f>
        <v>0.79</v>
      </c>
    </row>
    <row r="666" spans="1:12" x14ac:dyDescent="0.25">
      <c r="A666" t="s">
        <v>1410</v>
      </c>
      <c r="B666" s="18" t="str">
        <f>VLOOKUP(A666,Table1[],3,TRUE)</f>
        <v>Roy Collins</v>
      </c>
      <c r="C666" s="18" t="str">
        <f>VLOOKUP($A666,Table1[],5,TRUE)</f>
        <v>Male</v>
      </c>
      <c r="D666" s="3" t="str">
        <f>VLOOKUP($A666,Table1[],7,TRUE)</f>
        <v>33</v>
      </c>
      <c r="E666" s="3" t="str">
        <f>VLOOKUP($A666,Table1[],8,TRUE)</f>
        <v>Netherlands</v>
      </c>
      <c r="F666" s="3" t="str">
        <f>VLOOKUP($A666,Table1[],9,TRUE)</f>
        <v>Dutch</v>
      </c>
      <c r="G666" s="3" t="str">
        <f>VLOOKUP($A666,Table1[],10,TRUE)</f>
        <v>Mobile Apps</v>
      </c>
      <c r="H666" s="13" t="str">
        <f>VLOOKUP($A666,Table1[],12,TRUE)</f>
        <v>5</v>
      </c>
      <c r="I666" s="20">
        <v>50</v>
      </c>
      <c r="J666" s="15">
        <f>VLOOKUP($A666,Table1[],18,TRUE)</f>
        <v>4.7</v>
      </c>
      <c r="K666" s="12" t="str">
        <f>VLOOKUP($A666,Table1[],22,TRUE)</f>
        <v>TRUE</v>
      </c>
      <c r="L666" s="13">
        <f>VLOOKUP($A666,Table1[],25,TRUE)</f>
        <v>0.88</v>
      </c>
    </row>
    <row r="667" spans="1:12" x14ac:dyDescent="0.25">
      <c r="A667" t="s">
        <v>1412</v>
      </c>
      <c r="B667" s="18" t="str">
        <f>VLOOKUP(A667,Table1[],3,TRUE)</f>
        <v>Samantha Porter</v>
      </c>
      <c r="C667" s="18" t="str">
        <f>VLOOKUP($A667,Table1[],5,TRUE)</f>
        <v>Female</v>
      </c>
      <c r="D667" s="3" t="str">
        <f>VLOOKUP($A667,Table1[],7,TRUE)</f>
        <v>55</v>
      </c>
      <c r="E667" s="3" t="str">
        <f>VLOOKUP($A667,Table1[],8,TRUE)</f>
        <v>Canada</v>
      </c>
      <c r="F667" s="3" t="str">
        <f>VLOOKUP($A667,Table1[],9,TRUE)</f>
        <v>English</v>
      </c>
      <c r="G667" s="3" t="str">
        <f>VLOOKUP($A667,Table1[],10,TRUE)</f>
        <v>Web Development</v>
      </c>
      <c r="H667" s="13" t="str">
        <f>VLOOKUP($A667,Table1[],12,TRUE)</f>
        <v>14</v>
      </c>
      <c r="I667" s="20">
        <v>50</v>
      </c>
      <c r="J667" s="15">
        <f>VLOOKUP($A667,Table1[],18,TRUE)</f>
        <v>3.6</v>
      </c>
      <c r="K667" s="12" t="str">
        <f>VLOOKUP($A667,Table1[],22,TRUE)</f>
        <v>TRUE</v>
      </c>
      <c r="L667" s="13">
        <f>VLOOKUP($A667,Table1[],25,TRUE)</f>
        <v>0.81</v>
      </c>
    </row>
    <row r="668" spans="1:12" x14ac:dyDescent="0.25">
      <c r="A668" t="s">
        <v>1414</v>
      </c>
      <c r="B668" s="18" t="str">
        <f>VLOOKUP(A668,Table1[],3,TRUE)</f>
        <v>Juan Elliott</v>
      </c>
      <c r="C668" s="18" t="str">
        <f>VLOOKUP($A668,Table1[],5,TRUE)</f>
        <v>Male</v>
      </c>
      <c r="D668" s="3" t="str">
        <f>VLOOKUP($A668,Table1[],7,TRUE)</f>
        <v>47</v>
      </c>
      <c r="E668" s="3" t="str">
        <f>VLOOKUP($A668,Table1[],8,TRUE)</f>
        <v>South Korea</v>
      </c>
      <c r="F668" s="3" t="str">
        <f>VLOOKUP($A668,Table1[],9,TRUE)</f>
        <v>Korean</v>
      </c>
      <c r="G668" s="3" t="str">
        <f>VLOOKUP($A668,Table1[],10,TRUE)</f>
        <v>UI/UX Design</v>
      </c>
      <c r="H668" s="13" t="str">
        <f>VLOOKUP($A668,Table1[],12,TRUE)</f>
        <v>17</v>
      </c>
      <c r="I668" s="20">
        <v>50</v>
      </c>
      <c r="J668" s="15">
        <f>VLOOKUP($A668,Table1[],18,TRUE)</f>
        <v>1.2</v>
      </c>
      <c r="K668" s="12" t="str">
        <f>VLOOKUP($A668,Table1[],22,TRUE)</f>
        <v>FALSE</v>
      </c>
      <c r="L668" s="13">
        <f>VLOOKUP($A668,Table1[],25,TRUE)</f>
        <v>0.75</v>
      </c>
    </row>
    <row r="669" spans="1:12" x14ac:dyDescent="0.25">
      <c r="A669" t="s">
        <v>1416</v>
      </c>
      <c r="B669" s="18" t="str">
        <f>VLOOKUP(A669,Table1[],3,TRUE)</f>
        <v>Elizabeth Phillips</v>
      </c>
      <c r="C669" s="18" t="str">
        <f>VLOOKUP($A669,Table1[],5,TRUE)</f>
        <v>Female</v>
      </c>
      <c r="D669" s="3" t="str">
        <f>VLOOKUP($A669,Table1[],7,TRUE)</f>
        <v>29</v>
      </c>
      <c r="E669" s="3" t="str">
        <f>VLOOKUP($A669,Table1[],8,TRUE)</f>
        <v>Mexico</v>
      </c>
      <c r="F669" s="3" t="str">
        <f>VLOOKUP($A669,Table1[],9,TRUE)</f>
        <v>Spanish</v>
      </c>
      <c r="G669" s="3" t="str">
        <f>VLOOKUP($A669,Table1[],10,TRUE)</f>
        <v>AI</v>
      </c>
      <c r="H669" s="13" t="str">
        <f>VLOOKUP($A669,Table1[],12,TRUE)</f>
        <v>10</v>
      </c>
      <c r="I669" s="20">
        <v>50</v>
      </c>
      <c r="J669" s="15">
        <f>VLOOKUP($A669,Table1[],18,TRUE)</f>
        <v>4.4000000000000004</v>
      </c>
      <c r="K669" s="12" t="str">
        <f>VLOOKUP($A669,Table1[],22,TRUE)</f>
        <v>TRUE</v>
      </c>
      <c r="L669" s="13">
        <f>VLOOKUP($A669,Table1[],25,TRUE)</f>
        <v>0.67</v>
      </c>
    </row>
    <row r="670" spans="1:12" x14ac:dyDescent="0.25">
      <c r="A670" t="s">
        <v>1418</v>
      </c>
      <c r="B670" s="18" t="str">
        <f>VLOOKUP(A670,Table1[],3,TRUE)</f>
        <v>Laura Evans</v>
      </c>
      <c r="C670" s="18" t="str">
        <f>VLOOKUP($A670,Table1[],5,TRUE)</f>
        <v>Female</v>
      </c>
      <c r="D670" s="3" t="str">
        <f>VLOOKUP($A670,Table1[],7,TRUE)</f>
        <v>30</v>
      </c>
      <c r="E670" s="3" t="str">
        <f>VLOOKUP($A670,Table1[],8,TRUE)</f>
        <v>United Kingdom</v>
      </c>
      <c r="F670" s="3" t="str">
        <f>VLOOKUP($A670,Table1[],9,TRUE)</f>
        <v>English</v>
      </c>
      <c r="G670" s="3" t="str">
        <f>VLOOKUP($A670,Table1[],10,TRUE)</f>
        <v>DevOps</v>
      </c>
      <c r="H670" s="13" t="str">
        <f>VLOOKUP($A670,Table1[],12,TRUE)</f>
        <v>8</v>
      </c>
      <c r="I670" s="20">
        <v>100</v>
      </c>
      <c r="J670" s="15">
        <f>VLOOKUP($A670,Table1[],18,TRUE)</f>
        <v>1.4</v>
      </c>
      <c r="K670" s="12" t="str">
        <f>VLOOKUP($A670,Table1[],22,TRUE)</f>
        <v>TRUE</v>
      </c>
      <c r="L670" s="13">
        <f>VLOOKUP($A670,Table1[],25,TRUE)</f>
        <v>0.62</v>
      </c>
    </row>
    <row r="671" spans="1:12" x14ac:dyDescent="0.25">
      <c r="A671" t="s">
        <v>1420</v>
      </c>
      <c r="B671" s="18" t="str">
        <f>VLOOKUP(A671,Table1[],3,TRUE)</f>
        <v>Amanda Mitchell</v>
      </c>
      <c r="C671" s="18" t="str">
        <f>VLOOKUP($A671,Table1[],5,TRUE)</f>
        <v>Female</v>
      </c>
      <c r="D671" s="3" t="str">
        <f>VLOOKUP($A671,Table1[],7,TRUE)</f>
        <v>25</v>
      </c>
      <c r="E671" s="3" t="str">
        <f>VLOOKUP($A671,Table1[],8,TRUE)</f>
        <v>Canada</v>
      </c>
      <c r="F671" s="3" t="str">
        <f>VLOOKUP($A671,Table1[],9,TRUE)</f>
        <v>English</v>
      </c>
      <c r="G671" s="3" t="str">
        <f>VLOOKUP($A671,Table1[],10,TRUE)</f>
        <v>DevOps</v>
      </c>
      <c r="H671" s="13" t="str">
        <f>VLOOKUP($A671,Table1[],12,TRUE)</f>
        <v>1</v>
      </c>
      <c r="I671" s="20">
        <v>30</v>
      </c>
      <c r="J671" s="15">
        <f>VLOOKUP($A671,Table1[],18,TRUE)</f>
        <v>3.2</v>
      </c>
      <c r="K671" s="12" t="str">
        <f>VLOOKUP($A671,Table1[],22,TRUE)</f>
        <v>FALSE</v>
      </c>
      <c r="L671" s="13">
        <f>VLOOKUP($A671,Table1[],25,TRUE)</f>
        <v>0.87</v>
      </c>
    </row>
    <row r="672" spans="1:12" x14ac:dyDescent="0.25">
      <c r="A672" t="s">
        <v>1422</v>
      </c>
      <c r="B672" s="18" t="str">
        <f>VLOOKUP(A672,Table1[],3,TRUE)</f>
        <v>Sandra Williams</v>
      </c>
      <c r="C672" s="18" t="str">
        <f>VLOOKUP($A672,Table1[],5,TRUE)</f>
        <v>Female</v>
      </c>
      <c r="D672" s="3" t="str">
        <f>VLOOKUP($A672,Table1[],7,TRUE)</f>
        <v>28</v>
      </c>
      <c r="E672" s="3" t="str">
        <f>VLOOKUP($A672,Table1[],8,TRUE)</f>
        <v>Egypt</v>
      </c>
      <c r="F672" s="3" t="str">
        <f>VLOOKUP($A672,Table1[],9,TRUE)</f>
        <v>Arabic</v>
      </c>
      <c r="G672" s="3" t="str">
        <f>VLOOKUP($A672,Table1[],10,TRUE)</f>
        <v>Cybersecurity</v>
      </c>
      <c r="H672" s="13" t="str">
        <f>VLOOKUP($A672,Table1[],12,TRUE)</f>
        <v>10</v>
      </c>
      <c r="I672" s="20">
        <v>50</v>
      </c>
      <c r="J672" s="15">
        <f>VLOOKUP($A672,Table1[],18,TRUE)</f>
        <v>3.8</v>
      </c>
      <c r="K672" s="12" t="str">
        <f>VLOOKUP($A672,Table1[],22,TRUE)</f>
        <v>TRUE</v>
      </c>
      <c r="L672" s="13">
        <f>VLOOKUP($A672,Table1[],25,TRUE)</f>
        <v>0.98</v>
      </c>
    </row>
    <row r="673" spans="1:12" x14ac:dyDescent="0.25">
      <c r="A673" t="s">
        <v>1424</v>
      </c>
      <c r="B673" s="18" t="str">
        <f>VLOOKUP(A673,Table1[],3,TRUE)</f>
        <v>Eric Johnson</v>
      </c>
      <c r="C673" s="18" t="str">
        <f>VLOOKUP($A673,Table1[],5,TRUE)</f>
        <v>Male</v>
      </c>
      <c r="D673" s="3" t="str">
        <f>VLOOKUP($A673,Table1[],7,TRUE)</f>
        <v>29</v>
      </c>
      <c r="E673" s="3" t="str">
        <f>VLOOKUP($A673,Table1[],8,TRUE)</f>
        <v>South Korea</v>
      </c>
      <c r="F673" s="3" t="str">
        <f>VLOOKUP($A673,Table1[],9,TRUE)</f>
        <v>Korean</v>
      </c>
      <c r="G673" s="3" t="str">
        <f>VLOOKUP($A673,Table1[],10,TRUE)</f>
        <v>Blockchain Development</v>
      </c>
      <c r="H673" s="13" t="str">
        <f>VLOOKUP($A673,Table1[],12,TRUE)</f>
        <v>0</v>
      </c>
      <c r="I673" s="20">
        <v>75</v>
      </c>
      <c r="J673" s="15">
        <f>VLOOKUP($A673,Table1[],18,TRUE)</f>
        <v>1.5</v>
      </c>
      <c r="K673" s="12" t="str">
        <f>VLOOKUP($A673,Table1[],22,TRUE)</f>
        <v>TRUE</v>
      </c>
      <c r="L673" s="13">
        <f>VLOOKUP($A673,Table1[],25,TRUE)</f>
        <v>0.64</v>
      </c>
    </row>
    <row r="674" spans="1:12" x14ac:dyDescent="0.25">
      <c r="A674" t="s">
        <v>1426</v>
      </c>
      <c r="B674" s="18" t="str">
        <f>VLOOKUP(A674,Table1[],3,TRUE)</f>
        <v>Javier Hobbs</v>
      </c>
      <c r="C674" s="18" t="str">
        <f>VLOOKUP($A674,Table1[],5,TRUE)</f>
        <v>Male</v>
      </c>
      <c r="D674" s="3" t="str">
        <f>VLOOKUP($A674,Table1[],7,TRUE)</f>
        <v>30</v>
      </c>
      <c r="E674" s="3" t="str">
        <f>VLOOKUP($A674,Table1[],8,TRUE)</f>
        <v>Spain</v>
      </c>
      <c r="F674" s="3" t="str">
        <f>VLOOKUP($A674,Table1[],9,TRUE)</f>
        <v>Spanish</v>
      </c>
      <c r="G674" s="3" t="str">
        <f>VLOOKUP($A674,Table1[],10,TRUE)</f>
        <v>Graphic Design</v>
      </c>
      <c r="H674" s="13" t="str">
        <f>VLOOKUP($A674,Table1[],12,TRUE)</f>
        <v>4</v>
      </c>
      <c r="I674" s="20">
        <v>50</v>
      </c>
      <c r="J674" s="15">
        <f>VLOOKUP($A674,Table1[],18,TRUE)</f>
        <v>2.8</v>
      </c>
      <c r="K674" s="12" t="str">
        <f>VLOOKUP($A674,Table1[],22,TRUE)</f>
        <v>TRUE</v>
      </c>
      <c r="L674" s="13">
        <f>VLOOKUP($A674,Table1[],25,TRUE)</f>
        <v>0.71</v>
      </c>
    </row>
    <row r="675" spans="1:12" x14ac:dyDescent="0.25">
      <c r="A675" t="s">
        <v>1428</v>
      </c>
      <c r="B675" s="18" t="str">
        <f>VLOOKUP(A675,Table1[],3,TRUE)</f>
        <v>Jacob Jones</v>
      </c>
      <c r="C675" s="18" t="str">
        <f>VLOOKUP($A675,Table1[],5,TRUE)</f>
        <v>Male</v>
      </c>
      <c r="D675" s="3" t="str">
        <f>VLOOKUP($A675,Table1[],7,TRUE)</f>
        <v>47</v>
      </c>
      <c r="E675" s="3" t="str">
        <f>VLOOKUP($A675,Table1[],8,TRUE)</f>
        <v>Egypt</v>
      </c>
      <c r="F675" s="3" t="str">
        <f>VLOOKUP($A675,Table1[],9,TRUE)</f>
        <v>Arabic</v>
      </c>
      <c r="G675" s="3" t="str">
        <f>VLOOKUP($A675,Table1[],10,TRUE)</f>
        <v>AI</v>
      </c>
      <c r="H675" s="13" t="str">
        <f>VLOOKUP($A675,Table1[],12,TRUE)</f>
        <v>2</v>
      </c>
      <c r="I675" s="20">
        <v>50</v>
      </c>
      <c r="J675" s="15">
        <f>VLOOKUP($A675,Table1[],18,TRUE)</f>
        <v>2.7</v>
      </c>
      <c r="K675" s="12" t="str">
        <f>VLOOKUP($A675,Table1[],22,TRUE)</f>
        <v>FALSE</v>
      </c>
      <c r="L675" s="13">
        <f>VLOOKUP($A675,Table1[],25,TRUE)</f>
        <v>0.96</v>
      </c>
    </row>
    <row r="676" spans="1:12" x14ac:dyDescent="0.25">
      <c r="A676" t="s">
        <v>1430</v>
      </c>
      <c r="B676" s="18" t="str">
        <f>VLOOKUP(A676,Table1[],3,TRUE)</f>
        <v>Zachary Murphy</v>
      </c>
      <c r="C676" s="18" t="str">
        <f>VLOOKUP($A676,Table1[],5,TRUE)</f>
        <v>Male</v>
      </c>
      <c r="D676" s="3" t="str">
        <f>VLOOKUP($A676,Table1[],7,TRUE)</f>
        <v>34</v>
      </c>
      <c r="E676" s="3" t="str">
        <f>VLOOKUP($A676,Table1[],8,TRUE)</f>
        <v>Australia</v>
      </c>
      <c r="F676" s="3" t="str">
        <f>VLOOKUP($A676,Table1[],9,TRUE)</f>
        <v>English</v>
      </c>
      <c r="G676" s="3" t="str">
        <f>VLOOKUP($A676,Table1[],10,TRUE)</f>
        <v>Blockchain Development</v>
      </c>
      <c r="H676" s="13" t="str">
        <f>VLOOKUP($A676,Table1[],12,TRUE)</f>
        <v>10</v>
      </c>
      <c r="I676" s="20">
        <v>30</v>
      </c>
      <c r="J676" s="15">
        <f>VLOOKUP($A676,Table1[],18,TRUE)</f>
        <v>3.9</v>
      </c>
      <c r="K676" s="12" t="str">
        <f>VLOOKUP($A676,Table1[],22,TRUE)</f>
        <v>TRUE</v>
      </c>
      <c r="L676" s="13">
        <f>VLOOKUP($A676,Table1[],25,TRUE)</f>
        <v>0.75</v>
      </c>
    </row>
    <row r="677" spans="1:12" x14ac:dyDescent="0.25">
      <c r="A677" t="s">
        <v>1432</v>
      </c>
      <c r="B677" s="18" t="str">
        <f>VLOOKUP(A677,Table1[],3,TRUE)</f>
        <v>Joshua Owens</v>
      </c>
      <c r="C677" s="18" t="str">
        <f>VLOOKUP($A677,Table1[],5,TRUE)</f>
        <v>Male</v>
      </c>
      <c r="D677" s="3" t="str">
        <f>VLOOKUP($A677,Table1[],7,TRUE)</f>
        <v>45</v>
      </c>
      <c r="E677" s="3" t="str">
        <f>VLOOKUP($A677,Table1[],8,TRUE)</f>
        <v>United States</v>
      </c>
      <c r="F677" s="3" t="str">
        <f>VLOOKUP($A677,Table1[],9,TRUE)</f>
        <v>English</v>
      </c>
      <c r="G677" s="3" t="str">
        <f>VLOOKUP($A677,Table1[],10,TRUE)</f>
        <v>Graphic Design</v>
      </c>
      <c r="H677" s="13" t="str">
        <f>VLOOKUP($A677,Table1[],12,TRUE)</f>
        <v>16</v>
      </c>
      <c r="I677" s="20">
        <v>100</v>
      </c>
      <c r="J677" s="15">
        <f>VLOOKUP($A677,Table1[],18,TRUE)</f>
        <v>4.5999999999999996</v>
      </c>
      <c r="K677" s="12" t="str">
        <f>VLOOKUP($A677,Table1[],22,TRUE)</f>
        <v>FALSE</v>
      </c>
      <c r="L677" s="13">
        <f>VLOOKUP($A677,Table1[],25,TRUE)</f>
        <v>0.78</v>
      </c>
    </row>
    <row r="678" spans="1:12" x14ac:dyDescent="0.25">
      <c r="A678" t="s">
        <v>1434</v>
      </c>
      <c r="B678" s="18" t="str">
        <f>VLOOKUP(A678,Table1[],3,TRUE)</f>
        <v>Dawn Mitchell</v>
      </c>
      <c r="C678" s="18" t="str">
        <f>VLOOKUP($A678,Table1[],5,TRUE)</f>
        <v>Female</v>
      </c>
      <c r="D678" s="3" t="str">
        <f>VLOOKUP($A678,Table1[],7,TRUE)</f>
        <v>56</v>
      </c>
      <c r="E678" s="3" t="str">
        <f>VLOOKUP($A678,Table1[],8,TRUE)</f>
        <v>Spain</v>
      </c>
      <c r="F678" s="3" t="str">
        <f>VLOOKUP($A678,Table1[],9,TRUE)</f>
        <v>Spanish</v>
      </c>
      <c r="G678" s="3" t="str">
        <f>VLOOKUP($A678,Table1[],10,TRUE)</f>
        <v>Cybersecurity</v>
      </c>
      <c r="H678" s="13" t="str">
        <f>VLOOKUP($A678,Table1[],12,TRUE)</f>
        <v>27</v>
      </c>
      <c r="I678" s="20">
        <v>20</v>
      </c>
      <c r="J678" s="15">
        <f>VLOOKUP($A678,Table1[],18,TRUE)</f>
        <v>2.2000000000000002</v>
      </c>
      <c r="K678" s="12" t="str">
        <f>VLOOKUP($A678,Table1[],22,TRUE)</f>
        <v>TRUE</v>
      </c>
      <c r="L678" s="13">
        <f>VLOOKUP($A678,Table1[],25,TRUE)</f>
        <v>0.7</v>
      </c>
    </row>
    <row r="679" spans="1:12" x14ac:dyDescent="0.25">
      <c r="A679" t="s">
        <v>1436</v>
      </c>
      <c r="B679" s="18" t="str">
        <f>VLOOKUP(A679,Table1[],3,TRUE)</f>
        <v>Regina Dunn</v>
      </c>
      <c r="C679" s="18" t="str">
        <f>VLOOKUP($A679,Table1[],5,TRUE)</f>
        <v>Female</v>
      </c>
      <c r="D679" s="3" t="str">
        <f>VLOOKUP($A679,Table1[],7,TRUE)</f>
        <v>49</v>
      </c>
      <c r="E679" s="3" t="str">
        <f>VLOOKUP($A679,Table1[],8,TRUE)</f>
        <v>China</v>
      </c>
      <c r="F679" s="3" t="str">
        <f>VLOOKUP($A679,Table1[],9,TRUE)</f>
        <v>Mandarin</v>
      </c>
      <c r="G679" s="3" t="str">
        <f>VLOOKUP($A679,Table1[],10,TRUE)</f>
        <v>DevOps</v>
      </c>
      <c r="H679" s="13" t="str">
        <f>VLOOKUP($A679,Table1[],12,TRUE)</f>
        <v>20</v>
      </c>
      <c r="I679" s="20">
        <v>50</v>
      </c>
      <c r="J679" s="15">
        <f>VLOOKUP($A679,Table1[],18,TRUE)</f>
        <v>2.5</v>
      </c>
      <c r="K679" s="12" t="str">
        <f>VLOOKUP($A679,Table1[],22,TRUE)</f>
        <v>FALSE</v>
      </c>
      <c r="L679" s="13">
        <f>VLOOKUP($A679,Table1[],25,TRUE)</f>
        <v>0.82</v>
      </c>
    </row>
    <row r="680" spans="1:12" x14ac:dyDescent="0.25">
      <c r="A680" t="s">
        <v>1438</v>
      </c>
      <c r="B680" s="18" t="str">
        <f>VLOOKUP(A680,Table1[],3,TRUE)</f>
        <v>Ernest Cole</v>
      </c>
      <c r="C680" s="18" t="str">
        <f>VLOOKUP($A680,Table1[],5,TRUE)</f>
        <v>Male</v>
      </c>
      <c r="D680" s="3" t="str">
        <f>VLOOKUP($A680,Table1[],7,TRUE)</f>
        <v>48</v>
      </c>
      <c r="E680" s="3" t="str">
        <f>VLOOKUP($A680,Table1[],8,TRUE)</f>
        <v>France</v>
      </c>
      <c r="F680" s="3" t="str">
        <f>VLOOKUP($A680,Table1[],9,TRUE)</f>
        <v>French</v>
      </c>
      <c r="G680" s="3" t="str">
        <f>VLOOKUP($A680,Table1[],10,TRUE)</f>
        <v>AI</v>
      </c>
      <c r="H680" s="13" t="str">
        <f>VLOOKUP($A680,Table1[],12,TRUE)</f>
        <v>10</v>
      </c>
      <c r="I680" s="20">
        <v>50</v>
      </c>
      <c r="J680" s="15">
        <f>VLOOKUP($A680,Table1[],18,TRUE)</f>
        <v>3.1</v>
      </c>
      <c r="K680" s="12" t="str">
        <f>VLOOKUP($A680,Table1[],22,TRUE)</f>
        <v>TRUE</v>
      </c>
      <c r="L680" s="13">
        <f>VLOOKUP($A680,Table1[],25,TRUE)</f>
        <v>0.75</v>
      </c>
    </row>
    <row r="681" spans="1:12" x14ac:dyDescent="0.25">
      <c r="A681" t="s">
        <v>1440</v>
      </c>
      <c r="B681" s="18" t="str">
        <f>VLOOKUP(A681,Table1[],3,TRUE)</f>
        <v>Hannah Sanders</v>
      </c>
      <c r="C681" s="18" t="str">
        <f>VLOOKUP($A681,Table1[],5,TRUE)</f>
        <v>Female</v>
      </c>
      <c r="D681" s="3" t="str">
        <f>VLOOKUP($A681,Table1[],7,TRUE)</f>
        <v>29</v>
      </c>
      <c r="E681" s="3" t="str">
        <f>VLOOKUP($A681,Table1[],8,TRUE)</f>
        <v>South Korea</v>
      </c>
      <c r="F681" s="3" t="str">
        <f>VLOOKUP($A681,Table1[],9,TRUE)</f>
        <v>Korean</v>
      </c>
      <c r="G681" s="3" t="str">
        <f>VLOOKUP($A681,Table1[],10,TRUE)</f>
        <v>Graphic Design</v>
      </c>
      <c r="H681" s="13" t="str">
        <f>VLOOKUP($A681,Table1[],12,TRUE)</f>
        <v>0</v>
      </c>
      <c r="I681" s="20">
        <v>20</v>
      </c>
      <c r="J681" s="15">
        <f>VLOOKUP($A681,Table1[],18,TRUE)</f>
        <v>2.6</v>
      </c>
      <c r="K681" s="12" t="str">
        <f>VLOOKUP($A681,Table1[],22,TRUE)</f>
        <v>TRUE</v>
      </c>
      <c r="L681" s="13">
        <f>VLOOKUP($A681,Table1[],25,TRUE)</f>
        <v>0.99</v>
      </c>
    </row>
    <row r="682" spans="1:12" x14ac:dyDescent="0.25">
      <c r="A682" t="s">
        <v>1442</v>
      </c>
      <c r="B682" s="18" t="str">
        <f>VLOOKUP(A682,Table1[],3,TRUE)</f>
        <v>Ellen Bowman</v>
      </c>
      <c r="C682" s="18" t="str">
        <f>VLOOKUP($A682,Table1[],5,TRUE)</f>
        <v>Female</v>
      </c>
      <c r="D682" s="3" t="str">
        <f>VLOOKUP($A682,Table1[],7,TRUE)</f>
        <v>49</v>
      </c>
      <c r="E682" s="3" t="str">
        <f>VLOOKUP($A682,Table1[],8,TRUE)</f>
        <v>Netherlands</v>
      </c>
      <c r="F682" s="3" t="str">
        <f>VLOOKUP($A682,Table1[],9,TRUE)</f>
        <v>Dutch</v>
      </c>
      <c r="G682" s="3" t="str">
        <f>VLOOKUP($A682,Table1[],10,TRUE)</f>
        <v>Web Development</v>
      </c>
      <c r="H682" s="13" t="str">
        <f>VLOOKUP($A682,Table1[],12,TRUE)</f>
        <v>11</v>
      </c>
      <c r="I682" s="20">
        <v>75</v>
      </c>
      <c r="J682" s="15">
        <f>VLOOKUP($A682,Table1[],18,TRUE)</f>
        <v>3.8</v>
      </c>
      <c r="K682" s="12" t="str">
        <f>VLOOKUP($A682,Table1[],22,TRUE)</f>
        <v>TRUE</v>
      </c>
      <c r="L682" s="13">
        <f>VLOOKUP($A682,Table1[],25,TRUE)</f>
        <v>0.93</v>
      </c>
    </row>
    <row r="683" spans="1:12" x14ac:dyDescent="0.25">
      <c r="A683" t="s">
        <v>1444</v>
      </c>
      <c r="B683" s="18" t="str">
        <f>VLOOKUP(A683,Table1[],3,TRUE)</f>
        <v>Nancy Moore</v>
      </c>
      <c r="C683" s="18" t="str">
        <f>VLOOKUP($A683,Table1[],5,TRUE)</f>
        <v>Female</v>
      </c>
      <c r="D683" s="3" t="str">
        <f>VLOOKUP($A683,Table1[],7,TRUE)</f>
        <v>22</v>
      </c>
      <c r="E683" s="3" t="str">
        <f>VLOOKUP($A683,Table1[],8,TRUE)</f>
        <v>China</v>
      </c>
      <c r="F683" s="3" t="str">
        <f>VLOOKUP($A683,Table1[],9,TRUE)</f>
        <v>Mandarin</v>
      </c>
      <c r="G683" s="3" t="str">
        <f>VLOOKUP($A683,Table1[],10,TRUE)</f>
        <v>Blockchain Development</v>
      </c>
      <c r="H683" s="13" t="str">
        <f>VLOOKUP($A683,Table1[],12,TRUE)</f>
        <v>1</v>
      </c>
      <c r="I683" s="20">
        <v>100</v>
      </c>
      <c r="J683" s="15">
        <f>VLOOKUP($A683,Table1[],18,TRUE)</f>
        <v>4.8</v>
      </c>
      <c r="K683" s="12" t="str">
        <f>VLOOKUP($A683,Table1[],22,TRUE)</f>
        <v>TRUE</v>
      </c>
      <c r="L683" s="13">
        <f>VLOOKUP($A683,Table1[],25,TRUE)</f>
        <v>0.75</v>
      </c>
    </row>
    <row r="684" spans="1:12" x14ac:dyDescent="0.25">
      <c r="A684" t="s">
        <v>1446</v>
      </c>
      <c r="B684" s="18" t="str">
        <f>VLOOKUP(A684,Table1[],3,TRUE)</f>
        <v>Joseph Wood</v>
      </c>
      <c r="C684" s="18" t="str">
        <f>VLOOKUP($A684,Table1[],5,TRUE)</f>
        <v>Male</v>
      </c>
      <c r="D684" s="3" t="str">
        <f>VLOOKUP($A684,Table1[],7,TRUE)</f>
        <v>52</v>
      </c>
      <c r="E684" s="3" t="str">
        <f>VLOOKUP($A684,Table1[],8,TRUE)</f>
        <v>Mexico</v>
      </c>
      <c r="F684" s="3" t="str">
        <f>VLOOKUP($A684,Table1[],9,TRUE)</f>
        <v>Spanish</v>
      </c>
      <c r="G684" s="3" t="str">
        <f>VLOOKUP($A684,Table1[],10,TRUE)</f>
        <v>Graphic Design</v>
      </c>
      <c r="H684" s="13" t="str">
        <f>VLOOKUP($A684,Table1[],12,TRUE)</f>
        <v>30</v>
      </c>
      <c r="I684" s="20">
        <v>100</v>
      </c>
      <c r="J684" s="15">
        <f>VLOOKUP($A684,Table1[],18,TRUE)</f>
        <v>2.5</v>
      </c>
      <c r="K684" s="12" t="str">
        <f>VLOOKUP($A684,Table1[],22,TRUE)</f>
        <v>TRUE</v>
      </c>
      <c r="L684" s="13">
        <f>VLOOKUP($A684,Table1[],25,TRUE)</f>
        <v>0.61</v>
      </c>
    </row>
    <row r="685" spans="1:12" x14ac:dyDescent="0.25">
      <c r="A685" t="s">
        <v>1448</v>
      </c>
      <c r="B685" s="18" t="str">
        <f>VLOOKUP(A685,Table1[],3,TRUE)</f>
        <v>Michael Harrell</v>
      </c>
      <c r="C685" s="18" t="str">
        <f>VLOOKUP($A685,Table1[],5,TRUE)</f>
        <v>Male</v>
      </c>
      <c r="D685" s="3" t="str">
        <f>VLOOKUP($A685,Table1[],7,TRUE)</f>
        <v>60</v>
      </c>
      <c r="E685" s="3" t="str">
        <f>VLOOKUP($A685,Table1[],8,TRUE)</f>
        <v>Canada</v>
      </c>
      <c r="F685" s="3" t="str">
        <f>VLOOKUP($A685,Table1[],9,TRUE)</f>
        <v>English</v>
      </c>
      <c r="G685" s="3" t="str">
        <f>VLOOKUP($A685,Table1[],10,TRUE)</f>
        <v>Blockchain Development</v>
      </c>
      <c r="H685" s="13" t="str">
        <f>VLOOKUP($A685,Table1[],12,TRUE)</f>
        <v>7</v>
      </c>
      <c r="I685" s="20">
        <v>30</v>
      </c>
      <c r="J685" s="15">
        <f>VLOOKUP($A685,Table1[],18,TRUE)</f>
        <v>0</v>
      </c>
      <c r="K685" s="12" t="str">
        <f>VLOOKUP($A685,Table1[],22,TRUE)</f>
        <v>FALSE</v>
      </c>
      <c r="L685" s="13">
        <f>VLOOKUP($A685,Table1[],25,TRUE)</f>
        <v>0.97</v>
      </c>
    </row>
    <row r="686" spans="1:12" x14ac:dyDescent="0.25">
      <c r="A686" t="s">
        <v>1450</v>
      </c>
      <c r="B686" s="18" t="str">
        <f>VLOOKUP(A686,Table1[],3,TRUE)</f>
        <v>Connie Mcclain</v>
      </c>
      <c r="C686" s="18" t="str">
        <f>VLOOKUP($A686,Table1[],5,TRUE)</f>
        <v>Female</v>
      </c>
      <c r="D686" s="3" t="str">
        <f>VLOOKUP($A686,Table1[],7,TRUE)</f>
        <v>33</v>
      </c>
      <c r="E686" s="3" t="str">
        <f>VLOOKUP($A686,Table1[],8,TRUE)</f>
        <v>Japan</v>
      </c>
      <c r="F686" s="3" t="str">
        <f>VLOOKUP($A686,Table1[],9,TRUE)</f>
        <v>Japanese</v>
      </c>
      <c r="G686" s="3" t="str">
        <f>VLOOKUP($A686,Table1[],10,TRUE)</f>
        <v>UI/UX Design</v>
      </c>
      <c r="H686" s="13" t="str">
        <f>VLOOKUP($A686,Table1[],12,TRUE)</f>
        <v>0</v>
      </c>
      <c r="I686" s="20">
        <v>100</v>
      </c>
      <c r="J686" s="15">
        <f>VLOOKUP($A686,Table1[],18,TRUE)</f>
        <v>1.7</v>
      </c>
      <c r="K686" s="12" t="str">
        <f>VLOOKUP($A686,Table1[],22,TRUE)</f>
        <v>TRUE</v>
      </c>
      <c r="L686" s="13">
        <f>VLOOKUP($A686,Table1[],25,TRUE)</f>
        <v>0.95</v>
      </c>
    </row>
    <row r="687" spans="1:12" x14ac:dyDescent="0.25">
      <c r="A687" t="s">
        <v>1452</v>
      </c>
      <c r="B687" s="18" t="str">
        <f>VLOOKUP(A687,Table1[],3,TRUE)</f>
        <v>Matthew Baldwin</v>
      </c>
      <c r="C687" s="18" t="str">
        <f>VLOOKUP($A687,Table1[],5,TRUE)</f>
        <v>Male</v>
      </c>
      <c r="D687" s="3" t="str">
        <f>VLOOKUP($A687,Table1[],7,TRUE)</f>
        <v>52</v>
      </c>
      <c r="E687" s="3" t="str">
        <f>VLOOKUP($A687,Table1[],8,TRUE)</f>
        <v>South Korea</v>
      </c>
      <c r="F687" s="3" t="str">
        <f>VLOOKUP($A687,Table1[],9,TRUE)</f>
        <v>Korean</v>
      </c>
      <c r="G687" s="3" t="str">
        <f>VLOOKUP($A687,Table1[],10,TRUE)</f>
        <v>Graphic Design</v>
      </c>
      <c r="H687" s="13" t="str">
        <f>VLOOKUP($A687,Table1[],12,TRUE)</f>
        <v>21</v>
      </c>
      <c r="I687" s="20">
        <v>40</v>
      </c>
      <c r="J687" s="15">
        <f>VLOOKUP($A687,Table1[],18,TRUE)</f>
        <v>4</v>
      </c>
      <c r="K687" s="12" t="str">
        <f>VLOOKUP($A687,Table1[],22,TRUE)</f>
        <v>TRUE</v>
      </c>
      <c r="L687" s="13">
        <f>VLOOKUP($A687,Table1[],25,TRUE)</f>
        <v>0.69</v>
      </c>
    </row>
    <row r="688" spans="1:12" x14ac:dyDescent="0.25">
      <c r="A688" t="s">
        <v>1454</v>
      </c>
      <c r="B688" s="18" t="str">
        <f>VLOOKUP(A688,Table1[],3,TRUE)</f>
        <v>Danielle Nelson</v>
      </c>
      <c r="C688" s="18" t="str">
        <f>VLOOKUP($A688,Table1[],5,TRUE)</f>
        <v>Female</v>
      </c>
      <c r="D688" s="3" t="str">
        <f>VLOOKUP($A688,Table1[],7,TRUE)</f>
        <v>25</v>
      </c>
      <c r="E688" s="3" t="str">
        <f>VLOOKUP($A688,Table1[],8,TRUE)</f>
        <v>Germany</v>
      </c>
      <c r="F688" s="3" t="str">
        <f>VLOOKUP($A688,Table1[],9,TRUE)</f>
        <v>German</v>
      </c>
      <c r="G688" s="3" t="str">
        <f>VLOOKUP($A688,Table1[],10,TRUE)</f>
        <v>DevOps</v>
      </c>
      <c r="H688" s="13" t="str">
        <f>VLOOKUP($A688,Table1[],12,TRUE)</f>
        <v>7</v>
      </c>
      <c r="I688" s="20">
        <v>100</v>
      </c>
      <c r="J688" s="15">
        <f>VLOOKUP($A688,Table1[],18,TRUE)</f>
        <v>1.9</v>
      </c>
      <c r="K688" s="12" t="str">
        <f>VLOOKUP($A688,Table1[],22,TRUE)</f>
        <v>TRUE</v>
      </c>
      <c r="L688" s="13">
        <f>VLOOKUP($A688,Table1[],25,TRUE)</f>
        <v>0.63</v>
      </c>
    </row>
    <row r="689" spans="1:12" x14ac:dyDescent="0.25">
      <c r="A689" t="s">
        <v>1456</v>
      </c>
      <c r="B689" s="18" t="str">
        <f>VLOOKUP(A689,Table1[],3,TRUE)</f>
        <v>Steven Moore</v>
      </c>
      <c r="C689" s="18" t="str">
        <f>VLOOKUP($A689,Table1[],5,TRUE)</f>
        <v>Male</v>
      </c>
      <c r="D689" s="3" t="str">
        <f>VLOOKUP($A689,Table1[],7,TRUE)</f>
        <v>33</v>
      </c>
      <c r="E689" s="3" t="str">
        <f>VLOOKUP($A689,Table1[],8,TRUE)</f>
        <v>Japan</v>
      </c>
      <c r="F689" s="3" t="str">
        <f>VLOOKUP($A689,Table1[],9,TRUE)</f>
        <v>Japanese</v>
      </c>
      <c r="G689" s="3" t="str">
        <f>VLOOKUP($A689,Table1[],10,TRUE)</f>
        <v>Cybersecurity</v>
      </c>
      <c r="H689" s="13" t="str">
        <f>VLOOKUP($A689,Table1[],12,TRUE)</f>
        <v>Unknown</v>
      </c>
      <c r="I689" s="20">
        <v>30</v>
      </c>
      <c r="J689" s="15">
        <f>VLOOKUP($A689,Table1[],18,TRUE)</f>
        <v>4.4000000000000004</v>
      </c>
      <c r="K689" s="12" t="str">
        <f>VLOOKUP($A689,Table1[],22,TRUE)</f>
        <v>TRUE</v>
      </c>
      <c r="L689" s="13">
        <f>VLOOKUP($A689,Table1[],25,TRUE)</f>
        <v>0.65</v>
      </c>
    </row>
    <row r="690" spans="1:12" x14ac:dyDescent="0.25">
      <c r="A690" t="s">
        <v>1458</v>
      </c>
      <c r="B690" s="18" t="str">
        <f>VLOOKUP(A690,Table1[],3,TRUE)</f>
        <v>Megan Hudson</v>
      </c>
      <c r="C690" s="18" t="str">
        <f>VLOOKUP($A690,Table1[],5,TRUE)</f>
        <v>Female</v>
      </c>
      <c r="D690" s="3" t="str">
        <f>VLOOKUP($A690,Table1[],7,TRUE)</f>
        <v>33</v>
      </c>
      <c r="E690" s="3" t="str">
        <f>VLOOKUP($A690,Table1[],8,TRUE)</f>
        <v>China</v>
      </c>
      <c r="F690" s="3" t="str">
        <f>VLOOKUP($A690,Table1[],9,TRUE)</f>
        <v>Mandarin</v>
      </c>
      <c r="G690" s="3" t="str">
        <f>VLOOKUP($A690,Table1[],10,TRUE)</f>
        <v>Mobile Apps</v>
      </c>
      <c r="H690" s="13" t="str">
        <f>VLOOKUP($A690,Table1[],12,TRUE)</f>
        <v>Unknown</v>
      </c>
      <c r="I690" s="20">
        <v>50</v>
      </c>
      <c r="J690" s="15">
        <f>VLOOKUP($A690,Table1[],18,TRUE)</f>
        <v>4.2</v>
      </c>
      <c r="K690" s="12" t="str">
        <f>VLOOKUP($A690,Table1[],22,TRUE)</f>
        <v>TRUE</v>
      </c>
      <c r="L690" s="13">
        <f>VLOOKUP($A690,Table1[],25,TRUE)</f>
        <v>0.9</v>
      </c>
    </row>
    <row r="691" spans="1:12" x14ac:dyDescent="0.25">
      <c r="A691" t="s">
        <v>1460</v>
      </c>
      <c r="B691" s="18" t="str">
        <f>VLOOKUP(A691,Table1[],3,TRUE)</f>
        <v>Lisa Johnson</v>
      </c>
      <c r="C691" s="18" t="str">
        <f>VLOOKUP($A691,Table1[],5,TRUE)</f>
        <v>Female</v>
      </c>
      <c r="D691" s="3" t="str">
        <f>VLOOKUP($A691,Table1[],7,TRUE)</f>
        <v>52</v>
      </c>
      <c r="E691" s="3" t="str">
        <f>VLOOKUP($A691,Table1[],8,TRUE)</f>
        <v>Canada</v>
      </c>
      <c r="F691" s="3" t="str">
        <f>VLOOKUP($A691,Table1[],9,TRUE)</f>
        <v>English</v>
      </c>
      <c r="G691" s="3" t="str">
        <f>VLOOKUP($A691,Table1[],10,TRUE)</f>
        <v>UI/UX Design</v>
      </c>
      <c r="H691" s="13" t="str">
        <f>VLOOKUP($A691,Table1[],12,TRUE)</f>
        <v>25</v>
      </c>
      <c r="I691" s="20">
        <v>100</v>
      </c>
      <c r="J691" s="15">
        <f>VLOOKUP($A691,Table1[],18,TRUE)</f>
        <v>4.8</v>
      </c>
      <c r="K691" s="12" t="str">
        <f>VLOOKUP($A691,Table1[],22,TRUE)</f>
        <v>FALSE</v>
      </c>
      <c r="L691" s="13">
        <f>VLOOKUP($A691,Table1[],25,TRUE)</f>
        <v>0.75</v>
      </c>
    </row>
    <row r="692" spans="1:12" x14ac:dyDescent="0.25">
      <c r="A692" t="s">
        <v>1461</v>
      </c>
      <c r="B692" s="18" t="str">
        <f>VLOOKUP(A692,Table1[],3,TRUE)</f>
        <v>Tracy White</v>
      </c>
      <c r="C692" s="18" t="str">
        <f>VLOOKUP($A692,Table1[],5,TRUE)</f>
        <v>Female</v>
      </c>
      <c r="D692" s="3" t="str">
        <f>VLOOKUP($A692,Table1[],7,TRUE)</f>
        <v>20</v>
      </c>
      <c r="E692" s="3" t="str">
        <f>VLOOKUP($A692,Table1[],8,TRUE)</f>
        <v>Indonesia</v>
      </c>
      <c r="F692" s="3" t="str">
        <f>VLOOKUP($A692,Table1[],9,TRUE)</f>
        <v>Indonesian</v>
      </c>
      <c r="G692" s="3" t="str">
        <f>VLOOKUP($A692,Table1[],10,TRUE)</f>
        <v>Web Development</v>
      </c>
      <c r="H692" s="13" t="str">
        <f>VLOOKUP($A692,Table1[],12,TRUE)</f>
        <v>1</v>
      </c>
      <c r="I692" s="20">
        <v>30</v>
      </c>
      <c r="J692" s="15">
        <f>VLOOKUP($A692,Table1[],18,TRUE)</f>
        <v>2</v>
      </c>
      <c r="K692" s="12" t="str">
        <f>VLOOKUP($A692,Table1[],22,TRUE)</f>
        <v>FALSE</v>
      </c>
      <c r="L692" s="13">
        <f>VLOOKUP($A692,Table1[],25,TRUE)</f>
        <v>0.89</v>
      </c>
    </row>
    <row r="693" spans="1:12" x14ac:dyDescent="0.25">
      <c r="A693" t="s">
        <v>1463</v>
      </c>
      <c r="B693" s="18" t="str">
        <f>VLOOKUP(A693,Table1[],3,TRUE)</f>
        <v>Natalie Diaz</v>
      </c>
      <c r="C693" s="18" t="str">
        <f>VLOOKUP($A693,Table1[],5,TRUE)</f>
        <v>Female</v>
      </c>
      <c r="D693" s="3" t="str">
        <f>VLOOKUP($A693,Table1[],7,TRUE)</f>
        <v>43</v>
      </c>
      <c r="E693" s="3" t="str">
        <f>VLOOKUP($A693,Table1[],8,TRUE)</f>
        <v>Russia</v>
      </c>
      <c r="F693" s="3" t="str">
        <f>VLOOKUP($A693,Table1[],9,TRUE)</f>
        <v>Russian</v>
      </c>
      <c r="G693" s="3" t="str">
        <f>VLOOKUP($A693,Table1[],10,TRUE)</f>
        <v>Data Analysis</v>
      </c>
      <c r="H693" s="13" t="str">
        <f>VLOOKUP($A693,Table1[],12,TRUE)</f>
        <v>7</v>
      </c>
      <c r="I693" s="20">
        <v>50</v>
      </c>
      <c r="J693" s="15">
        <f>VLOOKUP($A693,Table1[],18,TRUE)</f>
        <v>2.6</v>
      </c>
      <c r="K693" s="12" t="str">
        <f>VLOOKUP($A693,Table1[],22,TRUE)</f>
        <v>TRUE</v>
      </c>
      <c r="L693" s="13">
        <f>VLOOKUP($A693,Table1[],25,TRUE)</f>
        <v>0.8</v>
      </c>
    </row>
    <row r="694" spans="1:12" x14ac:dyDescent="0.25">
      <c r="A694" t="s">
        <v>1465</v>
      </c>
      <c r="B694" s="18" t="str">
        <f>VLOOKUP(A694,Table1[],3,TRUE)</f>
        <v>Amanda Mitchell</v>
      </c>
      <c r="C694" s="18" t="str">
        <f>VLOOKUP($A694,Table1[],5,TRUE)</f>
        <v>Female</v>
      </c>
      <c r="D694" s="3" t="str">
        <f>VLOOKUP($A694,Table1[],7,TRUE)</f>
        <v>31</v>
      </c>
      <c r="E694" s="3" t="str">
        <f>VLOOKUP($A694,Table1[],8,TRUE)</f>
        <v>France</v>
      </c>
      <c r="F694" s="3" t="str">
        <f>VLOOKUP($A694,Table1[],9,TRUE)</f>
        <v>French</v>
      </c>
      <c r="G694" s="3" t="str">
        <f>VLOOKUP($A694,Table1[],10,TRUE)</f>
        <v>Mobile Apps</v>
      </c>
      <c r="H694" s="13" t="str">
        <f>VLOOKUP($A694,Table1[],12,TRUE)</f>
        <v>Unknown</v>
      </c>
      <c r="I694" s="20">
        <v>50</v>
      </c>
      <c r="J694" s="15">
        <f>VLOOKUP($A694,Table1[],18,TRUE)</f>
        <v>1.4</v>
      </c>
      <c r="K694" s="12" t="str">
        <f>VLOOKUP($A694,Table1[],22,TRUE)</f>
        <v>FALSE</v>
      </c>
      <c r="L694" s="13">
        <f>VLOOKUP($A694,Table1[],25,TRUE)</f>
        <v>0.8</v>
      </c>
    </row>
    <row r="695" spans="1:12" x14ac:dyDescent="0.25">
      <c r="A695" t="s">
        <v>1466</v>
      </c>
      <c r="B695" s="18" t="str">
        <f>VLOOKUP(A695,Table1[],3,TRUE)</f>
        <v>Karen Scott</v>
      </c>
      <c r="C695" s="18" t="str">
        <f>VLOOKUP($A695,Table1[],5,TRUE)</f>
        <v>Female</v>
      </c>
      <c r="D695" s="3" t="str">
        <f>VLOOKUP($A695,Table1[],7,TRUE)</f>
        <v>29</v>
      </c>
      <c r="E695" s="3" t="str">
        <f>VLOOKUP($A695,Table1[],8,TRUE)</f>
        <v>Germany</v>
      </c>
      <c r="F695" s="3" t="str">
        <f>VLOOKUP($A695,Table1[],9,TRUE)</f>
        <v>German</v>
      </c>
      <c r="G695" s="3" t="str">
        <f>VLOOKUP($A695,Table1[],10,TRUE)</f>
        <v>Data Analysis</v>
      </c>
      <c r="H695" s="13" t="str">
        <f>VLOOKUP($A695,Table1[],12,TRUE)</f>
        <v>6</v>
      </c>
      <c r="I695" s="20">
        <v>100</v>
      </c>
      <c r="J695" s="15">
        <f>VLOOKUP($A695,Table1[],18,TRUE)</f>
        <v>1.8</v>
      </c>
      <c r="K695" s="12" t="str">
        <f>VLOOKUP($A695,Table1[],22,TRUE)</f>
        <v>FALSE</v>
      </c>
      <c r="L695" s="13">
        <f>VLOOKUP($A695,Table1[],25,TRUE)</f>
        <v>0.75</v>
      </c>
    </row>
    <row r="696" spans="1:12" x14ac:dyDescent="0.25">
      <c r="A696" t="s">
        <v>1468</v>
      </c>
      <c r="B696" s="18" t="str">
        <f>VLOOKUP(A696,Table1[],3,TRUE)</f>
        <v>Mary Brown</v>
      </c>
      <c r="C696" s="18" t="str">
        <f>VLOOKUP($A696,Table1[],5,TRUE)</f>
        <v>Female</v>
      </c>
      <c r="D696" s="3" t="str">
        <f>VLOOKUP($A696,Table1[],7,TRUE)</f>
        <v>53</v>
      </c>
      <c r="E696" s="3" t="str">
        <f>VLOOKUP($A696,Table1[],8,TRUE)</f>
        <v>South Africa</v>
      </c>
      <c r="F696" s="3" t="str">
        <f>VLOOKUP($A696,Table1[],9,TRUE)</f>
        <v>Afrikaans</v>
      </c>
      <c r="G696" s="3" t="str">
        <f>VLOOKUP($A696,Table1[],10,TRUE)</f>
        <v>Graphic Design</v>
      </c>
      <c r="H696" s="13" t="str">
        <f>VLOOKUP($A696,Table1[],12,TRUE)</f>
        <v>35</v>
      </c>
      <c r="I696" s="20">
        <v>50</v>
      </c>
      <c r="J696" s="15">
        <f>VLOOKUP($A696,Table1[],18,TRUE)</f>
        <v>0</v>
      </c>
      <c r="K696" s="12" t="str">
        <f>VLOOKUP($A696,Table1[],22,TRUE)</f>
        <v>TRUE</v>
      </c>
      <c r="L696" s="13">
        <f>VLOOKUP($A696,Table1[],25,TRUE)</f>
        <v>0.67</v>
      </c>
    </row>
    <row r="697" spans="1:12" x14ac:dyDescent="0.25">
      <c r="A697" t="s">
        <v>1469</v>
      </c>
      <c r="B697" s="18" t="str">
        <f>VLOOKUP(A697,Table1[],3,TRUE)</f>
        <v>Jon Jones</v>
      </c>
      <c r="C697" s="18" t="str">
        <f>VLOOKUP($A697,Table1[],5,TRUE)</f>
        <v>Male</v>
      </c>
      <c r="D697" s="3" t="str">
        <f>VLOOKUP($A697,Table1[],7,TRUE)</f>
        <v>38</v>
      </c>
      <c r="E697" s="3" t="str">
        <f>VLOOKUP($A697,Table1[],8,TRUE)</f>
        <v>India</v>
      </c>
      <c r="F697" s="3" t="str">
        <f>VLOOKUP($A697,Table1[],9,TRUE)</f>
        <v>Hindi</v>
      </c>
      <c r="G697" s="3" t="str">
        <f>VLOOKUP($A697,Table1[],10,TRUE)</f>
        <v>Mobile Apps</v>
      </c>
      <c r="H697" s="13" t="str">
        <f>VLOOKUP($A697,Table1[],12,TRUE)</f>
        <v>1</v>
      </c>
      <c r="I697" s="20">
        <v>40</v>
      </c>
      <c r="J697" s="15">
        <f>VLOOKUP($A697,Table1[],18,TRUE)</f>
        <v>0</v>
      </c>
      <c r="K697" s="12" t="str">
        <f>VLOOKUP($A697,Table1[],22,TRUE)</f>
        <v>FALSE</v>
      </c>
      <c r="L697" s="13">
        <f>VLOOKUP($A697,Table1[],25,TRUE)</f>
        <v>0.96</v>
      </c>
    </row>
    <row r="698" spans="1:12" x14ac:dyDescent="0.25">
      <c r="A698" t="s">
        <v>1471</v>
      </c>
      <c r="B698" s="18" t="str">
        <f>VLOOKUP(A698,Table1[],3,TRUE)</f>
        <v>Jason Phillips</v>
      </c>
      <c r="C698" s="18" t="str">
        <f>VLOOKUP($A698,Table1[],5,TRUE)</f>
        <v>Male</v>
      </c>
      <c r="D698" s="3" t="str">
        <f>VLOOKUP($A698,Table1[],7,TRUE)</f>
        <v>29</v>
      </c>
      <c r="E698" s="3" t="str">
        <f>VLOOKUP($A698,Table1[],8,TRUE)</f>
        <v>Spain</v>
      </c>
      <c r="F698" s="3" t="str">
        <f>VLOOKUP($A698,Table1[],9,TRUE)</f>
        <v>Spanish</v>
      </c>
      <c r="G698" s="3" t="str">
        <f>VLOOKUP($A698,Table1[],10,TRUE)</f>
        <v>Graphic Design</v>
      </c>
      <c r="H698" s="13" t="str">
        <f>VLOOKUP($A698,Table1[],12,TRUE)</f>
        <v>Unknown</v>
      </c>
      <c r="I698" s="20">
        <v>20</v>
      </c>
      <c r="J698" s="15">
        <f>VLOOKUP($A698,Table1[],18,TRUE)</f>
        <v>0</v>
      </c>
      <c r="K698" s="12" t="str">
        <f>VLOOKUP($A698,Table1[],22,TRUE)</f>
        <v>FALSE</v>
      </c>
      <c r="L698" s="13">
        <f>VLOOKUP($A698,Table1[],25,TRUE)</f>
        <v>0.9</v>
      </c>
    </row>
    <row r="699" spans="1:12" x14ac:dyDescent="0.25">
      <c r="A699" t="s">
        <v>1473</v>
      </c>
      <c r="B699" s="18" t="str">
        <f>VLOOKUP(A699,Table1[],3,TRUE)</f>
        <v>Eric Walsh</v>
      </c>
      <c r="C699" s="18" t="str">
        <f>VLOOKUP($A699,Table1[],5,TRUE)</f>
        <v>Male</v>
      </c>
      <c r="D699" s="3" t="str">
        <f>VLOOKUP($A699,Table1[],7,TRUE)</f>
        <v>42</v>
      </c>
      <c r="E699" s="3" t="str">
        <f>VLOOKUP($A699,Table1[],8,TRUE)</f>
        <v>South Korea</v>
      </c>
      <c r="F699" s="3" t="str">
        <f>VLOOKUP($A699,Table1[],9,TRUE)</f>
        <v>Korean</v>
      </c>
      <c r="G699" s="3" t="str">
        <f>VLOOKUP($A699,Table1[],10,TRUE)</f>
        <v>UI/UX Design</v>
      </c>
      <c r="H699" s="13" t="str">
        <f>VLOOKUP($A699,Table1[],12,TRUE)</f>
        <v>0</v>
      </c>
      <c r="I699" s="20">
        <v>50</v>
      </c>
      <c r="J699" s="15">
        <f>VLOOKUP($A699,Table1[],18,TRUE)</f>
        <v>3.9</v>
      </c>
      <c r="K699" s="12" t="str">
        <f>VLOOKUP($A699,Table1[],22,TRUE)</f>
        <v>TRUE</v>
      </c>
      <c r="L699" s="13">
        <f>VLOOKUP($A699,Table1[],25,TRUE)</f>
        <v>0.62</v>
      </c>
    </row>
    <row r="700" spans="1:12" x14ac:dyDescent="0.25">
      <c r="A700" t="s">
        <v>1475</v>
      </c>
      <c r="B700" s="18" t="str">
        <f>VLOOKUP(A700,Table1[],3,TRUE)</f>
        <v>Carol Schneider</v>
      </c>
      <c r="C700" s="18" t="str">
        <f>VLOOKUP($A700,Table1[],5,TRUE)</f>
        <v>Female</v>
      </c>
      <c r="D700" s="3" t="str">
        <f>VLOOKUP($A700,Table1[],7,TRUE)</f>
        <v>54</v>
      </c>
      <c r="E700" s="3" t="str">
        <f>VLOOKUP($A700,Table1[],8,TRUE)</f>
        <v>United States</v>
      </c>
      <c r="F700" s="3" t="str">
        <f>VLOOKUP($A700,Table1[],9,TRUE)</f>
        <v>English</v>
      </c>
      <c r="G700" s="3" t="str">
        <f>VLOOKUP($A700,Table1[],10,TRUE)</f>
        <v>Machine Learning</v>
      </c>
      <c r="H700" s="13" t="str">
        <f>VLOOKUP($A700,Table1[],12,TRUE)</f>
        <v>9</v>
      </c>
      <c r="I700" s="20">
        <v>100</v>
      </c>
      <c r="J700" s="15">
        <f>VLOOKUP($A700,Table1[],18,TRUE)</f>
        <v>2.6</v>
      </c>
      <c r="K700" s="12" t="str">
        <f>VLOOKUP($A700,Table1[],22,TRUE)</f>
        <v>FALSE</v>
      </c>
      <c r="L700" s="13">
        <f>VLOOKUP($A700,Table1[],25,TRUE)</f>
        <v>0.72</v>
      </c>
    </row>
    <row r="701" spans="1:12" x14ac:dyDescent="0.25">
      <c r="A701" t="s">
        <v>1477</v>
      </c>
      <c r="B701" s="18" t="str">
        <f>VLOOKUP(A701,Table1[],3,TRUE)</f>
        <v>Juan Hines</v>
      </c>
      <c r="C701" s="18" t="str">
        <f>VLOOKUP($A701,Table1[],5,TRUE)</f>
        <v>Male</v>
      </c>
      <c r="D701" s="3" t="str">
        <f>VLOOKUP($A701,Table1[],7,TRUE)</f>
        <v>56</v>
      </c>
      <c r="E701" s="3" t="str">
        <f>VLOOKUP($A701,Table1[],8,TRUE)</f>
        <v>China</v>
      </c>
      <c r="F701" s="3" t="str">
        <f>VLOOKUP($A701,Table1[],9,TRUE)</f>
        <v>Mandarin</v>
      </c>
      <c r="G701" s="3" t="str">
        <f>VLOOKUP($A701,Table1[],10,TRUE)</f>
        <v>UI/UX Design</v>
      </c>
      <c r="H701" s="13" t="str">
        <f>VLOOKUP($A701,Table1[],12,TRUE)</f>
        <v>18</v>
      </c>
      <c r="I701" s="20">
        <v>50</v>
      </c>
      <c r="J701" s="15">
        <f>VLOOKUP($A701,Table1[],18,TRUE)</f>
        <v>4.4000000000000004</v>
      </c>
      <c r="K701" s="12" t="str">
        <f>VLOOKUP($A701,Table1[],22,TRUE)</f>
        <v>TRUE</v>
      </c>
      <c r="L701" s="13">
        <f>VLOOKUP($A701,Table1[],25,TRUE)</f>
        <v>0.83</v>
      </c>
    </row>
    <row r="702" spans="1:12" x14ac:dyDescent="0.25">
      <c r="A702" t="s">
        <v>1479</v>
      </c>
      <c r="B702" s="18" t="str">
        <f>VLOOKUP(A702,Table1[],3,TRUE)</f>
        <v>Martha Sweeney</v>
      </c>
      <c r="C702" s="18" t="str">
        <f>VLOOKUP($A702,Table1[],5,TRUE)</f>
        <v>Female</v>
      </c>
      <c r="D702" s="3" t="str">
        <f>VLOOKUP($A702,Table1[],7,TRUE)</f>
        <v>47</v>
      </c>
      <c r="E702" s="3" t="str">
        <f>VLOOKUP($A702,Table1[],8,TRUE)</f>
        <v>Turkey</v>
      </c>
      <c r="F702" s="3" t="str">
        <f>VLOOKUP($A702,Table1[],9,TRUE)</f>
        <v>Turkish</v>
      </c>
      <c r="G702" s="3" t="str">
        <f>VLOOKUP($A702,Table1[],10,TRUE)</f>
        <v>Graphic Design</v>
      </c>
      <c r="H702" s="13" t="str">
        <f>VLOOKUP($A702,Table1[],12,TRUE)</f>
        <v>22</v>
      </c>
      <c r="I702" s="20">
        <v>100</v>
      </c>
      <c r="J702" s="15">
        <f>VLOOKUP($A702,Table1[],18,TRUE)</f>
        <v>4.4000000000000004</v>
      </c>
      <c r="K702" s="12" t="str">
        <f>VLOOKUP($A702,Table1[],22,TRUE)</f>
        <v>FALSE</v>
      </c>
      <c r="L702" s="13">
        <f>VLOOKUP($A702,Table1[],25,TRUE)</f>
        <v>0.7</v>
      </c>
    </row>
    <row r="703" spans="1:12" x14ac:dyDescent="0.25">
      <c r="A703" t="s">
        <v>1481</v>
      </c>
      <c r="B703" s="18" t="str">
        <f>VLOOKUP(A703,Table1[],3,TRUE)</f>
        <v>Jason Weaver</v>
      </c>
      <c r="C703" s="18" t="str">
        <f>VLOOKUP($A703,Table1[],5,TRUE)</f>
        <v>Male</v>
      </c>
      <c r="D703" s="3" t="str">
        <f>VLOOKUP($A703,Table1[],7,TRUE)</f>
        <v>45</v>
      </c>
      <c r="E703" s="3" t="str">
        <f>VLOOKUP($A703,Table1[],8,TRUE)</f>
        <v>Russia</v>
      </c>
      <c r="F703" s="3" t="str">
        <f>VLOOKUP($A703,Table1[],9,TRUE)</f>
        <v>Russian</v>
      </c>
      <c r="G703" s="3" t="str">
        <f>VLOOKUP($A703,Table1[],10,TRUE)</f>
        <v>Blockchain Development</v>
      </c>
      <c r="H703" s="13" t="str">
        <f>VLOOKUP($A703,Table1[],12,TRUE)</f>
        <v>25</v>
      </c>
      <c r="I703" s="20">
        <v>50</v>
      </c>
      <c r="J703" s="15">
        <f>VLOOKUP($A703,Table1[],18,TRUE)</f>
        <v>0</v>
      </c>
      <c r="K703" s="12" t="str">
        <f>VLOOKUP($A703,Table1[],22,TRUE)</f>
        <v>FALSE</v>
      </c>
      <c r="L703" s="13">
        <f>VLOOKUP($A703,Table1[],25,TRUE)</f>
        <v>0.99</v>
      </c>
    </row>
    <row r="704" spans="1:12" x14ac:dyDescent="0.25">
      <c r="A704" t="s">
        <v>1483</v>
      </c>
      <c r="B704" s="18" t="str">
        <f>VLOOKUP(A704,Table1[],3,TRUE)</f>
        <v>Benjamin Stevens</v>
      </c>
      <c r="C704" s="18" t="str">
        <f>VLOOKUP($A704,Table1[],5,TRUE)</f>
        <v>Male</v>
      </c>
      <c r="D704" s="3" t="str">
        <f>VLOOKUP($A704,Table1[],7,TRUE)</f>
        <v>45</v>
      </c>
      <c r="E704" s="3" t="str">
        <f>VLOOKUP($A704,Table1[],8,TRUE)</f>
        <v>China</v>
      </c>
      <c r="F704" s="3" t="str">
        <f>VLOOKUP($A704,Table1[],9,TRUE)</f>
        <v>Mandarin</v>
      </c>
      <c r="G704" s="3" t="str">
        <f>VLOOKUP($A704,Table1[],10,TRUE)</f>
        <v>Data Analysis</v>
      </c>
      <c r="H704" s="13" t="str">
        <f>VLOOKUP($A704,Table1[],12,TRUE)</f>
        <v>6</v>
      </c>
      <c r="I704" s="20">
        <v>50</v>
      </c>
      <c r="J704" s="15">
        <f>VLOOKUP($A704,Table1[],18,TRUE)</f>
        <v>1.4</v>
      </c>
      <c r="K704" s="12" t="str">
        <f>VLOOKUP($A704,Table1[],22,TRUE)</f>
        <v>TRUE</v>
      </c>
      <c r="L704" s="13">
        <f>VLOOKUP($A704,Table1[],25,TRUE)</f>
        <v>0.97</v>
      </c>
    </row>
    <row r="705" spans="1:12" x14ac:dyDescent="0.25">
      <c r="A705" t="s">
        <v>1485</v>
      </c>
      <c r="B705" s="18" t="str">
        <f>VLOOKUP(A705,Table1[],3,TRUE)</f>
        <v>Daniel Lopez</v>
      </c>
      <c r="C705" s="18" t="str">
        <f>VLOOKUP($A705,Table1[],5,TRUE)</f>
        <v>Male</v>
      </c>
      <c r="D705" s="3" t="str">
        <f>VLOOKUP($A705,Table1[],7,TRUE)</f>
        <v>35</v>
      </c>
      <c r="E705" s="3" t="str">
        <f>VLOOKUP($A705,Table1[],8,TRUE)</f>
        <v>Canada</v>
      </c>
      <c r="F705" s="3" t="str">
        <f>VLOOKUP($A705,Table1[],9,TRUE)</f>
        <v>English</v>
      </c>
      <c r="G705" s="3" t="str">
        <f>VLOOKUP($A705,Table1[],10,TRUE)</f>
        <v>Machine Learning</v>
      </c>
      <c r="H705" s="13" t="str">
        <f>VLOOKUP($A705,Table1[],12,TRUE)</f>
        <v>10</v>
      </c>
      <c r="I705" s="20">
        <v>20</v>
      </c>
      <c r="J705" s="15">
        <f>VLOOKUP($A705,Table1[],18,TRUE)</f>
        <v>3.2</v>
      </c>
      <c r="K705" s="12" t="str">
        <f>VLOOKUP($A705,Table1[],22,TRUE)</f>
        <v>TRUE</v>
      </c>
      <c r="L705" s="13">
        <f>VLOOKUP($A705,Table1[],25,TRUE)</f>
        <v>0.77</v>
      </c>
    </row>
    <row r="706" spans="1:12" x14ac:dyDescent="0.25">
      <c r="A706" t="s">
        <v>1487</v>
      </c>
      <c r="B706" s="18" t="str">
        <f>VLOOKUP(A706,Table1[],3,TRUE)</f>
        <v>John Simpson</v>
      </c>
      <c r="C706" s="18" t="str">
        <f>VLOOKUP($A706,Table1[],5,TRUE)</f>
        <v>Male</v>
      </c>
      <c r="D706" s="3" t="str">
        <f>VLOOKUP($A706,Table1[],7,TRUE)</f>
        <v>51</v>
      </c>
      <c r="E706" s="3" t="str">
        <f>VLOOKUP($A706,Table1[],8,TRUE)</f>
        <v>Canada</v>
      </c>
      <c r="F706" s="3" t="str">
        <f>VLOOKUP($A706,Table1[],9,TRUE)</f>
        <v>English</v>
      </c>
      <c r="G706" s="3" t="str">
        <f>VLOOKUP($A706,Table1[],10,TRUE)</f>
        <v>DevOps</v>
      </c>
      <c r="H706" s="13" t="str">
        <f>VLOOKUP($A706,Table1[],12,TRUE)</f>
        <v>4</v>
      </c>
      <c r="I706" s="20">
        <v>50</v>
      </c>
      <c r="J706" s="15">
        <f>VLOOKUP($A706,Table1[],18,TRUE)</f>
        <v>2</v>
      </c>
      <c r="K706" s="12" t="str">
        <f>VLOOKUP($A706,Table1[],22,TRUE)</f>
        <v>FALSE</v>
      </c>
      <c r="L706" s="13">
        <f>VLOOKUP($A706,Table1[],25,TRUE)</f>
        <v>0.92</v>
      </c>
    </row>
    <row r="707" spans="1:12" x14ac:dyDescent="0.25">
      <c r="A707" t="s">
        <v>1489</v>
      </c>
      <c r="B707" s="18" t="str">
        <f>VLOOKUP(A707,Table1[],3,TRUE)</f>
        <v>Katrina Schultz</v>
      </c>
      <c r="C707" s="18" t="str">
        <f>VLOOKUP($A707,Table1[],5,TRUE)</f>
        <v>Female</v>
      </c>
      <c r="D707" s="3" t="str">
        <f>VLOOKUP($A707,Table1[],7,TRUE)</f>
        <v>34</v>
      </c>
      <c r="E707" s="3" t="str">
        <f>VLOOKUP($A707,Table1[],8,TRUE)</f>
        <v>Spain</v>
      </c>
      <c r="F707" s="3" t="str">
        <f>VLOOKUP($A707,Table1[],9,TRUE)</f>
        <v>Spanish</v>
      </c>
      <c r="G707" s="3" t="str">
        <f>VLOOKUP($A707,Table1[],10,TRUE)</f>
        <v>Mobile Apps</v>
      </c>
      <c r="H707" s="13" t="str">
        <f>VLOOKUP($A707,Table1[],12,TRUE)</f>
        <v>11</v>
      </c>
      <c r="I707" s="20">
        <v>50</v>
      </c>
      <c r="J707" s="15">
        <f>VLOOKUP($A707,Table1[],18,TRUE)</f>
        <v>3.3</v>
      </c>
      <c r="K707" s="12" t="str">
        <f>VLOOKUP($A707,Table1[],22,TRUE)</f>
        <v>TRUE</v>
      </c>
      <c r="L707" s="13">
        <f>VLOOKUP($A707,Table1[],25,TRUE)</f>
        <v>0.76</v>
      </c>
    </row>
    <row r="708" spans="1:12" x14ac:dyDescent="0.25">
      <c r="A708" t="s">
        <v>1491</v>
      </c>
      <c r="B708" s="18" t="str">
        <f>VLOOKUP(A708,Table1[],3,TRUE)</f>
        <v>Danielle Bell</v>
      </c>
      <c r="C708" s="18" t="str">
        <f>VLOOKUP($A708,Table1[],5,TRUE)</f>
        <v>Female</v>
      </c>
      <c r="D708" s="3" t="str">
        <f>VLOOKUP($A708,Table1[],7,TRUE)</f>
        <v>51</v>
      </c>
      <c r="E708" s="3" t="str">
        <f>VLOOKUP($A708,Table1[],8,TRUE)</f>
        <v>Indonesia</v>
      </c>
      <c r="F708" s="3" t="str">
        <f>VLOOKUP($A708,Table1[],9,TRUE)</f>
        <v>Indonesian</v>
      </c>
      <c r="G708" s="3" t="str">
        <f>VLOOKUP($A708,Table1[],10,TRUE)</f>
        <v>Graphic Design</v>
      </c>
      <c r="H708" s="13" t="str">
        <f>VLOOKUP($A708,Table1[],12,TRUE)</f>
        <v>1</v>
      </c>
      <c r="I708" s="20">
        <v>50</v>
      </c>
      <c r="J708" s="15">
        <f>VLOOKUP($A708,Table1[],18,TRUE)</f>
        <v>0</v>
      </c>
      <c r="K708" s="12" t="str">
        <f>VLOOKUP($A708,Table1[],22,TRUE)</f>
        <v>TRUE</v>
      </c>
      <c r="L708" s="13">
        <f>VLOOKUP($A708,Table1[],25,TRUE)</f>
        <v>0.97</v>
      </c>
    </row>
    <row r="709" spans="1:12" x14ac:dyDescent="0.25">
      <c r="A709" t="s">
        <v>1493</v>
      </c>
      <c r="B709" s="18" t="str">
        <f>VLOOKUP(A709,Table1[],3,TRUE)</f>
        <v>Jason Brady</v>
      </c>
      <c r="C709" s="18" t="str">
        <f>VLOOKUP($A709,Table1[],5,TRUE)</f>
        <v>Male</v>
      </c>
      <c r="D709" s="3" t="str">
        <f>VLOOKUP($A709,Table1[],7,TRUE)</f>
        <v>58</v>
      </c>
      <c r="E709" s="3" t="str">
        <f>VLOOKUP($A709,Table1[],8,TRUE)</f>
        <v>Egypt</v>
      </c>
      <c r="F709" s="3" t="str">
        <f>VLOOKUP($A709,Table1[],9,TRUE)</f>
        <v>Arabic</v>
      </c>
      <c r="G709" s="3" t="str">
        <f>VLOOKUP($A709,Table1[],10,TRUE)</f>
        <v>Graphic Design</v>
      </c>
      <c r="H709" s="13" t="str">
        <f>VLOOKUP($A709,Table1[],12,TRUE)</f>
        <v>35</v>
      </c>
      <c r="I709" s="20">
        <v>100</v>
      </c>
      <c r="J709" s="15">
        <f>VLOOKUP($A709,Table1[],18,TRUE)</f>
        <v>2.2999999999999998</v>
      </c>
      <c r="K709" s="12" t="str">
        <f>VLOOKUP($A709,Table1[],22,TRUE)</f>
        <v>TRUE</v>
      </c>
      <c r="L709" s="13">
        <f>VLOOKUP($A709,Table1[],25,TRUE)</f>
        <v>0.75</v>
      </c>
    </row>
    <row r="710" spans="1:12" x14ac:dyDescent="0.25">
      <c r="A710" t="s">
        <v>1495</v>
      </c>
      <c r="B710" s="18" t="str">
        <f>VLOOKUP(A710,Table1[],3,TRUE)</f>
        <v>Megan Bright</v>
      </c>
      <c r="C710" s="18" t="str">
        <f>VLOOKUP($A710,Table1[],5,TRUE)</f>
        <v>Female</v>
      </c>
      <c r="D710" s="3" t="str">
        <f>VLOOKUP($A710,Table1[],7,TRUE)</f>
        <v>36</v>
      </c>
      <c r="E710" s="3" t="str">
        <f>VLOOKUP($A710,Table1[],8,TRUE)</f>
        <v>Netherlands</v>
      </c>
      <c r="F710" s="3" t="str">
        <f>VLOOKUP($A710,Table1[],9,TRUE)</f>
        <v>Dutch</v>
      </c>
      <c r="G710" s="3" t="str">
        <f>VLOOKUP($A710,Table1[],10,TRUE)</f>
        <v>Web Development</v>
      </c>
      <c r="H710" s="13" t="str">
        <f>VLOOKUP($A710,Table1[],12,TRUE)</f>
        <v>17</v>
      </c>
      <c r="I710" s="20">
        <v>20</v>
      </c>
      <c r="J710" s="15">
        <f>VLOOKUP($A710,Table1[],18,TRUE)</f>
        <v>0</v>
      </c>
      <c r="K710" s="12" t="str">
        <f>VLOOKUP($A710,Table1[],22,TRUE)</f>
        <v>TRUE</v>
      </c>
      <c r="L710" s="13">
        <f>VLOOKUP($A710,Table1[],25,TRUE)</f>
        <v>0.99</v>
      </c>
    </row>
    <row r="711" spans="1:12" x14ac:dyDescent="0.25">
      <c r="A711" t="s">
        <v>1497</v>
      </c>
      <c r="B711" s="18" t="str">
        <f>VLOOKUP(A711,Table1[],3,TRUE)</f>
        <v>David Griffin</v>
      </c>
      <c r="C711" s="18" t="str">
        <f>VLOOKUP($A711,Table1[],5,TRUE)</f>
        <v>Male</v>
      </c>
      <c r="D711" s="3" t="str">
        <f>VLOOKUP($A711,Table1[],7,TRUE)</f>
        <v>Unknown</v>
      </c>
      <c r="E711" s="3" t="str">
        <f>VLOOKUP($A711,Table1[],8,TRUE)</f>
        <v>Russia</v>
      </c>
      <c r="F711" s="3" t="str">
        <f>VLOOKUP($A711,Table1[],9,TRUE)</f>
        <v>Russian</v>
      </c>
      <c r="G711" s="3" t="str">
        <f>VLOOKUP($A711,Table1[],10,TRUE)</f>
        <v>AI</v>
      </c>
      <c r="H711" s="13" t="str">
        <f>VLOOKUP($A711,Table1[],12,TRUE)</f>
        <v>12</v>
      </c>
      <c r="I711" s="20">
        <v>30</v>
      </c>
      <c r="J711" s="15">
        <f>VLOOKUP($A711,Table1[],18,TRUE)</f>
        <v>2.6</v>
      </c>
      <c r="K711" s="12" t="str">
        <f>VLOOKUP($A711,Table1[],22,TRUE)</f>
        <v>TRUE</v>
      </c>
      <c r="L711" s="13">
        <f>VLOOKUP($A711,Table1[],25,TRUE)</f>
        <v>0.75</v>
      </c>
    </row>
    <row r="712" spans="1:12" x14ac:dyDescent="0.25">
      <c r="A712" t="s">
        <v>1499</v>
      </c>
      <c r="B712" s="18" t="str">
        <f>VLOOKUP(A712,Table1[],3,TRUE)</f>
        <v>Michael Clark</v>
      </c>
      <c r="C712" s="18" t="str">
        <f>VLOOKUP($A712,Table1[],5,TRUE)</f>
        <v>Male</v>
      </c>
      <c r="D712" s="3" t="str">
        <f>VLOOKUP($A712,Table1[],7,TRUE)</f>
        <v>56</v>
      </c>
      <c r="E712" s="3" t="str">
        <f>VLOOKUP($A712,Table1[],8,TRUE)</f>
        <v>South Africa</v>
      </c>
      <c r="F712" s="3" t="str">
        <f>VLOOKUP($A712,Table1[],9,TRUE)</f>
        <v>Afrikaans</v>
      </c>
      <c r="G712" s="3" t="str">
        <f>VLOOKUP($A712,Table1[],10,TRUE)</f>
        <v>Machine Learning</v>
      </c>
      <c r="H712" s="13" t="str">
        <f>VLOOKUP($A712,Table1[],12,TRUE)</f>
        <v>30</v>
      </c>
      <c r="I712" s="20">
        <v>40</v>
      </c>
      <c r="J712" s="15">
        <f>VLOOKUP($A712,Table1[],18,TRUE)</f>
        <v>3.3</v>
      </c>
      <c r="K712" s="12" t="str">
        <f>VLOOKUP($A712,Table1[],22,TRUE)</f>
        <v>TRUE</v>
      </c>
      <c r="L712" s="13">
        <f>VLOOKUP($A712,Table1[],25,TRUE)</f>
        <v>0.82</v>
      </c>
    </row>
    <row r="713" spans="1:12" x14ac:dyDescent="0.25">
      <c r="A713" t="s">
        <v>1501</v>
      </c>
      <c r="B713" s="18" t="str">
        <f>VLOOKUP(A713,Table1[],3,TRUE)</f>
        <v>Rebecca Barker</v>
      </c>
      <c r="C713" s="18" t="str">
        <f>VLOOKUP($A713,Table1[],5,TRUE)</f>
        <v>Female</v>
      </c>
      <c r="D713" s="3" t="str">
        <f>VLOOKUP($A713,Table1[],7,TRUE)</f>
        <v>58</v>
      </c>
      <c r="E713" s="3" t="str">
        <f>VLOOKUP($A713,Table1[],8,TRUE)</f>
        <v>Canada</v>
      </c>
      <c r="F713" s="3" t="str">
        <f>VLOOKUP($A713,Table1[],9,TRUE)</f>
        <v>English</v>
      </c>
      <c r="G713" s="3" t="str">
        <f>VLOOKUP($A713,Table1[],10,TRUE)</f>
        <v>Cybersecurity</v>
      </c>
      <c r="H713" s="13" t="str">
        <f>VLOOKUP($A713,Table1[],12,TRUE)</f>
        <v>20</v>
      </c>
      <c r="I713" s="20">
        <v>75</v>
      </c>
      <c r="J713" s="15">
        <f>VLOOKUP($A713,Table1[],18,TRUE)</f>
        <v>3.6</v>
      </c>
      <c r="K713" s="12" t="str">
        <f>VLOOKUP($A713,Table1[],22,TRUE)</f>
        <v>TRUE</v>
      </c>
      <c r="L713" s="13">
        <f>VLOOKUP($A713,Table1[],25,TRUE)</f>
        <v>0.78</v>
      </c>
    </row>
    <row r="714" spans="1:12" x14ac:dyDescent="0.25">
      <c r="A714" t="s">
        <v>1503</v>
      </c>
      <c r="B714" s="18" t="str">
        <f>VLOOKUP(A714,Table1[],3,TRUE)</f>
        <v>Angela Smith</v>
      </c>
      <c r="C714" s="18" t="str">
        <f>VLOOKUP($A714,Table1[],5,TRUE)</f>
        <v>Female</v>
      </c>
      <c r="D714" s="3" t="str">
        <f>VLOOKUP($A714,Table1[],7,TRUE)</f>
        <v>58</v>
      </c>
      <c r="E714" s="3" t="str">
        <f>VLOOKUP($A714,Table1[],8,TRUE)</f>
        <v>United States</v>
      </c>
      <c r="F714" s="3" t="str">
        <f>VLOOKUP($A714,Table1[],9,TRUE)</f>
        <v>English</v>
      </c>
      <c r="G714" s="3" t="str">
        <f>VLOOKUP($A714,Table1[],10,TRUE)</f>
        <v>Cybersecurity</v>
      </c>
      <c r="H714" s="13" t="str">
        <f>VLOOKUP($A714,Table1[],12,TRUE)</f>
        <v>22</v>
      </c>
      <c r="I714" s="20">
        <v>100</v>
      </c>
      <c r="J714" s="15">
        <f>VLOOKUP($A714,Table1[],18,TRUE)</f>
        <v>3.7</v>
      </c>
      <c r="K714" s="12" t="str">
        <f>VLOOKUP($A714,Table1[],22,TRUE)</f>
        <v>FALSE</v>
      </c>
      <c r="L714" s="13">
        <f>VLOOKUP($A714,Table1[],25,TRUE)</f>
        <v>0.75</v>
      </c>
    </row>
    <row r="715" spans="1:12" x14ac:dyDescent="0.25">
      <c r="A715" t="s">
        <v>1505</v>
      </c>
      <c r="B715" s="18" t="str">
        <f>VLOOKUP(A715,Table1[],3,TRUE)</f>
        <v>Christina Wright</v>
      </c>
      <c r="C715" s="18" t="str">
        <f>VLOOKUP($A715,Table1[],5,TRUE)</f>
        <v>Female</v>
      </c>
      <c r="D715" s="3" t="str">
        <f>VLOOKUP($A715,Table1[],7,TRUE)</f>
        <v>54</v>
      </c>
      <c r="E715" s="3" t="str">
        <f>VLOOKUP($A715,Table1[],8,TRUE)</f>
        <v>United Kingdom</v>
      </c>
      <c r="F715" s="3" t="str">
        <f>VLOOKUP($A715,Table1[],9,TRUE)</f>
        <v>English</v>
      </c>
      <c r="G715" s="3" t="str">
        <f>VLOOKUP($A715,Table1[],10,TRUE)</f>
        <v>AI</v>
      </c>
      <c r="H715" s="13" t="str">
        <f>VLOOKUP($A715,Table1[],12,TRUE)</f>
        <v>32</v>
      </c>
      <c r="I715" s="20">
        <v>20</v>
      </c>
      <c r="J715" s="15">
        <f>VLOOKUP($A715,Table1[],18,TRUE)</f>
        <v>3.4</v>
      </c>
      <c r="K715" s="12" t="str">
        <f>VLOOKUP($A715,Table1[],22,TRUE)</f>
        <v>FALSE</v>
      </c>
      <c r="L715" s="13">
        <f>VLOOKUP($A715,Table1[],25,TRUE)</f>
        <v>0.75</v>
      </c>
    </row>
    <row r="716" spans="1:12" x14ac:dyDescent="0.25">
      <c r="A716" t="s">
        <v>1507</v>
      </c>
      <c r="B716" s="18" t="str">
        <f>VLOOKUP(A716,Table1[],3,TRUE)</f>
        <v>Todd Turner</v>
      </c>
      <c r="C716" s="18" t="str">
        <f>VLOOKUP($A716,Table1[],5,TRUE)</f>
        <v>Male</v>
      </c>
      <c r="D716" s="3" t="str">
        <f>VLOOKUP($A716,Table1[],7,TRUE)</f>
        <v>53</v>
      </c>
      <c r="E716" s="3" t="str">
        <f>VLOOKUP($A716,Table1[],8,TRUE)</f>
        <v>Australia</v>
      </c>
      <c r="F716" s="3" t="str">
        <f>VLOOKUP($A716,Table1[],9,TRUE)</f>
        <v>English</v>
      </c>
      <c r="G716" s="3" t="str">
        <f>VLOOKUP($A716,Table1[],10,TRUE)</f>
        <v>UI/UX Design</v>
      </c>
      <c r="H716" s="13" t="str">
        <f>VLOOKUP($A716,Table1[],12,TRUE)</f>
        <v>9</v>
      </c>
      <c r="I716" s="20">
        <v>50</v>
      </c>
      <c r="J716" s="15">
        <f>VLOOKUP($A716,Table1[],18,TRUE)</f>
        <v>4</v>
      </c>
      <c r="K716" s="12" t="str">
        <f>VLOOKUP($A716,Table1[],22,TRUE)</f>
        <v>TRUE</v>
      </c>
      <c r="L716" s="13">
        <f>VLOOKUP($A716,Table1[],25,TRUE)</f>
        <v>0.72</v>
      </c>
    </row>
    <row r="717" spans="1:12" x14ac:dyDescent="0.25">
      <c r="A717" t="s">
        <v>1509</v>
      </c>
      <c r="B717" s="18" t="str">
        <f>VLOOKUP(A717,Table1[],3,TRUE)</f>
        <v>Elizabeth Green</v>
      </c>
      <c r="C717" s="18" t="str">
        <f>VLOOKUP($A717,Table1[],5,TRUE)</f>
        <v>Female</v>
      </c>
      <c r="D717" s="3" t="str">
        <f>VLOOKUP($A717,Table1[],7,TRUE)</f>
        <v>43</v>
      </c>
      <c r="E717" s="3" t="str">
        <f>VLOOKUP($A717,Table1[],8,TRUE)</f>
        <v>Australia</v>
      </c>
      <c r="F717" s="3" t="str">
        <f>VLOOKUP($A717,Table1[],9,TRUE)</f>
        <v>English</v>
      </c>
      <c r="G717" s="3" t="str">
        <f>VLOOKUP($A717,Table1[],10,TRUE)</f>
        <v>Web Development</v>
      </c>
      <c r="H717" s="13" t="str">
        <f>VLOOKUP($A717,Table1[],12,TRUE)</f>
        <v>22</v>
      </c>
      <c r="I717" s="20">
        <v>40</v>
      </c>
      <c r="J717" s="15">
        <f>VLOOKUP($A717,Table1[],18,TRUE)</f>
        <v>4.5</v>
      </c>
      <c r="K717" s="12" t="str">
        <f>VLOOKUP($A717,Table1[],22,TRUE)</f>
        <v>TRUE</v>
      </c>
      <c r="L717" s="13">
        <f>VLOOKUP($A717,Table1[],25,TRUE)</f>
        <v>0.75</v>
      </c>
    </row>
    <row r="718" spans="1:12" x14ac:dyDescent="0.25">
      <c r="A718" t="s">
        <v>1511</v>
      </c>
      <c r="B718" s="18" t="str">
        <f>VLOOKUP(A718,Table1[],3,TRUE)</f>
        <v>Alex Smith</v>
      </c>
      <c r="C718" s="18" t="str">
        <f>VLOOKUP($A718,Table1[],5,TRUE)</f>
        <v>Male</v>
      </c>
      <c r="D718" s="3" t="str">
        <f>VLOOKUP($A718,Table1[],7,TRUE)</f>
        <v>44</v>
      </c>
      <c r="E718" s="3" t="str">
        <f>VLOOKUP($A718,Table1[],8,TRUE)</f>
        <v>South Korea</v>
      </c>
      <c r="F718" s="3" t="str">
        <f>VLOOKUP($A718,Table1[],9,TRUE)</f>
        <v>Korean</v>
      </c>
      <c r="G718" s="3" t="str">
        <f>VLOOKUP($A718,Table1[],10,TRUE)</f>
        <v>Machine Learning</v>
      </c>
      <c r="H718" s="13" t="str">
        <f>VLOOKUP($A718,Table1[],12,TRUE)</f>
        <v>1</v>
      </c>
      <c r="I718" s="20">
        <v>75</v>
      </c>
      <c r="J718" s="15">
        <f>VLOOKUP($A718,Table1[],18,TRUE)</f>
        <v>4.3</v>
      </c>
      <c r="K718" s="12" t="str">
        <f>VLOOKUP($A718,Table1[],22,TRUE)</f>
        <v>TRUE</v>
      </c>
      <c r="L718" s="13">
        <f>VLOOKUP($A718,Table1[],25,TRUE)</f>
        <v>0.75</v>
      </c>
    </row>
    <row r="719" spans="1:12" x14ac:dyDescent="0.25">
      <c r="A719" t="s">
        <v>1513</v>
      </c>
      <c r="B719" s="18" t="str">
        <f>VLOOKUP(A719,Table1[],3,TRUE)</f>
        <v>Shane Hale</v>
      </c>
      <c r="C719" s="18" t="str">
        <f>VLOOKUP($A719,Table1[],5,TRUE)</f>
        <v>Male</v>
      </c>
      <c r="D719" s="3" t="str">
        <f>VLOOKUP($A719,Table1[],7,TRUE)</f>
        <v>34</v>
      </c>
      <c r="E719" s="3" t="str">
        <f>VLOOKUP($A719,Table1[],8,TRUE)</f>
        <v>Canada</v>
      </c>
      <c r="F719" s="3" t="str">
        <f>VLOOKUP($A719,Table1[],9,TRUE)</f>
        <v>English</v>
      </c>
      <c r="G719" s="3" t="str">
        <f>VLOOKUP($A719,Table1[],10,TRUE)</f>
        <v>Cybersecurity</v>
      </c>
      <c r="H719" s="13" t="str">
        <f>VLOOKUP($A719,Table1[],12,TRUE)</f>
        <v>4</v>
      </c>
      <c r="I719" s="20">
        <v>75</v>
      </c>
      <c r="J719" s="15">
        <f>VLOOKUP($A719,Table1[],18,TRUE)</f>
        <v>4</v>
      </c>
      <c r="K719" s="12" t="str">
        <f>VLOOKUP($A719,Table1[],22,TRUE)</f>
        <v>TRUE</v>
      </c>
      <c r="L719" s="13">
        <f>VLOOKUP($A719,Table1[],25,TRUE)</f>
        <v>0.75</v>
      </c>
    </row>
    <row r="720" spans="1:12" x14ac:dyDescent="0.25">
      <c r="A720" t="s">
        <v>1515</v>
      </c>
      <c r="B720" s="18" t="str">
        <f>VLOOKUP(A720,Table1[],3,TRUE)</f>
        <v>Kathy Grimes</v>
      </c>
      <c r="C720" s="18" t="str">
        <f>VLOOKUP($A720,Table1[],5,TRUE)</f>
        <v>Female</v>
      </c>
      <c r="D720" s="3" t="str">
        <f>VLOOKUP($A720,Table1[],7,TRUE)</f>
        <v>27</v>
      </c>
      <c r="E720" s="3" t="str">
        <f>VLOOKUP($A720,Table1[],8,TRUE)</f>
        <v>Brazil</v>
      </c>
      <c r="F720" s="3" t="str">
        <f>VLOOKUP($A720,Table1[],9,TRUE)</f>
        <v>Portuguese</v>
      </c>
      <c r="G720" s="3" t="str">
        <f>VLOOKUP($A720,Table1[],10,TRUE)</f>
        <v>Mobile Apps</v>
      </c>
      <c r="H720" s="13" t="str">
        <f>VLOOKUP($A720,Table1[],12,TRUE)</f>
        <v>8</v>
      </c>
      <c r="I720" s="20">
        <v>50</v>
      </c>
      <c r="J720" s="15">
        <f>VLOOKUP($A720,Table1[],18,TRUE)</f>
        <v>1.6</v>
      </c>
      <c r="K720" s="12" t="str">
        <f>VLOOKUP($A720,Table1[],22,TRUE)</f>
        <v>TRUE</v>
      </c>
      <c r="L720" s="13">
        <f>VLOOKUP($A720,Table1[],25,TRUE)</f>
        <v>0.75</v>
      </c>
    </row>
    <row r="721" spans="1:12" x14ac:dyDescent="0.25">
      <c r="A721" t="s">
        <v>1517</v>
      </c>
      <c r="B721" s="18" t="str">
        <f>VLOOKUP(A721,Table1[],3,TRUE)</f>
        <v>David Cherry</v>
      </c>
      <c r="C721" s="18" t="str">
        <f>VLOOKUP($A721,Table1[],5,TRUE)</f>
        <v>Male</v>
      </c>
      <c r="D721" s="3" t="str">
        <f>VLOOKUP($A721,Table1[],7,TRUE)</f>
        <v>50</v>
      </c>
      <c r="E721" s="3" t="str">
        <f>VLOOKUP($A721,Table1[],8,TRUE)</f>
        <v>Japan</v>
      </c>
      <c r="F721" s="3" t="str">
        <f>VLOOKUP($A721,Table1[],9,TRUE)</f>
        <v>Japanese</v>
      </c>
      <c r="G721" s="3" t="str">
        <f>VLOOKUP($A721,Table1[],10,TRUE)</f>
        <v>Data Analysis</v>
      </c>
      <c r="H721" s="13" t="str">
        <f>VLOOKUP($A721,Table1[],12,TRUE)</f>
        <v>3</v>
      </c>
      <c r="I721" s="20">
        <v>100</v>
      </c>
      <c r="J721" s="15">
        <f>VLOOKUP($A721,Table1[],18,TRUE)</f>
        <v>0</v>
      </c>
      <c r="K721" s="12" t="str">
        <f>VLOOKUP($A721,Table1[],22,TRUE)</f>
        <v>TRUE</v>
      </c>
      <c r="L721" s="13">
        <f>VLOOKUP($A721,Table1[],25,TRUE)</f>
        <v>0.75</v>
      </c>
    </row>
    <row r="722" spans="1:12" x14ac:dyDescent="0.25">
      <c r="A722" t="s">
        <v>1519</v>
      </c>
      <c r="B722" s="18" t="str">
        <f>VLOOKUP(A722,Table1[],3,TRUE)</f>
        <v>Rachel Rogers</v>
      </c>
      <c r="C722" s="18" t="str">
        <f>VLOOKUP($A722,Table1[],5,TRUE)</f>
        <v>Female</v>
      </c>
      <c r="D722" s="3" t="str">
        <f>VLOOKUP($A722,Table1[],7,TRUE)</f>
        <v>52</v>
      </c>
      <c r="E722" s="3" t="str">
        <f>VLOOKUP($A722,Table1[],8,TRUE)</f>
        <v>South Korea</v>
      </c>
      <c r="F722" s="3" t="str">
        <f>VLOOKUP($A722,Table1[],9,TRUE)</f>
        <v>Korean</v>
      </c>
      <c r="G722" s="3" t="str">
        <f>VLOOKUP($A722,Table1[],10,TRUE)</f>
        <v>UI/UX Design</v>
      </c>
      <c r="H722" s="13" t="str">
        <f>VLOOKUP($A722,Table1[],12,TRUE)</f>
        <v>30</v>
      </c>
      <c r="I722" s="20">
        <v>75</v>
      </c>
      <c r="J722" s="15">
        <f>VLOOKUP($A722,Table1[],18,TRUE)</f>
        <v>2.6</v>
      </c>
      <c r="K722" s="12" t="str">
        <f>VLOOKUP($A722,Table1[],22,TRUE)</f>
        <v>FALSE</v>
      </c>
      <c r="L722" s="13">
        <f>VLOOKUP($A722,Table1[],25,TRUE)</f>
        <v>0.94</v>
      </c>
    </row>
    <row r="723" spans="1:12" x14ac:dyDescent="0.25">
      <c r="A723" t="s">
        <v>1521</v>
      </c>
      <c r="B723" s="18" t="str">
        <f>VLOOKUP(A723,Table1[],3,TRUE)</f>
        <v>Travis Braun</v>
      </c>
      <c r="C723" s="18" t="str">
        <f>VLOOKUP($A723,Table1[],5,TRUE)</f>
        <v>Male</v>
      </c>
      <c r="D723" s="3" t="str">
        <f>VLOOKUP($A723,Table1[],7,TRUE)</f>
        <v>57</v>
      </c>
      <c r="E723" s="3" t="str">
        <f>VLOOKUP($A723,Table1[],8,TRUE)</f>
        <v>Spain</v>
      </c>
      <c r="F723" s="3" t="str">
        <f>VLOOKUP($A723,Table1[],9,TRUE)</f>
        <v>Spanish</v>
      </c>
      <c r="G723" s="3" t="str">
        <f>VLOOKUP($A723,Table1[],10,TRUE)</f>
        <v>Blockchain Development</v>
      </c>
      <c r="H723" s="13" t="str">
        <f>VLOOKUP($A723,Table1[],12,TRUE)</f>
        <v>11</v>
      </c>
      <c r="I723" s="20">
        <v>20</v>
      </c>
      <c r="J723" s="15">
        <f>VLOOKUP($A723,Table1[],18,TRUE)</f>
        <v>4.9000000000000004</v>
      </c>
      <c r="K723" s="12" t="str">
        <f>VLOOKUP($A723,Table1[],22,TRUE)</f>
        <v>TRUE</v>
      </c>
      <c r="L723" s="13">
        <f>VLOOKUP($A723,Table1[],25,TRUE)</f>
        <v>0.75</v>
      </c>
    </row>
    <row r="724" spans="1:12" x14ac:dyDescent="0.25">
      <c r="A724" t="s">
        <v>1523</v>
      </c>
      <c r="B724" s="18" t="str">
        <f>VLOOKUP(A724,Table1[],3,TRUE)</f>
        <v>Shawna Palmer</v>
      </c>
      <c r="C724" s="18" t="str">
        <f>VLOOKUP($A724,Table1[],5,TRUE)</f>
        <v>Female</v>
      </c>
      <c r="D724" s="3" t="str">
        <f>VLOOKUP($A724,Table1[],7,TRUE)</f>
        <v>53</v>
      </c>
      <c r="E724" s="3" t="str">
        <f>VLOOKUP($A724,Table1[],8,TRUE)</f>
        <v>Mexico</v>
      </c>
      <c r="F724" s="3" t="str">
        <f>VLOOKUP($A724,Table1[],9,TRUE)</f>
        <v>Spanish</v>
      </c>
      <c r="G724" s="3" t="str">
        <f>VLOOKUP($A724,Table1[],10,TRUE)</f>
        <v>DevOps</v>
      </c>
      <c r="H724" s="13" t="str">
        <f>VLOOKUP($A724,Table1[],12,TRUE)</f>
        <v>8</v>
      </c>
      <c r="I724" s="20">
        <v>20</v>
      </c>
      <c r="J724" s="15">
        <f>VLOOKUP($A724,Table1[],18,TRUE)</f>
        <v>2.8</v>
      </c>
      <c r="K724" s="12" t="str">
        <f>VLOOKUP($A724,Table1[],22,TRUE)</f>
        <v>TRUE</v>
      </c>
      <c r="L724" s="13">
        <f>VLOOKUP($A724,Table1[],25,TRUE)</f>
        <v>0.75</v>
      </c>
    </row>
    <row r="725" spans="1:12" x14ac:dyDescent="0.25">
      <c r="A725" t="s">
        <v>1525</v>
      </c>
      <c r="B725" s="18" t="str">
        <f>VLOOKUP(A725,Table1[],3,TRUE)</f>
        <v>Bradley Gaines</v>
      </c>
      <c r="C725" s="18" t="str">
        <f>VLOOKUP($A725,Table1[],5,TRUE)</f>
        <v>Male</v>
      </c>
      <c r="D725" s="3" t="str">
        <f>VLOOKUP($A725,Table1[],7,TRUE)</f>
        <v>51</v>
      </c>
      <c r="E725" s="3" t="str">
        <f>VLOOKUP($A725,Table1[],8,TRUE)</f>
        <v>Turkey</v>
      </c>
      <c r="F725" s="3" t="str">
        <f>VLOOKUP($A725,Table1[],9,TRUE)</f>
        <v>Turkish</v>
      </c>
      <c r="G725" s="3" t="str">
        <f>VLOOKUP($A725,Table1[],10,TRUE)</f>
        <v>UI/UX Design</v>
      </c>
      <c r="H725" s="13" t="str">
        <f>VLOOKUP($A725,Table1[],12,TRUE)</f>
        <v>11</v>
      </c>
      <c r="I725" s="20">
        <v>30</v>
      </c>
      <c r="J725" s="15">
        <f>VLOOKUP($A725,Table1[],18,TRUE)</f>
        <v>3.6</v>
      </c>
      <c r="K725" s="12" t="str">
        <f>VLOOKUP($A725,Table1[],22,TRUE)</f>
        <v>TRUE</v>
      </c>
      <c r="L725" s="13">
        <f>VLOOKUP($A725,Table1[],25,TRUE)</f>
        <v>0.77</v>
      </c>
    </row>
    <row r="726" spans="1:12" x14ac:dyDescent="0.25">
      <c r="A726" t="s">
        <v>1527</v>
      </c>
      <c r="B726" s="18" t="str">
        <f>VLOOKUP(A726,Table1[],3,TRUE)</f>
        <v>April Ford</v>
      </c>
      <c r="C726" s="18" t="str">
        <f>VLOOKUP($A726,Table1[],5,TRUE)</f>
        <v>Female</v>
      </c>
      <c r="D726" s="3" t="str">
        <f>VLOOKUP($A726,Table1[],7,TRUE)</f>
        <v>37</v>
      </c>
      <c r="E726" s="3" t="str">
        <f>VLOOKUP($A726,Table1[],8,TRUE)</f>
        <v>Canada</v>
      </c>
      <c r="F726" s="3" t="str">
        <f>VLOOKUP($A726,Table1[],9,TRUE)</f>
        <v>English</v>
      </c>
      <c r="G726" s="3" t="str">
        <f>VLOOKUP($A726,Table1[],10,TRUE)</f>
        <v>Cybersecurity</v>
      </c>
      <c r="H726" s="13" t="str">
        <f>VLOOKUP($A726,Table1[],12,TRUE)</f>
        <v>9</v>
      </c>
      <c r="I726" s="20">
        <v>50</v>
      </c>
      <c r="J726" s="15">
        <f>VLOOKUP($A726,Table1[],18,TRUE)</f>
        <v>2.6</v>
      </c>
      <c r="K726" s="12" t="str">
        <f>VLOOKUP($A726,Table1[],22,TRUE)</f>
        <v>TRUE</v>
      </c>
      <c r="L726" s="13">
        <f>VLOOKUP($A726,Table1[],25,TRUE)</f>
        <v>0.84</v>
      </c>
    </row>
    <row r="727" spans="1:12" x14ac:dyDescent="0.25">
      <c r="A727" t="s">
        <v>1529</v>
      </c>
      <c r="B727" s="18" t="str">
        <f>VLOOKUP(A727,Table1[],3,TRUE)</f>
        <v>James Gonzalez</v>
      </c>
      <c r="C727" s="18" t="str">
        <f>VLOOKUP($A727,Table1[],5,TRUE)</f>
        <v>Male</v>
      </c>
      <c r="D727" s="3" t="str">
        <f>VLOOKUP($A727,Table1[],7,TRUE)</f>
        <v>40</v>
      </c>
      <c r="E727" s="3" t="str">
        <f>VLOOKUP($A727,Table1[],8,TRUE)</f>
        <v>Spain</v>
      </c>
      <c r="F727" s="3" t="str">
        <f>VLOOKUP($A727,Table1[],9,TRUE)</f>
        <v>Spanish</v>
      </c>
      <c r="G727" s="3" t="str">
        <f>VLOOKUP($A727,Table1[],10,TRUE)</f>
        <v>Web Development</v>
      </c>
      <c r="H727" s="13" t="str">
        <f>VLOOKUP($A727,Table1[],12,TRUE)</f>
        <v>7</v>
      </c>
      <c r="I727" s="20">
        <v>40</v>
      </c>
      <c r="J727" s="15">
        <f>VLOOKUP($A727,Table1[],18,TRUE)</f>
        <v>4.5</v>
      </c>
      <c r="K727" s="12" t="str">
        <f>VLOOKUP($A727,Table1[],22,TRUE)</f>
        <v>TRUE</v>
      </c>
      <c r="L727" s="13">
        <f>VLOOKUP($A727,Table1[],25,TRUE)</f>
        <v>0.79</v>
      </c>
    </row>
    <row r="728" spans="1:12" x14ac:dyDescent="0.25">
      <c r="A728" t="s">
        <v>1531</v>
      </c>
      <c r="B728" s="18" t="str">
        <f>VLOOKUP(A728,Table1[],3,TRUE)</f>
        <v>John Castillo</v>
      </c>
      <c r="C728" s="18" t="str">
        <f>VLOOKUP($A728,Table1[],5,TRUE)</f>
        <v>Male</v>
      </c>
      <c r="D728" s="3" t="str">
        <f>VLOOKUP($A728,Table1[],7,TRUE)</f>
        <v>60</v>
      </c>
      <c r="E728" s="3" t="str">
        <f>VLOOKUP($A728,Table1[],8,TRUE)</f>
        <v>Japan</v>
      </c>
      <c r="F728" s="3" t="str">
        <f>VLOOKUP($A728,Table1[],9,TRUE)</f>
        <v>Japanese</v>
      </c>
      <c r="G728" s="3" t="str">
        <f>VLOOKUP($A728,Table1[],10,TRUE)</f>
        <v>Data Analysis</v>
      </c>
      <c r="H728" s="13" t="str">
        <f>VLOOKUP($A728,Table1[],12,TRUE)</f>
        <v>24</v>
      </c>
      <c r="I728" s="20">
        <v>40</v>
      </c>
      <c r="J728" s="15">
        <f>VLOOKUP($A728,Table1[],18,TRUE)</f>
        <v>3.1</v>
      </c>
      <c r="K728" s="12" t="str">
        <f>VLOOKUP($A728,Table1[],22,TRUE)</f>
        <v>FALSE</v>
      </c>
      <c r="L728" s="13">
        <f>VLOOKUP($A728,Table1[],25,TRUE)</f>
        <v>0.69</v>
      </c>
    </row>
    <row r="729" spans="1:12" x14ac:dyDescent="0.25">
      <c r="A729" t="s">
        <v>1533</v>
      </c>
      <c r="B729" s="18" t="str">
        <f>VLOOKUP(A729,Table1[],3,TRUE)</f>
        <v>Ian Hayes</v>
      </c>
      <c r="C729" s="18" t="str">
        <f>VLOOKUP($A729,Table1[],5,TRUE)</f>
        <v>Male</v>
      </c>
      <c r="D729" s="3" t="str">
        <f>VLOOKUP($A729,Table1[],7,TRUE)</f>
        <v>60</v>
      </c>
      <c r="E729" s="3" t="str">
        <f>VLOOKUP($A729,Table1[],8,TRUE)</f>
        <v>France</v>
      </c>
      <c r="F729" s="3" t="str">
        <f>VLOOKUP($A729,Table1[],9,TRUE)</f>
        <v>French</v>
      </c>
      <c r="G729" s="3" t="str">
        <f>VLOOKUP($A729,Table1[],10,TRUE)</f>
        <v>UI/UX Design</v>
      </c>
      <c r="H729" s="13" t="str">
        <f>VLOOKUP($A729,Table1[],12,TRUE)</f>
        <v>0</v>
      </c>
      <c r="I729" s="20">
        <v>40</v>
      </c>
      <c r="J729" s="15">
        <f>VLOOKUP($A729,Table1[],18,TRUE)</f>
        <v>4.9000000000000004</v>
      </c>
      <c r="K729" s="12" t="str">
        <f>VLOOKUP($A729,Table1[],22,TRUE)</f>
        <v>TRUE</v>
      </c>
      <c r="L729" s="13">
        <f>VLOOKUP($A729,Table1[],25,TRUE)</f>
        <v>0.68</v>
      </c>
    </row>
    <row r="730" spans="1:12" x14ac:dyDescent="0.25">
      <c r="A730" t="s">
        <v>1535</v>
      </c>
      <c r="B730" s="18" t="str">
        <f>VLOOKUP(A730,Table1[],3,TRUE)</f>
        <v>Christine Castro</v>
      </c>
      <c r="C730" s="18" t="str">
        <f>VLOOKUP($A730,Table1[],5,TRUE)</f>
        <v>Female</v>
      </c>
      <c r="D730" s="3" t="str">
        <f>VLOOKUP($A730,Table1[],7,TRUE)</f>
        <v>53</v>
      </c>
      <c r="E730" s="3" t="str">
        <f>VLOOKUP($A730,Table1[],8,TRUE)</f>
        <v>South Korea</v>
      </c>
      <c r="F730" s="3" t="str">
        <f>VLOOKUP($A730,Table1[],9,TRUE)</f>
        <v>Korean</v>
      </c>
      <c r="G730" s="3" t="str">
        <f>VLOOKUP($A730,Table1[],10,TRUE)</f>
        <v>UI/UX Design</v>
      </c>
      <c r="H730" s="13" t="str">
        <f>VLOOKUP($A730,Table1[],12,TRUE)</f>
        <v>21</v>
      </c>
      <c r="I730" s="20">
        <v>30</v>
      </c>
      <c r="J730" s="15">
        <f>VLOOKUP($A730,Table1[],18,TRUE)</f>
        <v>4.2</v>
      </c>
      <c r="K730" s="12" t="str">
        <f>VLOOKUP($A730,Table1[],22,TRUE)</f>
        <v>TRUE</v>
      </c>
      <c r="L730" s="13">
        <f>VLOOKUP($A730,Table1[],25,TRUE)</f>
        <v>0.73</v>
      </c>
    </row>
    <row r="731" spans="1:12" x14ac:dyDescent="0.25">
      <c r="A731" t="s">
        <v>1537</v>
      </c>
      <c r="B731" s="18" t="str">
        <f>VLOOKUP(A731,Table1[],3,TRUE)</f>
        <v>Jessica Chaney</v>
      </c>
      <c r="C731" s="18" t="str">
        <f>VLOOKUP($A731,Table1[],5,TRUE)</f>
        <v>Female</v>
      </c>
      <c r="D731" s="3" t="str">
        <f>VLOOKUP($A731,Table1[],7,TRUE)</f>
        <v>20</v>
      </c>
      <c r="E731" s="3" t="str">
        <f>VLOOKUP($A731,Table1[],8,TRUE)</f>
        <v>Mexico</v>
      </c>
      <c r="F731" s="3" t="str">
        <f>VLOOKUP($A731,Table1[],9,TRUE)</f>
        <v>Spanish</v>
      </c>
      <c r="G731" s="3" t="str">
        <f>VLOOKUP($A731,Table1[],10,TRUE)</f>
        <v>Blockchain Development</v>
      </c>
      <c r="H731" s="13" t="str">
        <f>VLOOKUP($A731,Table1[],12,TRUE)</f>
        <v>0</v>
      </c>
      <c r="I731" s="20">
        <v>75</v>
      </c>
      <c r="J731" s="15">
        <f>VLOOKUP($A731,Table1[],18,TRUE)</f>
        <v>3.2</v>
      </c>
      <c r="K731" s="12" t="str">
        <f>VLOOKUP($A731,Table1[],22,TRUE)</f>
        <v>TRUE</v>
      </c>
      <c r="L731" s="13">
        <f>VLOOKUP($A731,Table1[],25,TRUE)</f>
        <v>0.74</v>
      </c>
    </row>
    <row r="732" spans="1:12" x14ac:dyDescent="0.25">
      <c r="A732" t="s">
        <v>1539</v>
      </c>
      <c r="B732" s="18" t="str">
        <f>VLOOKUP(A732,Table1[],3,TRUE)</f>
        <v>John Gray</v>
      </c>
      <c r="C732" s="18" t="str">
        <f>VLOOKUP($A732,Table1[],5,TRUE)</f>
        <v>Male</v>
      </c>
      <c r="D732" s="3" t="str">
        <f>VLOOKUP($A732,Table1[],7,TRUE)</f>
        <v>42</v>
      </c>
      <c r="E732" s="3" t="str">
        <f>VLOOKUP($A732,Table1[],8,TRUE)</f>
        <v>Russia</v>
      </c>
      <c r="F732" s="3" t="str">
        <f>VLOOKUP($A732,Table1[],9,TRUE)</f>
        <v>Russian</v>
      </c>
      <c r="G732" s="3" t="str">
        <f>VLOOKUP($A732,Table1[],10,TRUE)</f>
        <v>Web Development</v>
      </c>
      <c r="H732" s="13" t="str">
        <f>VLOOKUP($A732,Table1[],12,TRUE)</f>
        <v>7</v>
      </c>
      <c r="I732" s="20">
        <v>20</v>
      </c>
      <c r="J732" s="15">
        <f>VLOOKUP($A732,Table1[],18,TRUE)</f>
        <v>2.6</v>
      </c>
      <c r="K732" s="12" t="str">
        <f>VLOOKUP($A732,Table1[],22,TRUE)</f>
        <v>TRUE</v>
      </c>
      <c r="L732" s="13">
        <f>VLOOKUP($A732,Table1[],25,TRUE)</f>
        <v>1</v>
      </c>
    </row>
    <row r="733" spans="1:12" x14ac:dyDescent="0.25">
      <c r="A733" t="s">
        <v>1541</v>
      </c>
      <c r="B733" s="18" t="str">
        <f>VLOOKUP(A733,Table1[],3,TRUE)</f>
        <v>Shane Booker</v>
      </c>
      <c r="C733" s="18" t="str">
        <f>VLOOKUP($A733,Table1[],5,TRUE)</f>
        <v>Male</v>
      </c>
      <c r="D733" s="3" t="str">
        <f>VLOOKUP($A733,Table1[],7,TRUE)</f>
        <v>21</v>
      </c>
      <c r="E733" s="3" t="str">
        <f>VLOOKUP($A733,Table1[],8,TRUE)</f>
        <v>United Kingdom</v>
      </c>
      <c r="F733" s="3" t="str">
        <f>VLOOKUP($A733,Table1[],9,TRUE)</f>
        <v>English</v>
      </c>
      <c r="G733" s="3" t="str">
        <f>VLOOKUP($A733,Table1[],10,TRUE)</f>
        <v>Mobile Apps</v>
      </c>
      <c r="H733" s="13" t="str">
        <f>VLOOKUP($A733,Table1[],12,TRUE)</f>
        <v>3</v>
      </c>
      <c r="I733" s="20">
        <v>40</v>
      </c>
      <c r="J733" s="15">
        <f>VLOOKUP($A733,Table1[],18,TRUE)</f>
        <v>0</v>
      </c>
      <c r="K733" s="12" t="str">
        <f>VLOOKUP($A733,Table1[],22,TRUE)</f>
        <v>FALSE</v>
      </c>
      <c r="L733" s="13">
        <f>VLOOKUP($A733,Table1[],25,TRUE)</f>
        <v>0.87</v>
      </c>
    </row>
    <row r="734" spans="1:12" x14ac:dyDescent="0.25">
      <c r="A734" t="s">
        <v>1543</v>
      </c>
      <c r="B734" s="18" t="str">
        <f>VLOOKUP(A734,Table1[],3,TRUE)</f>
        <v>Kyle Hall</v>
      </c>
      <c r="C734" s="18" t="str">
        <f>VLOOKUP($A734,Table1[],5,TRUE)</f>
        <v>Male</v>
      </c>
      <c r="D734" s="3" t="str">
        <f>VLOOKUP($A734,Table1[],7,TRUE)</f>
        <v>39</v>
      </c>
      <c r="E734" s="3" t="str">
        <f>VLOOKUP($A734,Table1[],8,TRUE)</f>
        <v>Germany</v>
      </c>
      <c r="F734" s="3" t="str">
        <f>VLOOKUP($A734,Table1[],9,TRUE)</f>
        <v>German</v>
      </c>
      <c r="G734" s="3" t="str">
        <f>VLOOKUP($A734,Table1[],10,TRUE)</f>
        <v>Web Development</v>
      </c>
      <c r="H734" s="13" t="str">
        <f>VLOOKUP($A734,Table1[],12,TRUE)</f>
        <v>21</v>
      </c>
      <c r="I734" s="20">
        <v>100</v>
      </c>
      <c r="J734" s="15">
        <f>VLOOKUP($A734,Table1[],18,TRUE)</f>
        <v>2.2000000000000002</v>
      </c>
      <c r="K734" s="12" t="str">
        <f>VLOOKUP($A734,Table1[],22,TRUE)</f>
        <v>FALSE</v>
      </c>
      <c r="L734" s="13">
        <f>VLOOKUP($A734,Table1[],25,TRUE)</f>
        <v>0.79</v>
      </c>
    </row>
    <row r="735" spans="1:12" x14ac:dyDescent="0.25">
      <c r="A735" t="s">
        <v>1545</v>
      </c>
      <c r="B735" s="18" t="str">
        <f>VLOOKUP(A735,Table1[],3,TRUE)</f>
        <v>Ronald Munoz</v>
      </c>
      <c r="C735" s="18" t="str">
        <f>VLOOKUP($A735,Table1[],5,TRUE)</f>
        <v>Male</v>
      </c>
      <c r="D735" s="3" t="str">
        <f>VLOOKUP($A735,Table1[],7,TRUE)</f>
        <v>32</v>
      </c>
      <c r="E735" s="3" t="str">
        <f>VLOOKUP($A735,Table1[],8,TRUE)</f>
        <v>India</v>
      </c>
      <c r="F735" s="3" t="str">
        <f>VLOOKUP($A735,Table1[],9,TRUE)</f>
        <v>Hindi</v>
      </c>
      <c r="G735" s="3" t="str">
        <f>VLOOKUP($A735,Table1[],10,TRUE)</f>
        <v>Blockchain Development</v>
      </c>
      <c r="H735" s="13" t="str">
        <f>VLOOKUP($A735,Table1[],12,TRUE)</f>
        <v>Unknown</v>
      </c>
      <c r="I735" s="20">
        <v>30</v>
      </c>
      <c r="J735" s="15">
        <f>VLOOKUP($A735,Table1[],18,TRUE)</f>
        <v>1.5</v>
      </c>
      <c r="K735" s="12" t="str">
        <f>VLOOKUP($A735,Table1[],22,TRUE)</f>
        <v>FALSE</v>
      </c>
      <c r="L735" s="13">
        <f>VLOOKUP($A735,Table1[],25,TRUE)</f>
        <v>0.68</v>
      </c>
    </row>
    <row r="736" spans="1:12" x14ac:dyDescent="0.25">
      <c r="A736" t="s">
        <v>1547</v>
      </c>
      <c r="B736" s="18" t="str">
        <f>VLOOKUP(A736,Table1[],3,TRUE)</f>
        <v>Christopher Long</v>
      </c>
      <c r="C736" s="18" t="str">
        <f>VLOOKUP($A736,Table1[],5,TRUE)</f>
        <v>Male</v>
      </c>
      <c r="D736" s="3" t="str">
        <f>VLOOKUP($A736,Table1[],7,TRUE)</f>
        <v>35</v>
      </c>
      <c r="E736" s="3" t="str">
        <f>VLOOKUP($A736,Table1[],8,TRUE)</f>
        <v>Germany</v>
      </c>
      <c r="F736" s="3" t="str">
        <f>VLOOKUP($A736,Table1[],9,TRUE)</f>
        <v>German</v>
      </c>
      <c r="G736" s="3" t="str">
        <f>VLOOKUP($A736,Table1[],10,TRUE)</f>
        <v>Data Analysis</v>
      </c>
      <c r="H736" s="13" t="str">
        <f>VLOOKUP($A736,Table1[],12,TRUE)</f>
        <v>Unknown</v>
      </c>
      <c r="I736" s="20">
        <v>100</v>
      </c>
      <c r="J736" s="15">
        <f>VLOOKUP($A736,Table1[],18,TRUE)</f>
        <v>2.6</v>
      </c>
      <c r="K736" s="12" t="str">
        <f>VLOOKUP($A736,Table1[],22,TRUE)</f>
        <v>FALSE</v>
      </c>
      <c r="L736" s="13">
        <f>VLOOKUP($A736,Table1[],25,TRUE)</f>
        <v>0.84</v>
      </c>
    </row>
    <row r="737" spans="1:12" x14ac:dyDescent="0.25">
      <c r="A737" t="s">
        <v>1549</v>
      </c>
      <c r="B737" s="18" t="str">
        <f>VLOOKUP(A737,Table1[],3,TRUE)</f>
        <v>Sandra Ali</v>
      </c>
      <c r="C737" s="18" t="str">
        <f>VLOOKUP($A737,Table1[],5,TRUE)</f>
        <v>Female</v>
      </c>
      <c r="D737" s="3" t="str">
        <f>VLOOKUP($A737,Table1[],7,TRUE)</f>
        <v>35</v>
      </c>
      <c r="E737" s="3" t="str">
        <f>VLOOKUP($A737,Table1[],8,TRUE)</f>
        <v>France</v>
      </c>
      <c r="F737" s="3" t="str">
        <f>VLOOKUP($A737,Table1[],9,TRUE)</f>
        <v>French</v>
      </c>
      <c r="G737" s="3" t="str">
        <f>VLOOKUP($A737,Table1[],10,TRUE)</f>
        <v>UI/UX Design</v>
      </c>
      <c r="H737" s="13" t="str">
        <f>VLOOKUP($A737,Table1[],12,TRUE)</f>
        <v>17</v>
      </c>
      <c r="I737" s="20">
        <v>50</v>
      </c>
      <c r="J737" s="15">
        <f>VLOOKUP($A737,Table1[],18,TRUE)</f>
        <v>3.1</v>
      </c>
      <c r="K737" s="12" t="str">
        <f>VLOOKUP($A737,Table1[],22,TRUE)</f>
        <v>FALSE</v>
      </c>
      <c r="L737" s="13">
        <f>VLOOKUP($A737,Table1[],25,TRUE)</f>
        <v>0.71</v>
      </c>
    </row>
    <row r="738" spans="1:12" x14ac:dyDescent="0.25">
      <c r="A738" t="s">
        <v>1551</v>
      </c>
      <c r="B738" s="18" t="str">
        <f>VLOOKUP(A738,Table1[],3,TRUE)</f>
        <v>Jessica Garza</v>
      </c>
      <c r="C738" s="18" t="str">
        <f>VLOOKUP($A738,Table1[],5,TRUE)</f>
        <v>Female</v>
      </c>
      <c r="D738" s="3" t="str">
        <f>VLOOKUP($A738,Table1[],7,TRUE)</f>
        <v>23</v>
      </c>
      <c r="E738" s="3" t="str">
        <f>VLOOKUP($A738,Table1[],8,TRUE)</f>
        <v>Argentina</v>
      </c>
      <c r="F738" s="3" t="str">
        <f>VLOOKUP($A738,Table1[],9,TRUE)</f>
        <v>Spanish</v>
      </c>
      <c r="G738" s="3" t="str">
        <f>VLOOKUP($A738,Table1[],10,TRUE)</f>
        <v>UI/UX Design</v>
      </c>
      <c r="H738" s="13" t="str">
        <f>VLOOKUP($A738,Table1[],12,TRUE)</f>
        <v>0</v>
      </c>
      <c r="I738" s="20">
        <v>75</v>
      </c>
      <c r="J738" s="15">
        <f>VLOOKUP($A738,Table1[],18,TRUE)</f>
        <v>0</v>
      </c>
      <c r="K738" s="12" t="str">
        <f>VLOOKUP($A738,Table1[],22,TRUE)</f>
        <v>FALSE</v>
      </c>
      <c r="L738" s="13">
        <f>VLOOKUP($A738,Table1[],25,TRUE)</f>
        <v>0.92</v>
      </c>
    </row>
    <row r="739" spans="1:12" x14ac:dyDescent="0.25">
      <c r="A739" t="s">
        <v>1553</v>
      </c>
      <c r="B739" s="18" t="str">
        <f>VLOOKUP(A739,Table1[],3,TRUE)</f>
        <v>Gregory Waters</v>
      </c>
      <c r="C739" s="18" t="str">
        <f>VLOOKUP($A739,Table1[],5,TRUE)</f>
        <v>Male</v>
      </c>
      <c r="D739" s="3" t="str">
        <f>VLOOKUP($A739,Table1[],7,TRUE)</f>
        <v>26</v>
      </c>
      <c r="E739" s="3" t="str">
        <f>VLOOKUP($A739,Table1[],8,TRUE)</f>
        <v>Netherlands</v>
      </c>
      <c r="F739" s="3" t="str">
        <f>VLOOKUP($A739,Table1[],9,TRUE)</f>
        <v>Dutch</v>
      </c>
      <c r="G739" s="3" t="str">
        <f>VLOOKUP($A739,Table1[],10,TRUE)</f>
        <v>AI</v>
      </c>
      <c r="H739" s="13" t="str">
        <f>VLOOKUP($A739,Table1[],12,TRUE)</f>
        <v>6</v>
      </c>
      <c r="I739" s="20">
        <v>100</v>
      </c>
      <c r="J739" s="15">
        <f>VLOOKUP($A739,Table1[],18,TRUE)</f>
        <v>2.6</v>
      </c>
      <c r="K739" s="12" t="str">
        <f>VLOOKUP($A739,Table1[],22,TRUE)</f>
        <v>FALSE</v>
      </c>
      <c r="L739" s="13">
        <f>VLOOKUP($A739,Table1[],25,TRUE)</f>
        <v>0.69</v>
      </c>
    </row>
    <row r="740" spans="1:12" x14ac:dyDescent="0.25">
      <c r="A740" t="s">
        <v>1555</v>
      </c>
      <c r="B740" s="18" t="str">
        <f>VLOOKUP(A740,Table1[],3,TRUE)</f>
        <v>Misty Adams</v>
      </c>
      <c r="C740" s="18" t="str">
        <f>VLOOKUP($A740,Table1[],5,TRUE)</f>
        <v>Female</v>
      </c>
      <c r="D740" s="3" t="str">
        <f>VLOOKUP($A740,Table1[],7,TRUE)</f>
        <v>34</v>
      </c>
      <c r="E740" s="3" t="str">
        <f>VLOOKUP($A740,Table1[],8,TRUE)</f>
        <v>Canada</v>
      </c>
      <c r="F740" s="3" t="str">
        <f>VLOOKUP($A740,Table1[],9,TRUE)</f>
        <v>English</v>
      </c>
      <c r="G740" s="3" t="str">
        <f>VLOOKUP($A740,Table1[],10,TRUE)</f>
        <v>Machine Learning</v>
      </c>
      <c r="H740" s="13" t="str">
        <f>VLOOKUP($A740,Table1[],12,TRUE)</f>
        <v>3</v>
      </c>
      <c r="I740" s="20">
        <v>50</v>
      </c>
      <c r="J740" s="15">
        <f>VLOOKUP($A740,Table1[],18,TRUE)</f>
        <v>0</v>
      </c>
      <c r="K740" s="12" t="str">
        <f>VLOOKUP($A740,Table1[],22,TRUE)</f>
        <v>TRUE</v>
      </c>
      <c r="L740" s="13">
        <f>VLOOKUP($A740,Table1[],25,TRUE)</f>
        <v>0.71</v>
      </c>
    </row>
    <row r="741" spans="1:12" x14ac:dyDescent="0.25">
      <c r="A741" t="s">
        <v>1557</v>
      </c>
      <c r="B741" s="18" t="str">
        <f>VLOOKUP(A741,Table1[],3,TRUE)</f>
        <v>Megan Brown</v>
      </c>
      <c r="C741" s="18" t="str">
        <f>VLOOKUP($A741,Table1[],5,TRUE)</f>
        <v>Female</v>
      </c>
      <c r="D741" s="3" t="str">
        <f>VLOOKUP($A741,Table1[],7,TRUE)</f>
        <v>34</v>
      </c>
      <c r="E741" s="3" t="str">
        <f>VLOOKUP($A741,Table1[],8,TRUE)</f>
        <v>Germany</v>
      </c>
      <c r="F741" s="3" t="str">
        <f>VLOOKUP($A741,Table1[],9,TRUE)</f>
        <v>German</v>
      </c>
      <c r="G741" s="3" t="str">
        <f>VLOOKUP($A741,Table1[],10,TRUE)</f>
        <v>Blockchain Development</v>
      </c>
      <c r="H741" s="13" t="str">
        <f>VLOOKUP($A741,Table1[],12,TRUE)</f>
        <v>3</v>
      </c>
      <c r="I741" s="20">
        <v>50</v>
      </c>
      <c r="J741" s="15">
        <f>VLOOKUP($A741,Table1[],18,TRUE)</f>
        <v>2.6</v>
      </c>
      <c r="K741" s="12" t="str">
        <f>VLOOKUP($A741,Table1[],22,TRUE)</f>
        <v>TRUE</v>
      </c>
      <c r="L741" s="13">
        <f>VLOOKUP($A741,Table1[],25,TRUE)</f>
        <v>0.77</v>
      </c>
    </row>
    <row r="742" spans="1:12" x14ac:dyDescent="0.25">
      <c r="A742" t="s">
        <v>1559</v>
      </c>
      <c r="B742" s="18" t="str">
        <f>VLOOKUP(A742,Table1[],3,TRUE)</f>
        <v>Gregory Brown</v>
      </c>
      <c r="C742" s="18" t="str">
        <f>VLOOKUP($A742,Table1[],5,TRUE)</f>
        <v>Male</v>
      </c>
      <c r="D742" s="3" t="str">
        <f>VLOOKUP($A742,Table1[],7,TRUE)</f>
        <v>57</v>
      </c>
      <c r="E742" s="3" t="str">
        <f>VLOOKUP($A742,Table1[],8,TRUE)</f>
        <v>Italy</v>
      </c>
      <c r="F742" s="3" t="str">
        <f>VLOOKUP($A742,Table1[],9,TRUE)</f>
        <v>Italian</v>
      </c>
      <c r="G742" s="3" t="str">
        <f>VLOOKUP($A742,Table1[],10,TRUE)</f>
        <v>Web Development</v>
      </c>
      <c r="H742" s="13" t="str">
        <f>VLOOKUP($A742,Table1[],12,TRUE)</f>
        <v>31</v>
      </c>
      <c r="I742" s="20">
        <v>50</v>
      </c>
      <c r="J742" s="15">
        <f>VLOOKUP($A742,Table1[],18,TRUE)</f>
        <v>3</v>
      </c>
      <c r="K742" s="12" t="str">
        <f>VLOOKUP($A742,Table1[],22,TRUE)</f>
        <v>TRUE</v>
      </c>
      <c r="L742" s="13">
        <f>VLOOKUP($A742,Table1[],25,TRUE)</f>
        <v>0.87</v>
      </c>
    </row>
    <row r="743" spans="1:12" x14ac:dyDescent="0.25">
      <c r="A743" t="s">
        <v>1561</v>
      </c>
      <c r="B743" s="18" t="str">
        <f>VLOOKUP(A743,Table1[],3,TRUE)</f>
        <v>Scott Alexander Md</v>
      </c>
      <c r="C743" s="18" t="str">
        <f>VLOOKUP($A743,Table1[],5,TRUE)</f>
        <v>Male</v>
      </c>
      <c r="D743" s="3" t="str">
        <f>VLOOKUP($A743,Table1[],7,TRUE)</f>
        <v>46</v>
      </c>
      <c r="E743" s="3" t="str">
        <f>VLOOKUP($A743,Table1[],8,TRUE)</f>
        <v>Canada</v>
      </c>
      <c r="F743" s="3" t="str">
        <f>VLOOKUP($A743,Table1[],9,TRUE)</f>
        <v>English</v>
      </c>
      <c r="G743" s="3" t="str">
        <f>VLOOKUP($A743,Table1[],10,TRUE)</f>
        <v>Web Development</v>
      </c>
      <c r="H743" s="13" t="str">
        <f>VLOOKUP($A743,Table1[],12,TRUE)</f>
        <v>5</v>
      </c>
      <c r="I743" s="20">
        <v>30</v>
      </c>
      <c r="J743" s="15">
        <f>VLOOKUP($A743,Table1[],18,TRUE)</f>
        <v>2.6</v>
      </c>
      <c r="K743" s="12" t="str">
        <f>VLOOKUP($A743,Table1[],22,TRUE)</f>
        <v>FALSE</v>
      </c>
      <c r="L743" s="13">
        <f>VLOOKUP($A743,Table1[],25,TRUE)</f>
        <v>0.76</v>
      </c>
    </row>
    <row r="744" spans="1:12" x14ac:dyDescent="0.25">
      <c r="A744" t="s">
        <v>1563</v>
      </c>
      <c r="B744" s="18" t="str">
        <f>VLOOKUP(A744,Table1[],3,TRUE)</f>
        <v>Eric Nguyen</v>
      </c>
      <c r="C744" s="18" t="str">
        <f>VLOOKUP($A744,Table1[],5,TRUE)</f>
        <v>Male</v>
      </c>
      <c r="D744" s="3" t="str">
        <f>VLOOKUP($A744,Table1[],7,TRUE)</f>
        <v>55</v>
      </c>
      <c r="E744" s="3" t="str">
        <f>VLOOKUP($A744,Table1[],8,TRUE)</f>
        <v>India</v>
      </c>
      <c r="F744" s="3" t="str">
        <f>VLOOKUP($A744,Table1[],9,TRUE)</f>
        <v>Hindi</v>
      </c>
      <c r="G744" s="3" t="str">
        <f>VLOOKUP($A744,Table1[],10,TRUE)</f>
        <v>AI</v>
      </c>
      <c r="H744" s="13" t="str">
        <f>VLOOKUP($A744,Table1[],12,TRUE)</f>
        <v>37</v>
      </c>
      <c r="I744" s="20">
        <v>75</v>
      </c>
      <c r="J744" s="15">
        <f>VLOOKUP($A744,Table1[],18,TRUE)</f>
        <v>4.0999999999999996</v>
      </c>
      <c r="K744" s="12" t="str">
        <f>VLOOKUP($A744,Table1[],22,TRUE)</f>
        <v>FALSE</v>
      </c>
      <c r="L744" s="13">
        <f>VLOOKUP($A744,Table1[],25,TRUE)</f>
        <v>0.75</v>
      </c>
    </row>
    <row r="745" spans="1:12" x14ac:dyDescent="0.25">
      <c r="A745" t="s">
        <v>1565</v>
      </c>
      <c r="B745" s="18" t="str">
        <f>VLOOKUP(A745,Table1[],3,TRUE)</f>
        <v>Wendy Boyer</v>
      </c>
      <c r="C745" s="18" t="str">
        <f>VLOOKUP($A745,Table1[],5,TRUE)</f>
        <v>Female</v>
      </c>
      <c r="D745" s="3" t="str">
        <f>VLOOKUP($A745,Table1[],7,TRUE)</f>
        <v>32</v>
      </c>
      <c r="E745" s="3" t="str">
        <f>VLOOKUP($A745,Table1[],8,TRUE)</f>
        <v>Australia</v>
      </c>
      <c r="F745" s="3" t="str">
        <f>VLOOKUP($A745,Table1[],9,TRUE)</f>
        <v>English</v>
      </c>
      <c r="G745" s="3" t="str">
        <f>VLOOKUP($A745,Table1[],10,TRUE)</f>
        <v>DevOps</v>
      </c>
      <c r="H745" s="13" t="str">
        <f>VLOOKUP($A745,Table1[],12,TRUE)</f>
        <v>10</v>
      </c>
      <c r="I745" s="20">
        <v>50</v>
      </c>
      <c r="J745" s="15">
        <f>VLOOKUP($A745,Table1[],18,TRUE)</f>
        <v>1.5</v>
      </c>
      <c r="K745" s="12" t="str">
        <f>VLOOKUP($A745,Table1[],22,TRUE)</f>
        <v>TRUE</v>
      </c>
      <c r="L745" s="13">
        <f>VLOOKUP($A745,Table1[],25,TRUE)</f>
        <v>0.65</v>
      </c>
    </row>
    <row r="746" spans="1:12" x14ac:dyDescent="0.25">
      <c r="A746" t="s">
        <v>1567</v>
      </c>
      <c r="B746" s="18" t="str">
        <f>VLOOKUP(A746,Table1[],3,TRUE)</f>
        <v>Mark Clark</v>
      </c>
      <c r="C746" s="18" t="str">
        <f>VLOOKUP($A746,Table1[],5,TRUE)</f>
        <v>Male</v>
      </c>
      <c r="D746" s="3" t="str">
        <f>VLOOKUP($A746,Table1[],7,TRUE)</f>
        <v>53</v>
      </c>
      <c r="E746" s="3" t="str">
        <f>VLOOKUP($A746,Table1[],8,TRUE)</f>
        <v>Indonesia</v>
      </c>
      <c r="F746" s="3" t="str">
        <f>VLOOKUP($A746,Table1[],9,TRUE)</f>
        <v>Indonesian</v>
      </c>
      <c r="G746" s="3" t="str">
        <f>VLOOKUP($A746,Table1[],10,TRUE)</f>
        <v>AI</v>
      </c>
      <c r="H746" s="13" t="str">
        <f>VLOOKUP($A746,Table1[],12,TRUE)</f>
        <v>28</v>
      </c>
      <c r="I746" s="20">
        <v>50</v>
      </c>
      <c r="J746" s="15">
        <f>VLOOKUP($A746,Table1[],18,TRUE)</f>
        <v>2.9</v>
      </c>
      <c r="K746" s="12" t="str">
        <f>VLOOKUP($A746,Table1[],22,TRUE)</f>
        <v>TRUE</v>
      </c>
      <c r="L746" s="13">
        <f>VLOOKUP($A746,Table1[],25,TRUE)</f>
        <v>0.82</v>
      </c>
    </row>
    <row r="747" spans="1:12" x14ac:dyDescent="0.25">
      <c r="A747" t="s">
        <v>1569</v>
      </c>
      <c r="B747" s="18" t="str">
        <f>VLOOKUP(A747,Table1[],3,TRUE)</f>
        <v>Carl Kline</v>
      </c>
      <c r="C747" s="18" t="str">
        <f>VLOOKUP($A747,Table1[],5,TRUE)</f>
        <v>Male</v>
      </c>
      <c r="D747" s="3" t="str">
        <f>VLOOKUP($A747,Table1[],7,TRUE)</f>
        <v>59</v>
      </c>
      <c r="E747" s="3" t="str">
        <f>VLOOKUP($A747,Table1[],8,TRUE)</f>
        <v>Mexico</v>
      </c>
      <c r="F747" s="3" t="str">
        <f>VLOOKUP($A747,Table1[],9,TRUE)</f>
        <v>Spanish</v>
      </c>
      <c r="G747" s="3" t="str">
        <f>VLOOKUP($A747,Table1[],10,TRUE)</f>
        <v>AI</v>
      </c>
      <c r="H747" s="13" t="str">
        <f>VLOOKUP($A747,Table1[],12,TRUE)</f>
        <v>0</v>
      </c>
      <c r="I747" s="20">
        <v>100</v>
      </c>
      <c r="J747" s="15">
        <f>VLOOKUP($A747,Table1[],18,TRUE)</f>
        <v>0</v>
      </c>
      <c r="K747" s="12" t="str">
        <f>VLOOKUP($A747,Table1[],22,TRUE)</f>
        <v>TRUE</v>
      </c>
      <c r="L747" s="13">
        <f>VLOOKUP($A747,Table1[],25,TRUE)</f>
        <v>0.87</v>
      </c>
    </row>
    <row r="748" spans="1:12" x14ac:dyDescent="0.25">
      <c r="A748" t="s">
        <v>1571</v>
      </c>
      <c r="B748" s="18" t="str">
        <f>VLOOKUP(A748,Table1[],3,TRUE)</f>
        <v>Linda Williams</v>
      </c>
      <c r="C748" s="18" t="str">
        <f>VLOOKUP($A748,Table1[],5,TRUE)</f>
        <v>Female</v>
      </c>
      <c r="D748" s="3" t="str">
        <f>VLOOKUP($A748,Table1[],7,TRUE)</f>
        <v>44</v>
      </c>
      <c r="E748" s="3" t="str">
        <f>VLOOKUP($A748,Table1[],8,TRUE)</f>
        <v>Netherlands</v>
      </c>
      <c r="F748" s="3" t="str">
        <f>VLOOKUP($A748,Table1[],9,TRUE)</f>
        <v>Dutch</v>
      </c>
      <c r="G748" s="3" t="str">
        <f>VLOOKUP($A748,Table1[],10,TRUE)</f>
        <v>Machine Learning</v>
      </c>
      <c r="H748" s="13" t="str">
        <f>VLOOKUP($A748,Table1[],12,TRUE)</f>
        <v>19</v>
      </c>
      <c r="I748" s="20">
        <v>40</v>
      </c>
      <c r="J748" s="15">
        <f>VLOOKUP($A748,Table1[],18,TRUE)</f>
        <v>4.9000000000000004</v>
      </c>
      <c r="K748" s="12" t="str">
        <f>VLOOKUP($A748,Table1[],22,TRUE)</f>
        <v>FALSE</v>
      </c>
      <c r="L748" s="13">
        <f>VLOOKUP($A748,Table1[],25,TRUE)</f>
        <v>1</v>
      </c>
    </row>
    <row r="749" spans="1:12" x14ac:dyDescent="0.25">
      <c r="A749" t="s">
        <v>1573</v>
      </c>
      <c r="B749" s="18" t="str">
        <f>VLOOKUP(A749,Table1[],3,TRUE)</f>
        <v>Jason Edwards</v>
      </c>
      <c r="C749" s="18" t="str">
        <f>VLOOKUP($A749,Table1[],5,TRUE)</f>
        <v>Male</v>
      </c>
      <c r="D749" s="3" t="str">
        <f>VLOOKUP($A749,Table1[],7,TRUE)</f>
        <v>35</v>
      </c>
      <c r="E749" s="3" t="str">
        <f>VLOOKUP($A749,Table1[],8,TRUE)</f>
        <v>Egypt</v>
      </c>
      <c r="F749" s="3" t="str">
        <f>VLOOKUP($A749,Table1[],9,TRUE)</f>
        <v>Arabic</v>
      </c>
      <c r="G749" s="3" t="str">
        <f>VLOOKUP($A749,Table1[],10,TRUE)</f>
        <v>Blockchain Development</v>
      </c>
      <c r="H749" s="13" t="str">
        <f>VLOOKUP($A749,Table1[],12,TRUE)</f>
        <v>9</v>
      </c>
      <c r="I749" s="20">
        <v>50</v>
      </c>
      <c r="J749" s="15">
        <f>VLOOKUP($A749,Table1[],18,TRUE)</f>
        <v>3</v>
      </c>
      <c r="K749" s="12" t="str">
        <f>VLOOKUP($A749,Table1[],22,TRUE)</f>
        <v>FALSE</v>
      </c>
      <c r="L749" s="13">
        <f>VLOOKUP($A749,Table1[],25,TRUE)</f>
        <v>0.71</v>
      </c>
    </row>
    <row r="750" spans="1:12" x14ac:dyDescent="0.25">
      <c r="A750" t="s">
        <v>1575</v>
      </c>
      <c r="B750" s="18" t="str">
        <f>VLOOKUP(A750,Table1[],3,TRUE)</f>
        <v>Madison Mcintosh</v>
      </c>
      <c r="C750" s="18" t="str">
        <f>VLOOKUP($A750,Table1[],5,TRUE)</f>
        <v>Female</v>
      </c>
      <c r="D750" s="3" t="str">
        <f>VLOOKUP($A750,Table1[],7,TRUE)</f>
        <v>42</v>
      </c>
      <c r="E750" s="3" t="str">
        <f>VLOOKUP($A750,Table1[],8,TRUE)</f>
        <v>China</v>
      </c>
      <c r="F750" s="3" t="str">
        <f>VLOOKUP($A750,Table1[],9,TRUE)</f>
        <v>Mandarin</v>
      </c>
      <c r="G750" s="3" t="str">
        <f>VLOOKUP($A750,Table1[],10,TRUE)</f>
        <v>Machine Learning</v>
      </c>
      <c r="H750" s="13" t="str">
        <f>VLOOKUP($A750,Table1[],12,TRUE)</f>
        <v>5</v>
      </c>
      <c r="I750" s="20">
        <v>30</v>
      </c>
      <c r="J750" s="15">
        <f>VLOOKUP($A750,Table1[],18,TRUE)</f>
        <v>4.9000000000000004</v>
      </c>
      <c r="K750" s="12" t="str">
        <f>VLOOKUP($A750,Table1[],22,TRUE)</f>
        <v>TRUE</v>
      </c>
      <c r="L750" s="13">
        <f>VLOOKUP($A750,Table1[],25,TRUE)</f>
        <v>0.87</v>
      </c>
    </row>
    <row r="751" spans="1:12" x14ac:dyDescent="0.25">
      <c r="A751" t="s">
        <v>1577</v>
      </c>
      <c r="B751" s="18" t="str">
        <f>VLOOKUP(A751,Table1[],3,TRUE)</f>
        <v>Desiree Winters</v>
      </c>
      <c r="C751" s="18" t="str">
        <f>VLOOKUP($A751,Table1[],5,TRUE)</f>
        <v>Female</v>
      </c>
      <c r="D751" s="3" t="str">
        <f>VLOOKUP($A751,Table1[],7,TRUE)</f>
        <v>58</v>
      </c>
      <c r="E751" s="3" t="str">
        <f>VLOOKUP($A751,Table1[],8,TRUE)</f>
        <v>South Korea</v>
      </c>
      <c r="F751" s="3" t="str">
        <f>VLOOKUP($A751,Table1[],9,TRUE)</f>
        <v>Korean</v>
      </c>
      <c r="G751" s="3" t="str">
        <f>VLOOKUP($A751,Table1[],10,TRUE)</f>
        <v>Blockchain Development</v>
      </c>
      <c r="H751" s="13" t="str">
        <f>VLOOKUP($A751,Table1[],12,TRUE)</f>
        <v>0</v>
      </c>
      <c r="I751" s="20">
        <v>30</v>
      </c>
      <c r="J751" s="15">
        <f>VLOOKUP($A751,Table1[],18,TRUE)</f>
        <v>4.5999999999999996</v>
      </c>
      <c r="K751" s="12" t="str">
        <f>VLOOKUP($A751,Table1[],22,TRUE)</f>
        <v>FALSE</v>
      </c>
      <c r="L751" s="13">
        <f>VLOOKUP($A751,Table1[],25,TRUE)</f>
        <v>0.7</v>
      </c>
    </row>
    <row r="752" spans="1:12" x14ac:dyDescent="0.25">
      <c r="A752" t="s">
        <v>1579</v>
      </c>
      <c r="B752" s="18" t="str">
        <f>VLOOKUP(A752,Table1[],3,TRUE)</f>
        <v>Ryan Taylor</v>
      </c>
      <c r="C752" s="18" t="str">
        <f>VLOOKUP($A752,Table1[],5,TRUE)</f>
        <v>Male</v>
      </c>
      <c r="D752" s="3" t="str">
        <f>VLOOKUP($A752,Table1[],7,TRUE)</f>
        <v>41</v>
      </c>
      <c r="E752" s="3" t="str">
        <f>VLOOKUP($A752,Table1[],8,TRUE)</f>
        <v>Netherlands</v>
      </c>
      <c r="F752" s="3" t="str">
        <f>VLOOKUP($A752,Table1[],9,TRUE)</f>
        <v>Dutch</v>
      </c>
      <c r="G752" s="3" t="str">
        <f>VLOOKUP($A752,Table1[],10,TRUE)</f>
        <v>AI</v>
      </c>
      <c r="H752" s="13" t="str">
        <f>VLOOKUP($A752,Table1[],12,TRUE)</f>
        <v>21</v>
      </c>
      <c r="I752" s="20">
        <v>100</v>
      </c>
      <c r="J752" s="15">
        <f>VLOOKUP($A752,Table1[],18,TRUE)</f>
        <v>2.2000000000000002</v>
      </c>
      <c r="K752" s="12" t="str">
        <f>VLOOKUP($A752,Table1[],22,TRUE)</f>
        <v>TRUE</v>
      </c>
      <c r="L752" s="13">
        <f>VLOOKUP($A752,Table1[],25,TRUE)</f>
        <v>0.83</v>
      </c>
    </row>
    <row r="753" spans="1:12" x14ac:dyDescent="0.25">
      <c r="A753" t="s">
        <v>1581</v>
      </c>
      <c r="B753" s="18" t="str">
        <f>VLOOKUP(A753,Table1[],3,TRUE)</f>
        <v>Patricia Scott</v>
      </c>
      <c r="C753" s="18" t="str">
        <f>VLOOKUP($A753,Table1[],5,TRUE)</f>
        <v>Female</v>
      </c>
      <c r="D753" s="3" t="str">
        <f>VLOOKUP($A753,Table1[],7,TRUE)</f>
        <v>Unknown</v>
      </c>
      <c r="E753" s="3" t="str">
        <f>VLOOKUP($A753,Table1[],8,TRUE)</f>
        <v>Argentina</v>
      </c>
      <c r="F753" s="3" t="str">
        <f>VLOOKUP($A753,Table1[],9,TRUE)</f>
        <v>Spanish</v>
      </c>
      <c r="G753" s="3" t="str">
        <f>VLOOKUP($A753,Table1[],10,TRUE)</f>
        <v>Web Development</v>
      </c>
      <c r="H753" s="13" t="str">
        <f>VLOOKUP($A753,Table1[],12,TRUE)</f>
        <v>0</v>
      </c>
      <c r="I753" s="20">
        <v>40</v>
      </c>
      <c r="J753" s="15">
        <f>VLOOKUP($A753,Table1[],18,TRUE)</f>
        <v>2.6</v>
      </c>
      <c r="K753" s="12" t="str">
        <f>VLOOKUP($A753,Table1[],22,TRUE)</f>
        <v>TRUE</v>
      </c>
      <c r="L753" s="13">
        <f>VLOOKUP($A753,Table1[],25,TRUE)</f>
        <v>0.74</v>
      </c>
    </row>
    <row r="754" spans="1:12" x14ac:dyDescent="0.25">
      <c r="A754" t="s">
        <v>1583</v>
      </c>
      <c r="B754" s="18" t="str">
        <f>VLOOKUP(A754,Table1[],3,TRUE)</f>
        <v>Erin Jimenez</v>
      </c>
      <c r="C754" s="18" t="str">
        <f>VLOOKUP($A754,Table1[],5,TRUE)</f>
        <v>Female</v>
      </c>
      <c r="D754" s="3" t="str">
        <f>VLOOKUP($A754,Table1[],7,TRUE)</f>
        <v>23</v>
      </c>
      <c r="E754" s="3" t="str">
        <f>VLOOKUP($A754,Table1[],8,TRUE)</f>
        <v>Canada</v>
      </c>
      <c r="F754" s="3" t="str">
        <f>VLOOKUP($A754,Table1[],9,TRUE)</f>
        <v>English</v>
      </c>
      <c r="G754" s="3" t="str">
        <f>VLOOKUP($A754,Table1[],10,TRUE)</f>
        <v>Blockchain Development</v>
      </c>
      <c r="H754" s="13" t="str">
        <f>VLOOKUP($A754,Table1[],12,TRUE)</f>
        <v>0</v>
      </c>
      <c r="I754" s="20">
        <v>30</v>
      </c>
      <c r="J754" s="15">
        <f>VLOOKUP($A754,Table1[],18,TRUE)</f>
        <v>1.1000000000000001</v>
      </c>
      <c r="K754" s="12" t="str">
        <f>VLOOKUP($A754,Table1[],22,TRUE)</f>
        <v>TRUE</v>
      </c>
      <c r="L754" s="13">
        <f>VLOOKUP($A754,Table1[],25,TRUE)</f>
        <v>0.86</v>
      </c>
    </row>
    <row r="755" spans="1:12" x14ac:dyDescent="0.25">
      <c r="A755" t="s">
        <v>1585</v>
      </c>
      <c r="B755" s="18" t="str">
        <f>VLOOKUP(A755,Table1[],3,TRUE)</f>
        <v>Anthony Krause</v>
      </c>
      <c r="C755" s="18" t="str">
        <f>VLOOKUP($A755,Table1[],5,TRUE)</f>
        <v>Male</v>
      </c>
      <c r="D755" s="3" t="str">
        <f>VLOOKUP($A755,Table1[],7,TRUE)</f>
        <v>51</v>
      </c>
      <c r="E755" s="3" t="str">
        <f>VLOOKUP($A755,Table1[],8,TRUE)</f>
        <v>China</v>
      </c>
      <c r="F755" s="3" t="str">
        <f>VLOOKUP($A755,Table1[],9,TRUE)</f>
        <v>Mandarin</v>
      </c>
      <c r="G755" s="3" t="str">
        <f>VLOOKUP($A755,Table1[],10,TRUE)</f>
        <v>Blockchain Development</v>
      </c>
      <c r="H755" s="13" t="str">
        <f>VLOOKUP($A755,Table1[],12,TRUE)</f>
        <v>17</v>
      </c>
      <c r="I755" s="20">
        <v>40</v>
      </c>
      <c r="J755" s="15">
        <f>VLOOKUP($A755,Table1[],18,TRUE)</f>
        <v>4.5</v>
      </c>
      <c r="K755" s="12" t="str">
        <f>VLOOKUP($A755,Table1[],22,TRUE)</f>
        <v>TRUE</v>
      </c>
      <c r="L755" s="13">
        <f>VLOOKUP($A755,Table1[],25,TRUE)</f>
        <v>0.72</v>
      </c>
    </row>
    <row r="756" spans="1:12" x14ac:dyDescent="0.25">
      <c r="A756" t="s">
        <v>1587</v>
      </c>
      <c r="B756" s="18" t="str">
        <f>VLOOKUP(A756,Table1[],3,TRUE)</f>
        <v>Diane Dean</v>
      </c>
      <c r="C756" s="18" t="str">
        <f>VLOOKUP($A756,Table1[],5,TRUE)</f>
        <v>Female</v>
      </c>
      <c r="D756" s="3" t="str">
        <f>VLOOKUP($A756,Table1[],7,TRUE)</f>
        <v>42</v>
      </c>
      <c r="E756" s="3" t="str">
        <f>VLOOKUP($A756,Table1[],8,TRUE)</f>
        <v>France</v>
      </c>
      <c r="F756" s="3" t="str">
        <f>VLOOKUP($A756,Table1[],9,TRUE)</f>
        <v>French</v>
      </c>
      <c r="G756" s="3" t="str">
        <f>VLOOKUP($A756,Table1[],10,TRUE)</f>
        <v>AI</v>
      </c>
      <c r="H756" s="13" t="str">
        <f>VLOOKUP($A756,Table1[],12,TRUE)</f>
        <v>21</v>
      </c>
      <c r="I756" s="20">
        <v>50</v>
      </c>
      <c r="J756" s="15">
        <f>VLOOKUP($A756,Table1[],18,TRUE)</f>
        <v>2.5</v>
      </c>
      <c r="K756" s="12" t="str">
        <f>VLOOKUP($A756,Table1[],22,TRUE)</f>
        <v>TRUE</v>
      </c>
      <c r="L756" s="13">
        <f>VLOOKUP($A756,Table1[],25,TRUE)</f>
        <v>0.73</v>
      </c>
    </row>
    <row r="757" spans="1:12" x14ac:dyDescent="0.25">
      <c r="A757" t="s">
        <v>1589</v>
      </c>
      <c r="B757" s="18" t="str">
        <f>VLOOKUP(A757,Table1[],3,TRUE)</f>
        <v>Stuart Mckinney</v>
      </c>
      <c r="C757" s="18" t="str">
        <f>VLOOKUP($A757,Table1[],5,TRUE)</f>
        <v>Male</v>
      </c>
      <c r="D757" s="3" t="str">
        <f>VLOOKUP($A757,Table1[],7,TRUE)</f>
        <v>26</v>
      </c>
      <c r="E757" s="3" t="str">
        <f>VLOOKUP($A757,Table1[],8,TRUE)</f>
        <v>Japan</v>
      </c>
      <c r="F757" s="3" t="str">
        <f>VLOOKUP($A757,Table1[],9,TRUE)</f>
        <v>Japanese</v>
      </c>
      <c r="G757" s="3" t="str">
        <f>VLOOKUP($A757,Table1[],10,TRUE)</f>
        <v>Data Analysis</v>
      </c>
      <c r="H757" s="13" t="str">
        <f>VLOOKUP($A757,Table1[],12,TRUE)</f>
        <v>7</v>
      </c>
      <c r="I757" s="20">
        <v>75</v>
      </c>
      <c r="J757" s="15">
        <f>VLOOKUP($A757,Table1[],18,TRUE)</f>
        <v>2.9</v>
      </c>
      <c r="K757" s="12" t="str">
        <f>VLOOKUP($A757,Table1[],22,TRUE)</f>
        <v>FALSE</v>
      </c>
      <c r="L757" s="13">
        <f>VLOOKUP($A757,Table1[],25,TRUE)</f>
        <v>0.78</v>
      </c>
    </row>
    <row r="758" spans="1:12" x14ac:dyDescent="0.25">
      <c r="A758" t="s">
        <v>1591</v>
      </c>
      <c r="B758" s="18" t="str">
        <f>VLOOKUP(A758,Table1[],3,TRUE)</f>
        <v>Kellie Le</v>
      </c>
      <c r="C758" s="18" t="str">
        <f>VLOOKUP($A758,Table1[],5,TRUE)</f>
        <v>Female</v>
      </c>
      <c r="D758" s="3" t="str">
        <f>VLOOKUP($A758,Table1[],7,TRUE)</f>
        <v>49</v>
      </c>
      <c r="E758" s="3" t="str">
        <f>VLOOKUP($A758,Table1[],8,TRUE)</f>
        <v>Indonesia</v>
      </c>
      <c r="F758" s="3" t="str">
        <f>VLOOKUP($A758,Table1[],9,TRUE)</f>
        <v>Indonesian</v>
      </c>
      <c r="G758" s="3" t="str">
        <f>VLOOKUP($A758,Table1[],10,TRUE)</f>
        <v>AI</v>
      </c>
      <c r="H758" s="13" t="str">
        <f>VLOOKUP($A758,Table1[],12,TRUE)</f>
        <v>22</v>
      </c>
      <c r="I758" s="20">
        <v>75</v>
      </c>
      <c r="J758" s="15">
        <f>VLOOKUP($A758,Table1[],18,TRUE)</f>
        <v>0</v>
      </c>
      <c r="K758" s="12" t="str">
        <f>VLOOKUP($A758,Table1[],22,TRUE)</f>
        <v>TRUE</v>
      </c>
      <c r="L758" s="13">
        <f>VLOOKUP($A758,Table1[],25,TRUE)</f>
        <v>0.75</v>
      </c>
    </row>
    <row r="759" spans="1:12" x14ac:dyDescent="0.25">
      <c r="A759" t="s">
        <v>1593</v>
      </c>
      <c r="B759" s="18" t="str">
        <f>VLOOKUP(A759,Table1[],3,TRUE)</f>
        <v>Lauren Henry</v>
      </c>
      <c r="C759" s="18" t="str">
        <f>VLOOKUP($A759,Table1[],5,TRUE)</f>
        <v>Female</v>
      </c>
      <c r="D759" s="3" t="str">
        <f>VLOOKUP($A759,Table1[],7,TRUE)</f>
        <v>37</v>
      </c>
      <c r="E759" s="3" t="str">
        <f>VLOOKUP($A759,Table1[],8,TRUE)</f>
        <v>Italy</v>
      </c>
      <c r="F759" s="3" t="str">
        <f>VLOOKUP($A759,Table1[],9,TRUE)</f>
        <v>Italian</v>
      </c>
      <c r="G759" s="3" t="str">
        <f>VLOOKUP($A759,Table1[],10,TRUE)</f>
        <v>DevOps</v>
      </c>
      <c r="H759" s="13" t="str">
        <f>VLOOKUP($A759,Table1[],12,TRUE)</f>
        <v>Unknown</v>
      </c>
      <c r="I759" s="20">
        <v>75</v>
      </c>
      <c r="J759" s="15">
        <f>VLOOKUP($A759,Table1[],18,TRUE)</f>
        <v>3.5</v>
      </c>
      <c r="K759" s="12" t="str">
        <f>VLOOKUP($A759,Table1[],22,TRUE)</f>
        <v>FALSE</v>
      </c>
      <c r="L759" s="13">
        <f>VLOOKUP($A759,Table1[],25,TRUE)</f>
        <v>0.75</v>
      </c>
    </row>
    <row r="760" spans="1:12" x14ac:dyDescent="0.25">
      <c r="A760" t="s">
        <v>1595</v>
      </c>
      <c r="B760" s="18" t="str">
        <f>VLOOKUP(A760,Table1[],3,TRUE)</f>
        <v>Brandon Fox</v>
      </c>
      <c r="C760" s="18" t="str">
        <f>VLOOKUP($A760,Table1[],5,TRUE)</f>
        <v>Male</v>
      </c>
      <c r="D760" s="3" t="str">
        <f>VLOOKUP($A760,Table1[],7,TRUE)</f>
        <v>31</v>
      </c>
      <c r="E760" s="3" t="str">
        <f>VLOOKUP($A760,Table1[],8,TRUE)</f>
        <v>Australia</v>
      </c>
      <c r="F760" s="3" t="str">
        <f>VLOOKUP($A760,Table1[],9,TRUE)</f>
        <v>English</v>
      </c>
      <c r="G760" s="3" t="str">
        <f>VLOOKUP($A760,Table1[],10,TRUE)</f>
        <v>AI</v>
      </c>
      <c r="H760" s="13" t="str">
        <f>VLOOKUP($A760,Table1[],12,TRUE)</f>
        <v>1</v>
      </c>
      <c r="I760" s="20">
        <v>40</v>
      </c>
      <c r="J760" s="15">
        <f>VLOOKUP($A760,Table1[],18,TRUE)</f>
        <v>4.5</v>
      </c>
      <c r="K760" s="12" t="str">
        <f>VLOOKUP($A760,Table1[],22,TRUE)</f>
        <v>FALSE</v>
      </c>
      <c r="L760" s="13">
        <f>VLOOKUP($A760,Table1[],25,TRUE)</f>
        <v>0.96</v>
      </c>
    </row>
    <row r="761" spans="1:12" x14ac:dyDescent="0.25">
      <c r="A761" t="s">
        <v>1597</v>
      </c>
      <c r="B761" s="18" t="str">
        <f>VLOOKUP(A761,Table1[],3,TRUE)</f>
        <v>Richard Smith</v>
      </c>
      <c r="C761" s="18" t="str">
        <f>VLOOKUP($A761,Table1[],5,TRUE)</f>
        <v>Male</v>
      </c>
      <c r="D761" s="3" t="str">
        <f>VLOOKUP($A761,Table1[],7,TRUE)</f>
        <v>51</v>
      </c>
      <c r="E761" s="3" t="str">
        <f>VLOOKUP($A761,Table1[],8,TRUE)</f>
        <v>South Korea</v>
      </c>
      <c r="F761" s="3" t="str">
        <f>VLOOKUP($A761,Table1[],9,TRUE)</f>
        <v>Korean</v>
      </c>
      <c r="G761" s="3" t="str">
        <f>VLOOKUP($A761,Table1[],10,TRUE)</f>
        <v>Mobile Apps</v>
      </c>
      <c r="H761" s="13" t="str">
        <f>VLOOKUP($A761,Table1[],12,TRUE)</f>
        <v>5</v>
      </c>
      <c r="I761" s="20">
        <v>40</v>
      </c>
      <c r="J761" s="15">
        <f>VLOOKUP($A761,Table1[],18,TRUE)</f>
        <v>1.7</v>
      </c>
      <c r="K761" s="12" t="str">
        <f>VLOOKUP($A761,Table1[],22,TRUE)</f>
        <v>TRUE</v>
      </c>
      <c r="L761" s="13">
        <f>VLOOKUP($A761,Table1[],25,TRUE)</f>
        <v>0.61</v>
      </c>
    </row>
    <row r="762" spans="1:12" x14ac:dyDescent="0.25">
      <c r="A762" t="s">
        <v>1599</v>
      </c>
      <c r="B762" s="18" t="str">
        <f>VLOOKUP(A762,Table1[],3,TRUE)</f>
        <v>John White</v>
      </c>
      <c r="C762" s="18" t="str">
        <f>VLOOKUP($A762,Table1[],5,TRUE)</f>
        <v>Male</v>
      </c>
      <c r="D762" s="3" t="str">
        <f>VLOOKUP($A762,Table1[],7,TRUE)</f>
        <v>60</v>
      </c>
      <c r="E762" s="3" t="str">
        <f>VLOOKUP($A762,Table1[],8,TRUE)</f>
        <v>China</v>
      </c>
      <c r="F762" s="3" t="str">
        <f>VLOOKUP($A762,Table1[],9,TRUE)</f>
        <v>Mandarin</v>
      </c>
      <c r="G762" s="3" t="str">
        <f>VLOOKUP($A762,Table1[],10,TRUE)</f>
        <v>DevOps</v>
      </c>
      <c r="H762" s="13" t="str">
        <f>VLOOKUP($A762,Table1[],12,TRUE)</f>
        <v>40</v>
      </c>
      <c r="I762" s="20">
        <v>50</v>
      </c>
      <c r="J762" s="15">
        <f>VLOOKUP($A762,Table1[],18,TRUE)</f>
        <v>4.5999999999999996</v>
      </c>
      <c r="K762" s="12" t="str">
        <f>VLOOKUP($A762,Table1[],22,TRUE)</f>
        <v>TRUE</v>
      </c>
      <c r="L762" s="13">
        <f>VLOOKUP($A762,Table1[],25,TRUE)</f>
        <v>1</v>
      </c>
    </row>
    <row r="763" spans="1:12" x14ac:dyDescent="0.25">
      <c r="A763" t="s">
        <v>1601</v>
      </c>
      <c r="B763" s="18" t="str">
        <f>VLOOKUP(A763,Table1[],3,TRUE)</f>
        <v>Gilbert Mcintyre</v>
      </c>
      <c r="C763" s="18" t="str">
        <f>VLOOKUP($A763,Table1[],5,TRUE)</f>
        <v>Male</v>
      </c>
      <c r="D763" s="3" t="str">
        <f>VLOOKUP($A763,Table1[],7,TRUE)</f>
        <v>51</v>
      </c>
      <c r="E763" s="3" t="str">
        <f>VLOOKUP($A763,Table1[],8,TRUE)</f>
        <v>Canada</v>
      </c>
      <c r="F763" s="3" t="str">
        <f>VLOOKUP($A763,Table1[],9,TRUE)</f>
        <v>English</v>
      </c>
      <c r="G763" s="3" t="str">
        <f>VLOOKUP($A763,Table1[],10,TRUE)</f>
        <v>Blockchain Development</v>
      </c>
      <c r="H763" s="13" t="str">
        <f>VLOOKUP($A763,Table1[],12,TRUE)</f>
        <v>19</v>
      </c>
      <c r="I763" s="20">
        <v>50</v>
      </c>
      <c r="J763" s="15">
        <f>VLOOKUP($A763,Table1[],18,TRUE)</f>
        <v>2.6</v>
      </c>
      <c r="K763" s="12" t="str">
        <f>VLOOKUP($A763,Table1[],22,TRUE)</f>
        <v>TRUE</v>
      </c>
      <c r="L763" s="13">
        <f>VLOOKUP($A763,Table1[],25,TRUE)</f>
        <v>0.82</v>
      </c>
    </row>
    <row r="764" spans="1:12" x14ac:dyDescent="0.25">
      <c r="A764" t="s">
        <v>1603</v>
      </c>
      <c r="B764" s="18" t="str">
        <f>VLOOKUP(A764,Table1[],3,TRUE)</f>
        <v>Christopher Sparks</v>
      </c>
      <c r="C764" s="18" t="str">
        <f>VLOOKUP($A764,Table1[],5,TRUE)</f>
        <v>Male</v>
      </c>
      <c r="D764" s="3" t="str">
        <f>VLOOKUP($A764,Table1[],7,TRUE)</f>
        <v>37</v>
      </c>
      <c r="E764" s="3" t="str">
        <f>VLOOKUP($A764,Table1[],8,TRUE)</f>
        <v>Germany</v>
      </c>
      <c r="F764" s="3" t="str">
        <f>VLOOKUP($A764,Table1[],9,TRUE)</f>
        <v>German</v>
      </c>
      <c r="G764" s="3" t="str">
        <f>VLOOKUP($A764,Table1[],10,TRUE)</f>
        <v>Graphic Design</v>
      </c>
      <c r="H764" s="13" t="str">
        <f>VLOOKUP($A764,Table1[],12,TRUE)</f>
        <v>12</v>
      </c>
      <c r="I764" s="20">
        <v>50</v>
      </c>
      <c r="J764" s="15">
        <f>VLOOKUP($A764,Table1[],18,TRUE)</f>
        <v>4.9000000000000004</v>
      </c>
      <c r="K764" s="12" t="str">
        <f>VLOOKUP($A764,Table1[],22,TRUE)</f>
        <v>TRUE</v>
      </c>
      <c r="L764" s="13">
        <f>VLOOKUP($A764,Table1[],25,TRUE)</f>
        <v>0.8</v>
      </c>
    </row>
    <row r="765" spans="1:12" x14ac:dyDescent="0.25">
      <c r="A765" t="s">
        <v>1605</v>
      </c>
      <c r="B765" s="18" t="str">
        <f>VLOOKUP(A765,Table1[],3,TRUE)</f>
        <v>Aaron Hicks</v>
      </c>
      <c r="C765" s="18" t="str">
        <f>VLOOKUP($A765,Table1[],5,TRUE)</f>
        <v>Male</v>
      </c>
      <c r="D765" s="3" t="str">
        <f>VLOOKUP($A765,Table1[],7,TRUE)</f>
        <v>52</v>
      </c>
      <c r="E765" s="3" t="str">
        <f>VLOOKUP($A765,Table1[],8,TRUE)</f>
        <v>India</v>
      </c>
      <c r="F765" s="3" t="str">
        <f>VLOOKUP($A765,Table1[],9,TRUE)</f>
        <v>Hindi</v>
      </c>
      <c r="G765" s="3" t="str">
        <f>VLOOKUP($A765,Table1[],10,TRUE)</f>
        <v>Blockchain Development</v>
      </c>
      <c r="H765" s="13" t="str">
        <f>VLOOKUP($A765,Table1[],12,TRUE)</f>
        <v>7</v>
      </c>
      <c r="I765" s="20">
        <v>40</v>
      </c>
      <c r="J765" s="15">
        <f>VLOOKUP($A765,Table1[],18,TRUE)</f>
        <v>2.2000000000000002</v>
      </c>
      <c r="K765" s="12" t="str">
        <f>VLOOKUP($A765,Table1[],22,TRUE)</f>
        <v>TRUE</v>
      </c>
      <c r="L765" s="13">
        <f>VLOOKUP($A765,Table1[],25,TRUE)</f>
        <v>0.96</v>
      </c>
    </row>
    <row r="766" spans="1:12" x14ac:dyDescent="0.25">
      <c r="A766" t="s">
        <v>1607</v>
      </c>
      <c r="B766" s="18" t="str">
        <f>VLOOKUP(A766,Table1[],3,TRUE)</f>
        <v>Jose Patterson</v>
      </c>
      <c r="C766" s="18" t="str">
        <f>VLOOKUP($A766,Table1[],5,TRUE)</f>
        <v>Male</v>
      </c>
      <c r="D766" s="3" t="str">
        <f>VLOOKUP($A766,Table1[],7,TRUE)</f>
        <v>27</v>
      </c>
      <c r="E766" s="3" t="str">
        <f>VLOOKUP($A766,Table1[],8,TRUE)</f>
        <v>Indonesia</v>
      </c>
      <c r="F766" s="3" t="str">
        <f>VLOOKUP($A766,Table1[],9,TRUE)</f>
        <v>Indonesian</v>
      </c>
      <c r="G766" s="3" t="str">
        <f>VLOOKUP($A766,Table1[],10,TRUE)</f>
        <v>Blockchain Development</v>
      </c>
      <c r="H766" s="13" t="str">
        <f>VLOOKUP($A766,Table1[],12,TRUE)</f>
        <v>4</v>
      </c>
      <c r="I766" s="20">
        <v>20</v>
      </c>
      <c r="J766" s="15">
        <f>VLOOKUP($A766,Table1[],18,TRUE)</f>
        <v>2.6</v>
      </c>
      <c r="K766" s="12" t="str">
        <f>VLOOKUP($A766,Table1[],22,TRUE)</f>
        <v>FALSE</v>
      </c>
      <c r="L766" s="13">
        <f>VLOOKUP($A766,Table1[],25,TRUE)</f>
        <v>0.63</v>
      </c>
    </row>
    <row r="767" spans="1:12" x14ac:dyDescent="0.25">
      <c r="A767" t="s">
        <v>1609</v>
      </c>
      <c r="B767" s="18" t="str">
        <f>VLOOKUP(A767,Table1[],3,TRUE)</f>
        <v>Bryan Long</v>
      </c>
      <c r="C767" s="18" t="str">
        <f>VLOOKUP($A767,Table1[],5,TRUE)</f>
        <v>Male</v>
      </c>
      <c r="D767" s="3" t="str">
        <f>VLOOKUP($A767,Table1[],7,TRUE)</f>
        <v>48</v>
      </c>
      <c r="E767" s="3" t="str">
        <f>VLOOKUP($A767,Table1[],8,TRUE)</f>
        <v>Australia</v>
      </c>
      <c r="F767" s="3" t="str">
        <f>VLOOKUP($A767,Table1[],9,TRUE)</f>
        <v>English</v>
      </c>
      <c r="G767" s="3" t="str">
        <f>VLOOKUP($A767,Table1[],10,TRUE)</f>
        <v>Graphic Design</v>
      </c>
      <c r="H767" s="13" t="str">
        <f>VLOOKUP($A767,Table1[],12,TRUE)</f>
        <v>24</v>
      </c>
      <c r="I767" s="20">
        <v>40</v>
      </c>
      <c r="J767" s="15">
        <f>VLOOKUP($A767,Table1[],18,TRUE)</f>
        <v>2.2000000000000002</v>
      </c>
      <c r="K767" s="12" t="str">
        <f>VLOOKUP($A767,Table1[],22,TRUE)</f>
        <v>FALSE</v>
      </c>
      <c r="L767" s="13">
        <f>VLOOKUP($A767,Table1[],25,TRUE)</f>
        <v>0.67</v>
      </c>
    </row>
    <row r="768" spans="1:12" x14ac:dyDescent="0.25">
      <c r="A768" t="s">
        <v>1611</v>
      </c>
      <c r="B768" s="18" t="str">
        <f>VLOOKUP(A768,Table1[],3,TRUE)</f>
        <v>Tammy Gomez</v>
      </c>
      <c r="C768" s="18" t="str">
        <f>VLOOKUP($A768,Table1[],5,TRUE)</f>
        <v>Female</v>
      </c>
      <c r="D768" s="3" t="str">
        <f>VLOOKUP($A768,Table1[],7,TRUE)</f>
        <v>22</v>
      </c>
      <c r="E768" s="3" t="str">
        <f>VLOOKUP($A768,Table1[],8,TRUE)</f>
        <v>Japan</v>
      </c>
      <c r="F768" s="3" t="str">
        <f>VLOOKUP($A768,Table1[],9,TRUE)</f>
        <v>Japanese</v>
      </c>
      <c r="G768" s="3" t="str">
        <f>VLOOKUP($A768,Table1[],10,TRUE)</f>
        <v>Data Analysis</v>
      </c>
      <c r="H768" s="13" t="str">
        <f>VLOOKUP($A768,Table1[],12,TRUE)</f>
        <v>1</v>
      </c>
      <c r="I768" s="20">
        <v>30</v>
      </c>
      <c r="J768" s="15">
        <f>VLOOKUP($A768,Table1[],18,TRUE)</f>
        <v>3.3</v>
      </c>
      <c r="K768" s="12" t="str">
        <f>VLOOKUP($A768,Table1[],22,TRUE)</f>
        <v>TRUE</v>
      </c>
      <c r="L768" s="13">
        <f>VLOOKUP($A768,Table1[],25,TRUE)</f>
        <v>0.61</v>
      </c>
    </row>
    <row r="769" spans="1:12" x14ac:dyDescent="0.25">
      <c r="A769" t="s">
        <v>1613</v>
      </c>
      <c r="B769" s="18" t="str">
        <f>VLOOKUP(A769,Table1[],3,TRUE)</f>
        <v>Diana Raymond</v>
      </c>
      <c r="C769" s="18" t="str">
        <f>VLOOKUP($A769,Table1[],5,TRUE)</f>
        <v>Female</v>
      </c>
      <c r="D769" s="3" t="str">
        <f>VLOOKUP($A769,Table1[],7,TRUE)</f>
        <v>48</v>
      </c>
      <c r="E769" s="3" t="str">
        <f>VLOOKUP($A769,Table1[],8,TRUE)</f>
        <v>Germany</v>
      </c>
      <c r="F769" s="3" t="str">
        <f>VLOOKUP($A769,Table1[],9,TRUE)</f>
        <v>German</v>
      </c>
      <c r="G769" s="3" t="str">
        <f>VLOOKUP($A769,Table1[],10,TRUE)</f>
        <v>Mobile Apps</v>
      </c>
      <c r="H769" s="13" t="str">
        <f>VLOOKUP($A769,Table1[],12,TRUE)</f>
        <v>28</v>
      </c>
      <c r="I769" s="20">
        <v>30</v>
      </c>
      <c r="J769" s="15">
        <f>VLOOKUP($A769,Table1[],18,TRUE)</f>
        <v>4.9000000000000004</v>
      </c>
      <c r="K769" s="12" t="str">
        <f>VLOOKUP($A769,Table1[],22,TRUE)</f>
        <v>FALSE</v>
      </c>
      <c r="L769" s="13">
        <f>VLOOKUP($A769,Table1[],25,TRUE)</f>
        <v>0.77</v>
      </c>
    </row>
    <row r="770" spans="1:12" x14ac:dyDescent="0.25">
      <c r="A770" t="s">
        <v>1615</v>
      </c>
      <c r="B770" s="18" t="str">
        <f>VLOOKUP(A770,Table1[],3,TRUE)</f>
        <v>Jessica Armstrong</v>
      </c>
      <c r="C770" s="18" t="str">
        <f>VLOOKUP($A770,Table1[],5,TRUE)</f>
        <v>Female</v>
      </c>
      <c r="D770" s="3" t="str">
        <f>VLOOKUP($A770,Table1[],7,TRUE)</f>
        <v>54</v>
      </c>
      <c r="E770" s="3" t="str">
        <f>VLOOKUP($A770,Table1[],8,TRUE)</f>
        <v>United States</v>
      </c>
      <c r="F770" s="3" t="str">
        <f>VLOOKUP($A770,Table1[],9,TRUE)</f>
        <v>English</v>
      </c>
      <c r="G770" s="3" t="str">
        <f>VLOOKUP($A770,Table1[],10,TRUE)</f>
        <v>Mobile Apps</v>
      </c>
      <c r="H770" s="13" t="str">
        <f>VLOOKUP($A770,Table1[],12,TRUE)</f>
        <v>19</v>
      </c>
      <c r="I770" s="20">
        <v>75</v>
      </c>
      <c r="J770" s="15">
        <f>VLOOKUP($A770,Table1[],18,TRUE)</f>
        <v>0</v>
      </c>
      <c r="K770" s="12" t="str">
        <f>VLOOKUP($A770,Table1[],22,TRUE)</f>
        <v>TRUE</v>
      </c>
      <c r="L770" s="13">
        <f>VLOOKUP($A770,Table1[],25,TRUE)</f>
        <v>0.75</v>
      </c>
    </row>
    <row r="771" spans="1:12" x14ac:dyDescent="0.25">
      <c r="A771" t="s">
        <v>1617</v>
      </c>
      <c r="B771" s="18" t="str">
        <f>VLOOKUP(A771,Table1[],3,TRUE)</f>
        <v>Amanda Martin</v>
      </c>
      <c r="C771" s="18" t="str">
        <f>VLOOKUP($A771,Table1[],5,TRUE)</f>
        <v>Female</v>
      </c>
      <c r="D771" s="3" t="str">
        <f>VLOOKUP($A771,Table1[],7,TRUE)</f>
        <v>52</v>
      </c>
      <c r="E771" s="3" t="str">
        <f>VLOOKUP($A771,Table1[],8,TRUE)</f>
        <v>South Korea</v>
      </c>
      <c r="F771" s="3" t="str">
        <f>VLOOKUP($A771,Table1[],9,TRUE)</f>
        <v>Korean</v>
      </c>
      <c r="G771" s="3" t="str">
        <f>VLOOKUP($A771,Table1[],10,TRUE)</f>
        <v>Data Analysis</v>
      </c>
      <c r="H771" s="13" t="str">
        <f>VLOOKUP($A771,Table1[],12,TRUE)</f>
        <v>4</v>
      </c>
      <c r="I771" s="20">
        <v>50</v>
      </c>
      <c r="J771" s="15">
        <f>VLOOKUP($A771,Table1[],18,TRUE)</f>
        <v>2.6</v>
      </c>
      <c r="K771" s="12" t="str">
        <f>VLOOKUP($A771,Table1[],22,TRUE)</f>
        <v>FALSE</v>
      </c>
      <c r="L771" s="13">
        <f>VLOOKUP($A771,Table1[],25,TRUE)</f>
        <v>0.84</v>
      </c>
    </row>
    <row r="772" spans="1:12" x14ac:dyDescent="0.25">
      <c r="A772" t="s">
        <v>1619</v>
      </c>
      <c r="B772" s="18" t="str">
        <f>VLOOKUP(A772,Table1[],3,TRUE)</f>
        <v>Anne Hamilton</v>
      </c>
      <c r="C772" s="18" t="str">
        <f>VLOOKUP($A772,Table1[],5,TRUE)</f>
        <v>Female</v>
      </c>
      <c r="D772" s="3" t="str">
        <f>VLOOKUP($A772,Table1[],7,TRUE)</f>
        <v>39</v>
      </c>
      <c r="E772" s="3" t="str">
        <f>VLOOKUP($A772,Table1[],8,TRUE)</f>
        <v>Turkey</v>
      </c>
      <c r="F772" s="3" t="str">
        <f>VLOOKUP($A772,Table1[],9,TRUE)</f>
        <v>Turkish</v>
      </c>
      <c r="G772" s="3" t="str">
        <f>VLOOKUP($A772,Table1[],10,TRUE)</f>
        <v>Web Development</v>
      </c>
      <c r="H772" s="13" t="str">
        <f>VLOOKUP($A772,Table1[],12,TRUE)</f>
        <v>20</v>
      </c>
      <c r="I772" s="20">
        <v>100</v>
      </c>
      <c r="J772" s="15">
        <f>VLOOKUP($A772,Table1[],18,TRUE)</f>
        <v>2.6</v>
      </c>
      <c r="K772" s="12" t="str">
        <f>VLOOKUP($A772,Table1[],22,TRUE)</f>
        <v>TRUE</v>
      </c>
      <c r="L772" s="13">
        <f>VLOOKUP($A772,Table1[],25,TRUE)</f>
        <v>0.89</v>
      </c>
    </row>
    <row r="773" spans="1:12" x14ac:dyDescent="0.25">
      <c r="A773" t="s">
        <v>1621</v>
      </c>
      <c r="B773" s="18" t="str">
        <f>VLOOKUP(A773,Table1[],3,TRUE)</f>
        <v>Heather Curtis</v>
      </c>
      <c r="C773" s="18" t="str">
        <f>VLOOKUP($A773,Table1[],5,TRUE)</f>
        <v>Female</v>
      </c>
      <c r="D773" s="3" t="str">
        <f>VLOOKUP($A773,Table1[],7,TRUE)</f>
        <v>54</v>
      </c>
      <c r="E773" s="3" t="str">
        <f>VLOOKUP($A773,Table1[],8,TRUE)</f>
        <v>Russia</v>
      </c>
      <c r="F773" s="3" t="str">
        <f>VLOOKUP($A773,Table1[],9,TRUE)</f>
        <v>Russian</v>
      </c>
      <c r="G773" s="3" t="str">
        <f>VLOOKUP($A773,Table1[],10,TRUE)</f>
        <v>Mobile Apps</v>
      </c>
      <c r="H773" s="13" t="str">
        <f>VLOOKUP($A773,Table1[],12,TRUE)</f>
        <v>19</v>
      </c>
      <c r="I773" s="20">
        <v>30</v>
      </c>
      <c r="J773" s="15">
        <f>VLOOKUP($A773,Table1[],18,TRUE)</f>
        <v>4</v>
      </c>
      <c r="K773" s="12" t="str">
        <f>VLOOKUP($A773,Table1[],22,TRUE)</f>
        <v>TRUE</v>
      </c>
      <c r="L773" s="13">
        <f>VLOOKUP($A773,Table1[],25,TRUE)</f>
        <v>0.9</v>
      </c>
    </row>
    <row r="774" spans="1:12" x14ac:dyDescent="0.25">
      <c r="A774" t="s">
        <v>1623</v>
      </c>
      <c r="B774" s="18" t="str">
        <f>VLOOKUP(A774,Table1[],3,TRUE)</f>
        <v>Tiffany Moses</v>
      </c>
      <c r="C774" s="18" t="str">
        <f>VLOOKUP($A774,Table1[],5,TRUE)</f>
        <v>Female</v>
      </c>
      <c r="D774" s="3" t="str">
        <f>VLOOKUP($A774,Table1[],7,TRUE)</f>
        <v>22</v>
      </c>
      <c r="E774" s="3" t="str">
        <f>VLOOKUP($A774,Table1[],8,TRUE)</f>
        <v>United States</v>
      </c>
      <c r="F774" s="3" t="str">
        <f>VLOOKUP($A774,Table1[],9,TRUE)</f>
        <v>English</v>
      </c>
      <c r="G774" s="3" t="str">
        <f>VLOOKUP($A774,Table1[],10,TRUE)</f>
        <v>Cybersecurity</v>
      </c>
      <c r="H774" s="13" t="str">
        <f>VLOOKUP($A774,Table1[],12,TRUE)</f>
        <v>1</v>
      </c>
      <c r="I774" s="20">
        <v>20</v>
      </c>
      <c r="J774" s="15">
        <f>VLOOKUP($A774,Table1[],18,TRUE)</f>
        <v>4.8</v>
      </c>
      <c r="K774" s="12" t="str">
        <f>VLOOKUP($A774,Table1[],22,TRUE)</f>
        <v>TRUE</v>
      </c>
      <c r="L774" s="13">
        <f>VLOOKUP($A774,Table1[],25,TRUE)</f>
        <v>0.87</v>
      </c>
    </row>
    <row r="775" spans="1:12" x14ac:dyDescent="0.25">
      <c r="A775" t="s">
        <v>1625</v>
      </c>
      <c r="B775" s="18" t="str">
        <f>VLOOKUP(A775,Table1[],3,TRUE)</f>
        <v>Jacqueline Moon</v>
      </c>
      <c r="C775" s="18" t="str">
        <f>VLOOKUP($A775,Table1[],5,TRUE)</f>
        <v>Female</v>
      </c>
      <c r="D775" s="3" t="str">
        <f>VLOOKUP($A775,Table1[],7,TRUE)</f>
        <v>29</v>
      </c>
      <c r="E775" s="3" t="str">
        <f>VLOOKUP($A775,Table1[],8,TRUE)</f>
        <v>South Africa</v>
      </c>
      <c r="F775" s="3" t="str">
        <f>VLOOKUP($A775,Table1[],9,TRUE)</f>
        <v>Afrikaans</v>
      </c>
      <c r="G775" s="3" t="str">
        <f>VLOOKUP($A775,Table1[],10,TRUE)</f>
        <v>Mobile Apps</v>
      </c>
      <c r="H775" s="13" t="str">
        <f>VLOOKUP($A775,Table1[],12,TRUE)</f>
        <v>8</v>
      </c>
      <c r="I775" s="20">
        <v>50</v>
      </c>
      <c r="J775" s="15">
        <f>VLOOKUP($A775,Table1[],18,TRUE)</f>
        <v>0</v>
      </c>
      <c r="K775" s="12" t="str">
        <f>VLOOKUP($A775,Table1[],22,TRUE)</f>
        <v>FALSE</v>
      </c>
      <c r="L775" s="13">
        <f>VLOOKUP($A775,Table1[],25,TRUE)</f>
        <v>0.77</v>
      </c>
    </row>
    <row r="776" spans="1:12" x14ac:dyDescent="0.25">
      <c r="A776" t="s">
        <v>1627</v>
      </c>
      <c r="B776" s="18" t="str">
        <f>VLOOKUP(A776,Table1[],3,TRUE)</f>
        <v>James Campbell</v>
      </c>
      <c r="C776" s="18" t="str">
        <f>VLOOKUP($A776,Table1[],5,TRUE)</f>
        <v>Male</v>
      </c>
      <c r="D776" s="3" t="str">
        <f>VLOOKUP($A776,Table1[],7,TRUE)</f>
        <v>23</v>
      </c>
      <c r="E776" s="3" t="str">
        <f>VLOOKUP($A776,Table1[],8,TRUE)</f>
        <v>Spain</v>
      </c>
      <c r="F776" s="3" t="str">
        <f>VLOOKUP($A776,Table1[],9,TRUE)</f>
        <v>Spanish</v>
      </c>
      <c r="G776" s="3" t="str">
        <f>VLOOKUP($A776,Table1[],10,TRUE)</f>
        <v>DevOps</v>
      </c>
      <c r="H776" s="13" t="str">
        <f>VLOOKUP($A776,Table1[],12,TRUE)</f>
        <v>3</v>
      </c>
      <c r="I776" s="20">
        <v>30</v>
      </c>
      <c r="J776" s="15">
        <f>VLOOKUP($A776,Table1[],18,TRUE)</f>
        <v>1.6</v>
      </c>
      <c r="K776" s="12" t="str">
        <f>VLOOKUP($A776,Table1[],22,TRUE)</f>
        <v>TRUE</v>
      </c>
      <c r="L776" s="13">
        <f>VLOOKUP($A776,Table1[],25,TRUE)</f>
        <v>0.72</v>
      </c>
    </row>
    <row r="777" spans="1:12" x14ac:dyDescent="0.25">
      <c r="A777" t="s">
        <v>1629</v>
      </c>
      <c r="B777" s="18" t="str">
        <f>VLOOKUP(A777,Table1[],3,TRUE)</f>
        <v>Melissa Vasquez</v>
      </c>
      <c r="C777" s="18" t="str">
        <f>VLOOKUP($A777,Table1[],5,TRUE)</f>
        <v>Female</v>
      </c>
      <c r="D777" s="3" t="str">
        <f>VLOOKUP($A777,Table1[],7,TRUE)</f>
        <v>58</v>
      </c>
      <c r="E777" s="3" t="str">
        <f>VLOOKUP($A777,Table1[],8,TRUE)</f>
        <v>Mexico</v>
      </c>
      <c r="F777" s="3" t="str">
        <f>VLOOKUP($A777,Table1[],9,TRUE)</f>
        <v>Spanish</v>
      </c>
      <c r="G777" s="3" t="str">
        <f>VLOOKUP($A777,Table1[],10,TRUE)</f>
        <v>DevOps</v>
      </c>
      <c r="H777" s="13" t="str">
        <f>VLOOKUP($A777,Table1[],12,TRUE)</f>
        <v>30</v>
      </c>
      <c r="I777" s="20">
        <v>50</v>
      </c>
      <c r="J777" s="15">
        <f>VLOOKUP($A777,Table1[],18,TRUE)</f>
        <v>1.3</v>
      </c>
      <c r="K777" s="12" t="str">
        <f>VLOOKUP($A777,Table1[],22,TRUE)</f>
        <v>TRUE</v>
      </c>
      <c r="L777" s="13">
        <f>VLOOKUP($A777,Table1[],25,TRUE)</f>
        <v>0.87</v>
      </c>
    </row>
    <row r="778" spans="1:12" x14ac:dyDescent="0.25">
      <c r="A778" t="s">
        <v>1631</v>
      </c>
      <c r="B778" s="18" t="str">
        <f>VLOOKUP(A778,Table1[],3,TRUE)</f>
        <v>Katherine Carlson</v>
      </c>
      <c r="C778" s="18" t="str">
        <f>VLOOKUP($A778,Table1[],5,TRUE)</f>
        <v>Female</v>
      </c>
      <c r="D778" s="3" t="str">
        <f>VLOOKUP($A778,Table1[],7,TRUE)</f>
        <v>56</v>
      </c>
      <c r="E778" s="3" t="str">
        <f>VLOOKUP($A778,Table1[],8,TRUE)</f>
        <v>China</v>
      </c>
      <c r="F778" s="3" t="str">
        <f>VLOOKUP($A778,Table1[],9,TRUE)</f>
        <v>Mandarin</v>
      </c>
      <c r="G778" s="3" t="str">
        <f>VLOOKUP($A778,Table1[],10,TRUE)</f>
        <v>Blockchain Development</v>
      </c>
      <c r="H778" s="13" t="str">
        <f>VLOOKUP($A778,Table1[],12,TRUE)</f>
        <v>3</v>
      </c>
      <c r="I778" s="20">
        <v>40</v>
      </c>
      <c r="J778" s="15">
        <f>VLOOKUP($A778,Table1[],18,TRUE)</f>
        <v>4.0999999999999996</v>
      </c>
      <c r="K778" s="12" t="str">
        <f>VLOOKUP($A778,Table1[],22,TRUE)</f>
        <v>TRUE</v>
      </c>
      <c r="L778" s="13">
        <f>VLOOKUP($A778,Table1[],25,TRUE)</f>
        <v>0.89</v>
      </c>
    </row>
    <row r="779" spans="1:12" x14ac:dyDescent="0.25">
      <c r="A779" t="s">
        <v>1633</v>
      </c>
      <c r="B779" s="18" t="str">
        <f>VLOOKUP(A779,Table1[],3,TRUE)</f>
        <v>Adam Clay</v>
      </c>
      <c r="C779" s="18" t="str">
        <f>VLOOKUP($A779,Table1[],5,TRUE)</f>
        <v>Male</v>
      </c>
      <c r="D779" s="3" t="str">
        <f>VLOOKUP($A779,Table1[],7,TRUE)</f>
        <v>48</v>
      </c>
      <c r="E779" s="3" t="str">
        <f>VLOOKUP($A779,Table1[],8,TRUE)</f>
        <v>Turkey</v>
      </c>
      <c r="F779" s="3" t="str">
        <f>VLOOKUP($A779,Table1[],9,TRUE)</f>
        <v>Turkish</v>
      </c>
      <c r="G779" s="3" t="str">
        <f>VLOOKUP($A779,Table1[],10,TRUE)</f>
        <v>Web Development</v>
      </c>
      <c r="H779" s="13" t="str">
        <f>VLOOKUP($A779,Table1[],12,TRUE)</f>
        <v>19</v>
      </c>
      <c r="I779" s="20">
        <v>40</v>
      </c>
      <c r="J779" s="15">
        <f>VLOOKUP($A779,Table1[],18,TRUE)</f>
        <v>1.5</v>
      </c>
      <c r="K779" s="12" t="str">
        <f>VLOOKUP($A779,Table1[],22,TRUE)</f>
        <v>FALSE</v>
      </c>
      <c r="L779" s="13">
        <f>VLOOKUP($A779,Table1[],25,TRUE)</f>
        <v>0.87</v>
      </c>
    </row>
    <row r="780" spans="1:12" x14ac:dyDescent="0.25">
      <c r="A780" t="s">
        <v>1635</v>
      </c>
      <c r="B780" s="18" t="str">
        <f>VLOOKUP(A780,Table1[],3,TRUE)</f>
        <v>Amy Combs</v>
      </c>
      <c r="C780" s="18" t="str">
        <f>VLOOKUP($A780,Table1[],5,TRUE)</f>
        <v>Female</v>
      </c>
      <c r="D780" s="3" t="str">
        <f>VLOOKUP($A780,Table1[],7,TRUE)</f>
        <v>31</v>
      </c>
      <c r="E780" s="3" t="str">
        <f>VLOOKUP($A780,Table1[],8,TRUE)</f>
        <v>Russia</v>
      </c>
      <c r="F780" s="3" t="str">
        <f>VLOOKUP($A780,Table1[],9,TRUE)</f>
        <v>Russian</v>
      </c>
      <c r="G780" s="3" t="str">
        <f>VLOOKUP($A780,Table1[],10,TRUE)</f>
        <v>Mobile Apps</v>
      </c>
      <c r="H780" s="13" t="str">
        <f>VLOOKUP($A780,Table1[],12,TRUE)</f>
        <v>11</v>
      </c>
      <c r="I780" s="20">
        <v>40</v>
      </c>
      <c r="J780" s="15">
        <f>VLOOKUP($A780,Table1[],18,TRUE)</f>
        <v>4.3</v>
      </c>
      <c r="K780" s="12" t="str">
        <f>VLOOKUP($A780,Table1[],22,TRUE)</f>
        <v>TRUE</v>
      </c>
      <c r="L780" s="13">
        <f>VLOOKUP($A780,Table1[],25,TRUE)</f>
        <v>0.76</v>
      </c>
    </row>
    <row r="781" spans="1:12" x14ac:dyDescent="0.25">
      <c r="A781" t="s">
        <v>1637</v>
      </c>
      <c r="B781" s="18" t="str">
        <f>VLOOKUP(A781,Table1[],3,TRUE)</f>
        <v>Anthony Case</v>
      </c>
      <c r="C781" s="18" t="str">
        <f>VLOOKUP($A781,Table1[],5,TRUE)</f>
        <v>Male</v>
      </c>
      <c r="D781" s="3" t="str">
        <f>VLOOKUP($A781,Table1[],7,TRUE)</f>
        <v>44</v>
      </c>
      <c r="E781" s="3" t="str">
        <f>VLOOKUP($A781,Table1[],8,TRUE)</f>
        <v>Australia</v>
      </c>
      <c r="F781" s="3" t="str">
        <f>VLOOKUP($A781,Table1[],9,TRUE)</f>
        <v>English</v>
      </c>
      <c r="G781" s="3" t="str">
        <f>VLOOKUP($A781,Table1[],10,TRUE)</f>
        <v>Machine Learning</v>
      </c>
      <c r="H781" s="13" t="str">
        <f>VLOOKUP($A781,Table1[],12,TRUE)</f>
        <v>26</v>
      </c>
      <c r="I781" s="20">
        <v>50</v>
      </c>
      <c r="J781" s="15">
        <f>VLOOKUP($A781,Table1[],18,TRUE)</f>
        <v>1.6</v>
      </c>
      <c r="K781" s="12" t="str">
        <f>VLOOKUP($A781,Table1[],22,TRUE)</f>
        <v>TRUE</v>
      </c>
      <c r="L781" s="13">
        <f>VLOOKUP($A781,Table1[],25,TRUE)</f>
        <v>1</v>
      </c>
    </row>
    <row r="782" spans="1:12" x14ac:dyDescent="0.25">
      <c r="A782" t="s">
        <v>1639</v>
      </c>
      <c r="B782" s="18" t="str">
        <f>VLOOKUP(A782,Table1[],3,TRUE)</f>
        <v>Kimberly Brown</v>
      </c>
      <c r="C782" s="18" t="str">
        <f>VLOOKUP($A782,Table1[],5,TRUE)</f>
        <v>Female</v>
      </c>
      <c r="D782" s="3" t="str">
        <f>VLOOKUP($A782,Table1[],7,TRUE)</f>
        <v>42</v>
      </c>
      <c r="E782" s="3" t="str">
        <f>VLOOKUP($A782,Table1[],8,TRUE)</f>
        <v>Egypt</v>
      </c>
      <c r="F782" s="3" t="str">
        <f>VLOOKUP($A782,Table1[],9,TRUE)</f>
        <v>Arabic</v>
      </c>
      <c r="G782" s="3" t="str">
        <f>VLOOKUP($A782,Table1[],10,TRUE)</f>
        <v>Mobile Apps</v>
      </c>
      <c r="H782" s="13" t="str">
        <f>VLOOKUP($A782,Table1[],12,TRUE)</f>
        <v>10</v>
      </c>
      <c r="I782" s="20">
        <v>100</v>
      </c>
      <c r="J782" s="15">
        <f>VLOOKUP($A782,Table1[],18,TRUE)</f>
        <v>3.7</v>
      </c>
      <c r="K782" s="12" t="str">
        <f>VLOOKUP($A782,Table1[],22,TRUE)</f>
        <v>TRUE</v>
      </c>
      <c r="L782" s="13">
        <f>VLOOKUP($A782,Table1[],25,TRUE)</f>
        <v>0.94</v>
      </c>
    </row>
    <row r="783" spans="1:12" x14ac:dyDescent="0.25">
      <c r="A783" t="s">
        <v>1641</v>
      </c>
      <c r="B783" s="18" t="str">
        <f>VLOOKUP(A783,Table1[],3,TRUE)</f>
        <v>Joshua Holloway</v>
      </c>
      <c r="C783" s="18" t="str">
        <f>VLOOKUP($A783,Table1[],5,TRUE)</f>
        <v>Male</v>
      </c>
      <c r="D783" s="3" t="str">
        <f>VLOOKUP($A783,Table1[],7,TRUE)</f>
        <v>59</v>
      </c>
      <c r="E783" s="3" t="str">
        <f>VLOOKUP($A783,Table1[],8,TRUE)</f>
        <v>United States</v>
      </c>
      <c r="F783" s="3" t="str">
        <f>VLOOKUP($A783,Table1[],9,TRUE)</f>
        <v>English</v>
      </c>
      <c r="G783" s="3" t="str">
        <f>VLOOKUP($A783,Table1[],10,TRUE)</f>
        <v>Cybersecurity</v>
      </c>
      <c r="H783" s="13" t="str">
        <f>VLOOKUP($A783,Table1[],12,TRUE)</f>
        <v>17</v>
      </c>
      <c r="I783" s="20">
        <v>50</v>
      </c>
      <c r="J783" s="15">
        <f>VLOOKUP($A783,Table1[],18,TRUE)</f>
        <v>1.4</v>
      </c>
      <c r="K783" s="12" t="str">
        <f>VLOOKUP($A783,Table1[],22,TRUE)</f>
        <v>TRUE</v>
      </c>
      <c r="L783" s="13">
        <f>VLOOKUP($A783,Table1[],25,TRUE)</f>
        <v>0.75</v>
      </c>
    </row>
    <row r="784" spans="1:12" x14ac:dyDescent="0.25">
      <c r="A784" t="s">
        <v>1643</v>
      </c>
      <c r="B784" s="18" t="str">
        <f>VLOOKUP(A784,Table1[],3,TRUE)</f>
        <v>Cynthia Walton</v>
      </c>
      <c r="C784" s="18" t="str">
        <f>VLOOKUP($A784,Table1[],5,TRUE)</f>
        <v>Female</v>
      </c>
      <c r="D784" s="3" t="str">
        <f>VLOOKUP($A784,Table1[],7,TRUE)</f>
        <v>Unknown</v>
      </c>
      <c r="E784" s="3" t="str">
        <f>VLOOKUP($A784,Table1[],8,TRUE)</f>
        <v>Argentina</v>
      </c>
      <c r="F784" s="3" t="str">
        <f>VLOOKUP($A784,Table1[],9,TRUE)</f>
        <v>Spanish</v>
      </c>
      <c r="G784" s="3" t="str">
        <f>VLOOKUP($A784,Table1[],10,TRUE)</f>
        <v>Blockchain Development</v>
      </c>
      <c r="H784" s="13" t="str">
        <f>VLOOKUP($A784,Table1[],12,TRUE)</f>
        <v>9</v>
      </c>
      <c r="I784" s="20">
        <v>100</v>
      </c>
      <c r="J784" s="15">
        <f>VLOOKUP($A784,Table1[],18,TRUE)</f>
        <v>4.5</v>
      </c>
      <c r="K784" s="12" t="str">
        <f>VLOOKUP($A784,Table1[],22,TRUE)</f>
        <v>TRUE</v>
      </c>
      <c r="L784" s="13">
        <f>VLOOKUP($A784,Table1[],25,TRUE)</f>
        <v>0.83</v>
      </c>
    </row>
    <row r="785" spans="1:12" x14ac:dyDescent="0.25">
      <c r="A785" t="s">
        <v>1645</v>
      </c>
      <c r="B785" s="18" t="str">
        <f>VLOOKUP(A785,Table1[],3,TRUE)</f>
        <v>Shawn Delgado</v>
      </c>
      <c r="C785" s="18" t="str">
        <f>VLOOKUP($A785,Table1[],5,TRUE)</f>
        <v>Male</v>
      </c>
      <c r="D785" s="3" t="str">
        <f>VLOOKUP($A785,Table1[],7,TRUE)</f>
        <v>21</v>
      </c>
      <c r="E785" s="3" t="str">
        <f>VLOOKUP($A785,Table1[],8,TRUE)</f>
        <v>China</v>
      </c>
      <c r="F785" s="3" t="str">
        <f>VLOOKUP($A785,Table1[],9,TRUE)</f>
        <v>Mandarin</v>
      </c>
      <c r="G785" s="3" t="str">
        <f>VLOOKUP($A785,Table1[],10,TRUE)</f>
        <v>Data Analysis</v>
      </c>
      <c r="H785" s="13" t="str">
        <f>VLOOKUP($A785,Table1[],12,TRUE)</f>
        <v>0</v>
      </c>
      <c r="I785" s="20">
        <v>40</v>
      </c>
      <c r="J785" s="15">
        <f>VLOOKUP($A785,Table1[],18,TRUE)</f>
        <v>3.7</v>
      </c>
      <c r="K785" s="12" t="str">
        <f>VLOOKUP($A785,Table1[],22,TRUE)</f>
        <v>FALSE</v>
      </c>
      <c r="L785" s="13">
        <f>VLOOKUP($A785,Table1[],25,TRUE)</f>
        <v>0.74</v>
      </c>
    </row>
    <row r="786" spans="1:12" x14ac:dyDescent="0.25">
      <c r="A786" t="s">
        <v>1647</v>
      </c>
      <c r="B786" s="18" t="str">
        <f>VLOOKUP(A786,Table1[],3,TRUE)</f>
        <v>Jeremy Smith</v>
      </c>
      <c r="C786" s="18" t="str">
        <f>VLOOKUP($A786,Table1[],5,TRUE)</f>
        <v>Male</v>
      </c>
      <c r="D786" s="3" t="str">
        <f>VLOOKUP($A786,Table1[],7,TRUE)</f>
        <v>53</v>
      </c>
      <c r="E786" s="3" t="str">
        <f>VLOOKUP($A786,Table1[],8,TRUE)</f>
        <v>United Kingdom</v>
      </c>
      <c r="F786" s="3" t="str">
        <f>VLOOKUP($A786,Table1[],9,TRUE)</f>
        <v>English</v>
      </c>
      <c r="G786" s="3" t="str">
        <f>VLOOKUP($A786,Table1[],10,TRUE)</f>
        <v>DevOps</v>
      </c>
      <c r="H786" s="13" t="str">
        <f>VLOOKUP($A786,Table1[],12,TRUE)</f>
        <v>5</v>
      </c>
      <c r="I786" s="20">
        <v>75</v>
      </c>
      <c r="J786" s="15">
        <f>VLOOKUP($A786,Table1[],18,TRUE)</f>
        <v>1.1000000000000001</v>
      </c>
      <c r="K786" s="12" t="str">
        <f>VLOOKUP($A786,Table1[],22,TRUE)</f>
        <v>FALSE</v>
      </c>
      <c r="L786" s="13">
        <f>VLOOKUP($A786,Table1[],25,TRUE)</f>
        <v>0.92</v>
      </c>
    </row>
    <row r="787" spans="1:12" x14ac:dyDescent="0.25">
      <c r="A787" t="s">
        <v>1649</v>
      </c>
      <c r="B787" s="18" t="str">
        <f>VLOOKUP(A787,Table1[],3,TRUE)</f>
        <v>Marc Ortiz</v>
      </c>
      <c r="C787" s="18" t="str">
        <f>VLOOKUP($A787,Table1[],5,TRUE)</f>
        <v>Male</v>
      </c>
      <c r="D787" s="3" t="str">
        <f>VLOOKUP($A787,Table1[],7,TRUE)</f>
        <v>35</v>
      </c>
      <c r="E787" s="3" t="str">
        <f>VLOOKUP($A787,Table1[],8,TRUE)</f>
        <v>Argentina</v>
      </c>
      <c r="F787" s="3" t="str">
        <f>VLOOKUP($A787,Table1[],9,TRUE)</f>
        <v>Spanish</v>
      </c>
      <c r="G787" s="3" t="str">
        <f>VLOOKUP($A787,Table1[],10,TRUE)</f>
        <v>Mobile Apps</v>
      </c>
      <c r="H787" s="13" t="str">
        <f>VLOOKUP($A787,Table1[],12,TRUE)</f>
        <v>15</v>
      </c>
      <c r="I787" s="20">
        <v>50</v>
      </c>
      <c r="J787" s="15">
        <f>VLOOKUP($A787,Table1[],18,TRUE)</f>
        <v>3.7</v>
      </c>
      <c r="K787" s="12" t="str">
        <f>VLOOKUP($A787,Table1[],22,TRUE)</f>
        <v>TRUE</v>
      </c>
      <c r="L787" s="13">
        <f>VLOOKUP($A787,Table1[],25,TRUE)</f>
        <v>0.66</v>
      </c>
    </row>
    <row r="788" spans="1:12" x14ac:dyDescent="0.25">
      <c r="A788" t="s">
        <v>1651</v>
      </c>
      <c r="B788" s="18" t="str">
        <f>VLOOKUP(A788,Table1[],3,TRUE)</f>
        <v>Michelle Gregory</v>
      </c>
      <c r="C788" s="18" t="str">
        <f>VLOOKUP($A788,Table1[],5,TRUE)</f>
        <v>Female</v>
      </c>
      <c r="D788" s="3" t="str">
        <f>VLOOKUP($A788,Table1[],7,TRUE)</f>
        <v>25</v>
      </c>
      <c r="E788" s="3" t="str">
        <f>VLOOKUP($A788,Table1[],8,TRUE)</f>
        <v>Brazil</v>
      </c>
      <c r="F788" s="3" t="str">
        <f>VLOOKUP($A788,Table1[],9,TRUE)</f>
        <v>Portuguese</v>
      </c>
      <c r="G788" s="3" t="str">
        <f>VLOOKUP($A788,Table1[],10,TRUE)</f>
        <v>Machine Learning</v>
      </c>
      <c r="H788" s="13" t="str">
        <f>VLOOKUP($A788,Table1[],12,TRUE)</f>
        <v>3</v>
      </c>
      <c r="I788" s="20">
        <v>50</v>
      </c>
      <c r="J788" s="15">
        <f>VLOOKUP($A788,Table1[],18,TRUE)</f>
        <v>3.2</v>
      </c>
      <c r="K788" s="12" t="str">
        <f>VLOOKUP($A788,Table1[],22,TRUE)</f>
        <v>TRUE</v>
      </c>
      <c r="L788" s="13">
        <f>VLOOKUP($A788,Table1[],25,TRUE)</f>
        <v>0.74</v>
      </c>
    </row>
    <row r="789" spans="1:12" x14ac:dyDescent="0.25">
      <c r="A789" t="s">
        <v>1653</v>
      </c>
      <c r="B789" s="18" t="str">
        <f>VLOOKUP(A789,Table1[],3,TRUE)</f>
        <v>Melanie Gay</v>
      </c>
      <c r="C789" s="18" t="str">
        <f>VLOOKUP($A789,Table1[],5,TRUE)</f>
        <v>Female</v>
      </c>
      <c r="D789" s="3" t="str">
        <f>VLOOKUP($A789,Table1[],7,TRUE)</f>
        <v>23</v>
      </c>
      <c r="E789" s="3" t="str">
        <f>VLOOKUP($A789,Table1[],8,TRUE)</f>
        <v>Italy</v>
      </c>
      <c r="F789" s="3" t="str">
        <f>VLOOKUP($A789,Table1[],9,TRUE)</f>
        <v>Italian</v>
      </c>
      <c r="G789" s="3" t="str">
        <f>VLOOKUP($A789,Table1[],10,TRUE)</f>
        <v>UI/UX Design</v>
      </c>
      <c r="H789" s="13" t="str">
        <f>VLOOKUP($A789,Table1[],12,TRUE)</f>
        <v>1</v>
      </c>
      <c r="I789" s="20">
        <v>30</v>
      </c>
      <c r="J789" s="15">
        <f>VLOOKUP($A789,Table1[],18,TRUE)</f>
        <v>5</v>
      </c>
      <c r="K789" s="12" t="str">
        <f>VLOOKUP($A789,Table1[],22,TRUE)</f>
        <v>FALSE</v>
      </c>
      <c r="L789" s="13">
        <f>VLOOKUP($A789,Table1[],25,TRUE)</f>
        <v>0.97</v>
      </c>
    </row>
    <row r="790" spans="1:12" x14ac:dyDescent="0.25">
      <c r="A790" t="s">
        <v>1655</v>
      </c>
      <c r="B790" s="18" t="str">
        <f>VLOOKUP(A790,Table1[],3,TRUE)</f>
        <v>Brittany Lambert</v>
      </c>
      <c r="C790" s="18" t="str">
        <f>VLOOKUP($A790,Table1[],5,TRUE)</f>
        <v>Female</v>
      </c>
      <c r="D790" s="3" t="str">
        <f>VLOOKUP($A790,Table1[],7,TRUE)</f>
        <v>56</v>
      </c>
      <c r="E790" s="3" t="str">
        <f>VLOOKUP($A790,Table1[],8,TRUE)</f>
        <v>Egypt</v>
      </c>
      <c r="F790" s="3" t="str">
        <f>VLOOKUP($A790,Table1[],9,TRUE)</f>
        <v>Arabic</v>
      </c>
      <c r="G790" s="3" t="str">
        <f>VLOOKUP($A790,Table1[],10,TRUE)</f>
        <v>Graphic Design</v>
      </c>
      <c r="H790" s="13" t="str">
        <f>VLOOKUP($A790,Table1[],12,TRUE)</f>
        <v>13</v>
      </c>
      <c r="I790" s="20">
        <v>30</v>
      </c>
      <c r="J790" s="15">
        <f>VLOOKUP($A790,Table1[],18,TRUE)</f>
        <v>0</v>
      </c>
      <c r="K790" s="12" t="str">
        <f>VLOOKUP($A790,Table1[],22,TRUE)</f>
        <v>TRUE</v>
      </c>
      <c r="L790" s="13">
        <f>VLOOKUP($A790,Table1[],25,TRUE)</f>
        <v>0.77</v>
      </c>
    </row>
    <row r="791" spans="1:12" x14ac:dyDescent="0.25">
      <c r="A791" t="s">
        <v>1657</v>
      </c>
      <c r="B791" s="18" t="str">
        <f>VLOOKUP(A791,Table1[],3,TRUE)</f>
        <v>Mary Hernandez</v>
      </c>
      <c r="C791" s="18" t="str">
        <f>VLOOKUP($A791,Table1[],5,TRUE)</f>
        <v>Female</v>
      </c>
      <c r="D791" s="3" t="str">
        <f>VLOOKUP($A791,Table1[],7,TRUE)</f>
        <v>31</v>
      </c>
      <c r="E791" s="3" t="str">
        <f>VLOOKUP($A791,Table1[],8,TRUE)</f>
        <v>Mexico</v>
      </c>
      <c r="F791" s="3" t="str">
        <f>VLOOKUP($A791,Table1[],9,TRUE)</f>
        <v>Spanish</v>
      </c>
      <c r="G791" s="3" t="str">
        <f>VLOOKUP($A791,Table1[],10,TRUE)</f>
        <v>UI/UX Design</v>
      </c>
      <c r="H791" s="13" t="str">
        <f>VLOOKUP($A791,Table1[],12,TRUE)</f>
        <v>6</v>
      </c>
      <c r="I791" s="20">
        <v>50</v>
      </c>
      <c r="J791" s="15">
        <f>VLOOKUP($A791,Table1[],18,TRUE)</f>
        <v>3.5</v>
      </c>
      <c r="K791" s="12" t="str">
        <f>VLOOKUP($A791,Table1[],22,TRUE)</f>
        <v>FALSE</v>
      </c>
      <c r="L791" s="13">
        <f>VLOOKUP($A791,Table1[],25,TRUE)</f>
        <v>0.86</v>
      </c>
    </row>
    <row r="792" spans="1:12" x14ac:dyDescent="0.25">
      <c r="A792" t="s">
        <v>1659</v>
      </c>
      <c r="B792" s="18" t="str">
        <f>VLOOKUP(A792,Table1[],3,TRUE)</f>
        <v>Jonathan Jones</v>
      </c>
      <c r="C792" s="18" t="str">
        <f>VLOOKUP($A792,Table1[],5,TRUE)</f>
        <v>Male</v>
      </c>
      <c r="D792" s="3" t="str">
        <f>VLOOKUP($A792,Table1[],7,TRUE)</f>
        <v>24</v>
      </c>
      <c r="E792" s="3" t="str">
        <f>VLOOKUP($A792,Table1[],8,TRUE)</f>
        <v>United States</v>
      </c>
      <c r="F792" s="3" t="str">
        <f>VLOOKUP($A792,Table1[],9,TRUE)</f>
        <v>English</v>
      </c>
      <c r="G792" s="3" t="str">
        <f>VLOOKUP($A792,Table1[],10,TRUE)</f>
        <v>Cybersecurity</v>
      </c>
      <c r="H792" s="13" t="str">
        <f>VLOOKUP($A792,Table1[],12,TRUE)</f>
        <v>4</v>
      </c>
      <c r="I792" s="20">
        <v>50</v>
      </c>
      <c r="J792" s="15">
        <f>VLOOKUP($A792,Table1[],18,TRUE)</f>
        <v>3.1</v>
      </c>
      <c r="K792" s="12" t="str">
        <f>VLOOKUP($A792,Table1[],22,TRUE)</f>
        <v>TRUE</v>
      </c>
      <c r="L792" s="13">
        <f>VLOOKUP($A792,Table1[],25,TRUE)</f>
        <v>0.95</v>
      </c>
    </row>
    <row r="793" spans="1:12" x14ac:dyDescent="0.25">
      <c r="A793" t="s">
        <v>1661</v>
      </c>
      <c r="B793" s="18" t="str">
        <f>VLOOKUP(A793,Table1[],3,TRUE)</f>
        <v>Gina Williams</v>
      </c>
      <c r="C793" s="18" t="str">
        <f>VLOOKUP($A793,Table1[],5,TRUE)</f>
        <v>Female</v>
      </c>
      <c r="D793" s="3" t="str">
        <f>VLOOKUP($A793,Table1[],7,TRUE)</f>
        <v>35</v>
      </c>
      <c r="E793" s="3" t="str">
        <f>VLOOKUP($A793,Table1[],8,TRUE)</f>
        <v>Brazil</v>
      </c>
      <c r="F793" s="3" t="str">
        <f>VLOOKUP($A793,Table1[],9,TRUE)</f>
        <v>Portuguese</v>
      </c>
      <c r="G793" s="3" t="str">
        <f>VLOOKUP($A793,Table1[],10,TRUE)</f>
        <v>Cybersecurity</v>
      </c>
      <c r="H793" s="13" t="str">
        <f>VLOOKUP($A793,Table1[],12,TRUE)</f>
        <v>7</v>
      </c>
      <c r="I793" s="20">
        <v>50</v>
      </c>
      <c r="J793" s="15">
        <f>VLOOKUP($A793,Table1[],18,TRUE)</f>
        <v>3.9</v>
      </c>
      <c r="K793" s="12" t="str">
        <f>VLOOKUP($A793,Table1[],22,TRUE)</f>
        <v>FALSE</v>
      </c>
      <c r="L793" s="13">
        <f>VLOOKUP($A793,Table1[],25,TRUE)</f>
        <v>0.72</v>
      </c>
    </row>
    <row r="794" spans="1:12" x14ac:dyDescent="0.25">
      <c r="A794" t="s">
        <v>1663</v>
      </c>
      <c r="B794" s="18" t="str">
        <f>VLOOKUP(A794,Table1[],3,TRUE)</f>
        <v>Kelly Lawson</v>
      </c>
      <c r="C794" s="18" t="str">
        <f>VLOOKUP($A794,Table1[],5,TRUE)</f>
        <v>Female</v>
      </c>
      <c r="D794" s="3" t="str">
        <f>VLOOKUP($A794,Table1[],7,TRUE)</f>
        <v>20</v>
      </c>
      <c r="E794" s="3" t="str">
        <f>VLOOKUP($A794,Table1[],8,TRUE)</f>
        <v>Spain</v>
      </c>
      <c r="F794" s="3" t="str">
        <f>VLOOKUP($A794,Table1[],9,TRUE)</f>
        <v>Spanish</v>
      </c>
      <c r="G794" s="3" t="str">
        <f>VLOOKUP($A794,Table1[],10,TRUE)</f>
        <v>AI</v>
      </c>
      <c r="H794" s="13" t="str">
        <f>VLOOKUP($A794,Table1[],12,TRUE)</f>
        <v>1</v>
      </c>
      <c r="I794" s="20">
        <v>50</v>
      </c>
      <c r="J794" s="15">
        <f>VLOOKUP($A794,Table1[],18,TRUE)</f>
        <v>3.5</v>
      </c>
      <c r="K794" s="12" t="str">
        <f>VLOOKUP($A794,Table1[],22,TRUE)</f>
        <v>FALSE</v>
      </c>
      <c r="L794" s="13">
        <f>VLOOKUP($A794,Table1[],25,TRUE)</f>
        <v>0.71</v>
      </c>
    </row>
    <row r="795" spans="1:12" x14ac:dyDescent="0.25">
      <c r="A795" t="s">
        <v>1665</v>
      </c>
      <c r="B795" s="18" t="str">
        <f>VLOOKUP(A795,Table1[],3,TRUE)</f>
        <v>Keith Smith</v>
      </c>
      <c r="C795" s="18" t="str">
        <f>VLOOKUP($A795,Table1[],5,TRUE)</f>
        <v>Male</v>
      </c>
      <c r="D795" s="3" t="str">
        <f>VLOOKUP($A795,Table1[],7,TRUE)</f>
        <v>26</v>
      </c>
      <c r="E795" s="3" t="str">
        <f>VLOOKUP($A795,Table1[],8,TRUE)</f>
        <v>Australia</v>
      </c>
      <c r="F795" s="3" t="str">
        <f>VLOOKUP($A795,Table1[],9,TRUE)</f>
        <v>English</v>
      </c>
      <c r="G795" s="3" t="str">
        <f>VLOOKUP($A795,Table1[],10,TRUE)</f>
        <v>Data Analysis</v>
      </c>
      <c r="H795" s="13" t="str">
        <f>VLOOKUP($A795,Table1[],12,TRUE)</f>
        <v>5</v>
      </c>
      <c r="I795" s="20">
        <v>100</v>
      </c>
      <c r="J795" s="15">
        <f>VLOOKUP($A795,Table1[],18,TRUE)</f>
        <v>2.5</v>
      </c>
      <c r="K795" s="12" t="str">
        <f>VLOOKUP($A795,Table1[],22,TRUE)</f>
        <v>TRUE</v>
      </c>
      <c r="L795" s="13">
        <f>VLOOKUP($A795,Table1[],25,TRUE)</f>
        <v>0.93</v>
      </c>
    </row>
    <row r="796" spans="1:12" x14ac:dyDescent="0.25">
      <c r="A796" t="s">
        <v>1667</v>
      </c>
      <c r="B796" s="18" t="str">
        <f>VLOOKUP(A796,Table1[],3,TRUE)</f>
        <v>Christopher Hunter</v>
      </c>
      <c r="C796" s="18" t="str">
        <f>VLOOKUP($A796,Table1[],5,TRUE)</f>
        <v>Male</v>
      </c>
      <c r="D796" s="3" t="str">
        <f>VLOOKUP($A796,Table1[],7,TRUE)</f>
        <v>54</v>
      </c>
      <c r="E796" s="3" t="str">
        <f>VLOOKUP($A796,Table1[],8,TRUE)</f>
        <v>United Kingdom</v>
      </c>
      <c r="F796" s="3" t="str">
        <f>VLOOKUP($A796,Table1[],9,TRUE)</f>
        <v>English</v>
      </c>
      <c r="G796" s="3" t="str">
        <f>VLOOKUP($A796,Table1[],10,TRUE)</f>
        <v>DevOps</v>
      </c>
      <c r="H796" s="13" t="str">
        <f>VLOOKUP($A796,Table1[],12,TRUE)</f>
        <v>29</v>
      </c>
      <c r="I796" s="20">
        <v>40</v>
      </c>
      <c r="J796" s="15">
        <f>VLOOKUP($A796,Table1[],18,TRUE)</f>
        <v>3.1</v>
      </c>
      <c r="K796" s="12" t="str">
        <f>VLOOKUP($A796,Table1[],22,TRUE)</f>
        <v>TRUE</v>
      </c>
      <c r="L796" s="13">
        <f>VLOOKUP($A796,Table1[],25,TRUE)</f>
        <v>0.75</v>
      </c>
    </row>
    <row r="797" spans="1:12" x14ac:dyDescent="0.25">
      <c r="A797" t="s">
        <v>1669</v>
      </c>
      <c r="B797" s="18" t="str">
        <f>VLOOKUP(A797,Table1[],3,TRUE)</f>
        <v>Dwayne Parks</v>
      </c>
      <c r="C797" s="18" t="str">
        <f>VLOOKUP($A797,Table1[],5,TRUE)</f>
        <v>Male</v>
      </c>
      <c r="D797" s="3" t="str">
        <f>VLOOKUP($A797,Table1[],7,TRUE)</f>
        <v>53</v>
      </c>
      <c r="E797" s="3" t="str">
        <f>VLOOKUP($A797,Table1[],8,TRUE)</f>
        <v>Russia</v>
      </c>
      <c r="F797" s="3" t="str">
        <f>VLOOKUP($A797,Table1[],9,TRUE)</f>
        <v>Russian</v>
      </c>
      <c r="G797" s="3" t="str">
        <f>VLOOKUP($A797,Table1[],10,TRUE)</f>
        <v>Cybersecurity</v>
      </c>
      <c r="H797" s="13" t="str">
        <f>VLOOKUP($A797,Table1[],12,TRUE)</f>
        <v>12</v>
      </c>
      <c r="I797" s="20">
        <v>100</v>
      </c>
      <c r="J797" s="15">
        <f>VLOOKUP($A797,Table1[],18,TRUE)</f>
        <v>4.7</v>
      </c>
      <c r="K797" s="12" t="str">
        <f>VLOOKUP($A797,Table1[],22,TRUE)</f>
        <v>TRUE</v>
      </c>
      <c r="L797" s="13">
        <f>VLOOKUP($A797,Table1[],25,TRUE)</f>
        <v>0.87</v>
      </c>
    </row>
    <row r="798" spans="1:12" x14ac:dyDescent="0.25">
      <c r="A798" t="s">
        <v>1671</v>
      </c>
      <c r="B798" s="18" t="str">
        <f>VLOOKUP(A798,Table1[],3,TRUE)</f>
        <v>Mary Hall</v>
      </c>
      <c r="C798" s="18" t="str">
        <f>VLOOKUP($A798,Table1[],5,TRUE)</f>
        <v>Female</v>
      </c>
      <c r="D798" s="3" t="str">
        <f>VLOOKUP($A798,Table1[],7,TRUE)</f>
        <v>33</v>
      </c>
      <c r="E798" s="3" t="str">
        <f>VLOOKUP($A798,Table1[],8,TRUE)</f>
        <v>Canada</v>
      </c>
      <c r="F798" s="3" t="str">
        <f>VLOOKUP($A798,Table1[],9,TRUE)</f>
        <v>English</v>
      </c>
      <c r="G798" s="3" t="str">
        <f>VLOOKUP($A798,Table1[],10,TRUE)</f>
        <v>DevOps</v>
      </c>
      <c r="H798" s="13" t="str">
        <f>VLOOKUP($A798,Table1[],12,TRUE)</f>
        <v>4</v>
      </c>
      <c r="I798" s="20">
        <v>50</v>
      </c>
      <c r="J798" s="15">
        <f>VLOOKUP($A798,Table1[],18,TRUE)</f>
        <v>1.9</v>
      </c>
      <c r="K798" s="12" t="str">
        <f>VLOOKUP($A798,Table1[],22,TRUE)</f>
        <v>TRUE</v>
      </c>
      <c r="L798" s="13">
        <f>VLOOKUP($A798,Table1[],25,TRUE)</f>
        <v>0.73</v>
      </c>
    </row>
    <row r="799" spans="1:12" x14ac:dyDescent="0.25">
      <c r="A799" t="s">
        <v>1673</v>
      </c>
      <c r="B799" s="18" t="str">
        <f>VLOOKUP(A799,Table1[],3,TRUE)</f>
        <v>Jake Gilmore</v>
      </c>
      <c r="C799" s="18" t="str">
        <f>VLOOKUP($A799,Table1[],5,TRUE)</f>
        <v>Male</v>
      </c>
      <c r="D799" s="3" t="str">
        <f>VLOOKUP($A799,Table1[],7,TRUE)</f>
        <v>43</v>
      </c>
      <c r="E799" s="3" t="str">
        <f>VLOOKUP($A799,Table1[],8,TRUE)</f>
        <v>Netherlands</v>
      </c>
      <c r="F799" s="3" t="str">
        <f>VLOOKUP($A799,Table1[],9,TRUE)</f>
        <v>Dutch</v>
      </c>
      <c r="G799" s="3" t="str">
        <f>VLOOKUP($A799,Table1[],10,TRUE)</f>
        <v>Web Development</v>
      </c>
      <c r="H799" s="13" t="str">
        <f>VLOOKUP($A799,Table1[],12,TRUE)</f>
        <v>12</v>
      </c>
      <c r="I799" s="20">
        <v>50</v>
      </c>
      <c r="J799" s="15">
        <f>VLOOKUP($A799,Table1[],18,TRUE)</f>
        <v>1.6</v>
      </c>
      <c r="K799" s="12" t="str">
        <f>VLOOKUP($A799,Table1[],22,TRUE)</f>
        <v>TRUE</v>
      </c>
      <c r="L799" s="13">
        <f>VLOOKUP($A799,Table1[],25,TRUE)</f>
        <v>0.74</v>
      </c>
    </row>
    <row r="800" spans="1:12" x14ac:dyDescent="0.25">
      <c r="A800" t="s">
        <v>1675</v>
      </c>
      <c r="B800" s="18" t="str">
        <f>VLOOKUP(A800,Table1[],3,TRUE)</f>
        <v>Mark Lopez</v>
      </c>
      <c r="C800" s="18" t="str">
        <f>VLOOKUP($A800,Table1[],5,TRUE)</f>
        <v>Male</v>
      </c>
      <c r="D800" s="3" t="str">
        <f>VLOOKUP($A800,Table1[],7,TRUE)</f>
        <v>37</v>
      </c>
      <c r="E800" s="3" t="str">
        <f>VLOOKUP($A800,Table1[],8,TRUE)</f>
        <v>Canada</v>
      </c>
      <c r="F800" s="3" t="str">
        <f>VLOOKUP($A800,Table1[],9,TRUE)</f>
        <v>English</v>
      </c>
      <c r="G800" s="3" t="str">
        <f>VLOOKUP($A800,Table1[],10,TRUE)</f>
        <v>DevOps</v>
      </c>
      <c r="H800" s="13" t="str">
        <f>VLOOKUP($A800,Table1[],12,TRUE)</f>
        <v>3</v>
      </c>
      <c r="I800" s="20">
        <v>20</v>
      </c>
      <c r="J800" s="15">
        <f>VLOOKUP($A800,Table1[],18,TRUE)</f>
        <v>2.5</v>
      </c>
      <c r="K800" s="12" t="str">
        <f>VLOOKUP($A800,Table1[],22,TRUE)</f>
        <v>FALSE</v>
      </c>
      <c r="L800" s="13">
        <f>VLOOKUP($A800,Table1[],25,TRUE)</f>
        <v>0.62</v>
      </c>
    </row>
    <row r="801" spans="1:12" x14ac:dyDescent="0.25">
      <c r="A801" t="s">
        <v>1677</v>
      </c>
      <c r="B801" s="18" t="str">
        <f>VLOOKUP(A801,Table1[],3,TRUE)</f>
        <v>Dana Rice</v>
      </c>
      <c r="C801" s="18" t="str">
        <f>VLOOKUP($A801,Table1[],5,TRUE)</f>
        <v>Female</v>
      </c>
      <c r="D801" s="3" t="str">
        <f>VLOOKUP($A801,Table1[],7,TRUE)</f>
        <v>58</v>
      </c>
      <c r="E801" s="3" t="str">
        <f>VLOOKUP($A801,Table1[],8,TRUE)</f>
        <v>France</v>
      </c>
      <c r="F801" s="3" t="str">
        <f>VLOOKUP($A801,Table1[],9,TRUE)</f>
        <v>French</v>
      </c>
      <c r="G801" s="3" t="str">
        <f>VLOOKUP($A801,Table1[],10,TRUE)</f>
        <v>Data Analysis</v>
      </c>
      <c r="H801" s="13" t="str">
        <f>VLOOKUP($A801,Table1[],12,TRUE)</f>
        <v>15</v>
      </c>
      <c r="I801" s="20">
        <v>20</v>
      </c>
      <c r="J801" s="15">
        <f>VLOOKUP($A801,Table1[],18,TRUE)</f>
        <v>3.5</v>
      </c>
      <c r="K801" s="12" t="str">
        <f>VLOOKUP($A801,Table1[],22,TRUE)</f>
        <v>TRUE</v>
      </c>
      <c r="L801" s="13">
        <f>VLOOKUP($A801,Table1[],25,TRUE)</f>
        <v>0.98</v>
      </c>
    </row>
    <row r="802" spans="1:12" x14ac:dyDescent="0.25">
      <c r="A802" t="s">
        <v>1679</v>
      </c>
      <c r="B802" s="18" t="str">
        <f>VLOOKUP(A802,Table1[],3,TRUE)</f>
        <v>Beth Young</v>
      </c>
      <c r="C802" s="18" t="str">
        <f>VLOOKUP($A802,Table1[],5,TRUE)</f>
        <v>Female</v>
      </c>
      <c r="D802" s="3" t="str">
        <f>VLOOKUP($A802,Table1[],7,TRUE)</f>
        <v>39</v>
      </c>
      <c r="E802" s="3" t="str">
        <f>VLOOKUP($A802,Table1[],8,TRUE)</f>
        <v>Spain</v>
      </c>
      <c r="F802" s="3" t="str">
        <f>VLOOKUP($A802,Table1[],9,TRUE)</f>
        <v>Spanish</v>
      </c>
      <c r="G802" s="3" t="str">
        <f>VLOOKUP($A802,Table1[],10,TRUE)</f>
        <v>Mobile Apps</v>
      </c>
      <c r="H802" s="13" t="str">
        <f>VLOOKUP($A802,Table1[],12,TRUE)</f>
        <v>15</v>
      </c>
      <c r="I802" s="20">
        <v>50</v>
      </c>
      <c r="J802" s="15">
        <f>VLOOKUP($A802,Table1[],18,TRUE)</f>
        <v>2.6</v>
      </c>
      <c r="K802" s="12" t="str">
        <f>VLOOKUP($A802,Table1[],22,TRUE)</f>
        <v>FALSE</v>
      </c>
      <c r="L802" s="13">
        <f>VLOOKUP($A802,Table1[],25,TRUE)</f>
        <v>0.8</v>
      </c>
    </row>
    <row r="803" spans="1:12" x14ac:dyDescent="0.25">
      <c r="A803" t="s">
        <v>1681</v>
      </c>
      <c r="B803" s="18" t="str">
        <f>VLOOKUP(A803,Table1[],3,TRUE)</f>
        <v>Ryan Powell</v>
      </c>
      <c r="C803" s="18" t="str">
        <f>VLOOKUP($A803,Table1[],5,TRUE)</f>
        <v>Male</v>
      </c>
      <c r="D803" s="3" t="str">
        <f>VLOOKUP($A803,Table1[],7,TRUE)</f>
        <v>43</v>
      </c>
      <c r="E803" s="3" t="str">
        <f>VLOOKUP($A803,Table1[],8,TRUE)</f>
        <v>Turkey</v>
      </c>
      <c r="F803" s="3" t="str">
        <f>VLOOKUP($A803,Table1[],9,TRUE)</f>
        <v>Turkish</v>
      </c>
      <c r="G803" s="3" t="str">
        <f>VLOOKUP($A803,Table1[],10,TRUE)</f>
        <v>Graphic Design</v>
      </c>
      <c r="H803" s="13" t="str">
        <f>VLOOKUP($A803,Table1[],12,TRUE)</f>
        <v>13</v>
      </c>
      <c r="I803" s="20">
        <v>20</v>
      </c>
      <c r="J803" s="15">
        <f>VLOOKUP($A803,Table1[],18,TRUE)</f>
        <v>1.2</v>
      </c>
      <c r="K803" s="12" t="str">
        <f>VLOOKUP($A803,Table1[],22,TRUE)</f>
        <v>TRUE</v>
      </c>
      <c r="L803" s="13">
        <f>VLOOKUP($A803,Table1[],25,TRUE)</f>
        <v>0.69</v>
      </c>
    </row>
    <row r="804" spans="1:12" x14ac:dyDescent="0.25">
      <c r="A804" t="s">
        <v>1683</v>
      </c>
      <c r="B804" s="18" t="str">
        <f>VLOOKUP(A804,Table1[],3,TRUE)</f>
        <v>Amanda Fowler</v>
      </c>
      <c r="C804" s="18" t="str">
        <f>VLOOKUP($A804,Table1[],5,TRUE)</f>
        <v>Female</v>
      </c>
      <c r="D804" s="3" t="str">
        <f>VLOOKUP($A804,Table1[],7,TRUE)</f>
        <v>40</v>
      </c>
      <c r="E804" s="3" t="str">
        <f>VLOOKUP($A804,Table1[],8,TRUE)</f>
        <v>Spain</v>
      </c>
      <c r="F804" s="3" t="str">
        <f>VLOOKUP($A804,Table1[],9,TRUE)</f>
        <v>Spanish</v>
      </c>
      <c r="G804" s="3" t="str">
        <f>VLOOKUP($A804,Table1[],10,TRUE)</f>
        <v>Blockchain Development</v>
      </c>
      <c r="H804" s="13" t="str">
        <f>VLOOKUP($A804,Table1[],12,TRUE)</f>
        <v>20</v>
      </c>
      <c r="I804" s="20">
        <v>30</v>
      </c>
      <c r="J804" s="15">
        <f>VLOOKUP($A804,Table1[],18,TRUE)</f>
        <v>2.6</v>
      </c>
      <c r="K804" s="12" t="str">
        <f>VLOOKUP($A804,Table1[],22,TRUE)</f>
        <v>TRUE</v>
      </c>
      <c r="L804" s="13">
        <f>VLOOKUP($A804,Table1[],25,TRUE)</f>
        <v>0.9</v>
      </c>
    </row>
    <row r="805" spans="1:12" x14ac:dyDescent="0.25">
      <c r="A805" t="s">
        <v>1685</v>
      </c>
      <c r="B805" s="18" t="str">
        <f>VLOOKUP(A805,Table1[],3,TRUE)</f>
        <v>Lindsay Rivera</v>
      </c>
      <c r="C805" s="18" t="str">
        <f>VLOOKUP($A805,Table1[],5,TRUE)</f>
        <v>Female</v>
      </c>
      <c r="D805" s="3" t="str">
        <f>VLOOKUP($A805,Table1[],7,TRUE)</f>
        <v>51</v>
      </c>
      <c r="E805" s="3" t="str">
        <f>VLOOKUP($A805,Table1[],8,TRUE)</f>
        <v>United Kingdom</v>
      </c>
      <c r="F805" s="3" t="str">
        <f>VLOOKUP($A805,Table1[],9,TRUE)</f>
        <v>English</v>
      </c>
      <c r="G805" s="3" t="str">
        <f>VLOOKUP($A805,Table1[],10,TRUE)</f>
        <v>Machine Learning</v>
      </c>
      <c r="H805" s="13" t="str">
        <f>VLOOKUP($A805,Table1[],12,TRUE)</f>
        <v>30</v>
      </c>
      <c r="I805" s="20">
        <v>75</v>
      </c>
      <c r="J805" s="15">
        <f>VLOOKUP($A805,Table1[],18,TRUE)</f>
        <v>2.6</v>
      </c>
      <c r="K805" s="12" t="str">
        <f>VLOOKUP($A805,Table1[],22,TRUE)</f>
        <v>TRUE</v>
      </c>
      <c r="L805" s="13">
        <f>VLOOKUP($A805,Table1[],25,TRUE)</f>
        <v>0.74</v>
      </c>
    </row>
    <row r="806" spans="1:12" x14ac:dyDescent="0.25">
      <c r="A806" t="s">
        <v>1687</v>
      </c>
      <c r="B806" s="18" t="str">
        <f>VLOOKUP(A806,Table1[],3,TRUE)</f>
        <v>Mark Ward</v>
      </c>
      <c r="C806" s="18" t="str">
        <f>VLOOKUP($A806,Table1[],5,TRUE)</f>
        <v>Male</v>
      </c>
      <c r="D806" s="3" t="str">
        <f>VLOOKUP($A806,Table1[],7,TRUE)</f>
        <v>23</v>
      </c>
      <c r="E806" s="3" t="str">
        <f>VLOOKUP($A806,Table1[],8,TRUE)</f>
        <v>Germany</v>
      </c>
      <c r="F806" s="3" t="str">
        <f>VLOOKUP($A806,Table1[],9,TRUE)</f>
        <v>German</v>
      </c>
      <c r="G806" s="3" t="str">
        <f>VLOOKUP($A806,Table1[],10,TRUE)</f>
        <v>AI</v>
      </c>
      <c r="H806" s="13" t="str">
        <f>VLOOKUP($A806,Table1[],12,TRUE)</f>
        <v>4</v>
      </c>
      <c r="I806" s="20">
        <v>50</v>
      </c>
      <c r="J806" s="15">
        <f>VLOOKUP($A806,Table1[],18,TRUE)</f>
        <v>4.5</v>
      </c>
      <c r="K806" s="12" t="str">
        <f>VLOOKUP($A806,Table1[],22,TRUE)</f>
        <v>FALSE</v>
      </c>
      <c r="L806" s="13">
        <f>VLOOKUP($A806,Table1[],25,TRUE)</f>
        <v>0.98</v>
      </c>
    </row>
    <row r="807" spans="1:12" x14ac:dyDescent="0.25">
      <c r="A807" t="s">
        <v>1689</v>
      </c>
      <c r="B807" s="18" t="str">
        <f>VLOOKUP(A807,Table1[],3,TRUE)</f>
        <v>Amanda Smith</v>
      </c>
      <c r="C807" s="18" t="str">
        <f>VLOOKUP($A807,Table1[],5,TRUE)</f>
        <v>Female</v>
      </c>
      <c r="D807" s="3" t="str">
        <f>VLOOKUP($A807,Table1[],7,TRUE)</f>
        <v>31</v>
      </c>
      <c r="E807" s="3" t="str">
        <f>VLOOKUP($A807,Table1[],8,TRUE)</f>
        <v>Indonesia</v>
      </c>
      <c r="F807" s="3" t="str">
        <f>VLOOKUP($A807,Table1[],9,TRUE)</f>
        <v>Indonesian</v>
      </c>
      <c r="G807" s="3" t="str">
        <f>VLOOKUP($A807,Table1[],10,TRUE)</f>
        <v>Graphic Design</v>
      </c>
      <c r="H807" s="13" t="str">
        <f>VLOOKUP($A807,Table1[],12,TRUE)</f>
        <v>Unknown</v>
      </c>
      <c r="I807" s="20">
        <v>20</v>
      </c>
      <c r="J807" s="15">
        <f>VLOOKUP($A807,Table1[],18,TRUE)</f>
        <v>2.6</v>
      </c>
      <c r="K807" s="12" t="str">
        <f>VLOOKUP($A807,Table1[],22,TRUE)</f>
        <v>TRUE</v>
      </c>
      <c r="L807" s="13">
        <f>VLOOKUP($A807,Table1[],25,TRUE)</f>
        <v>0.84</v>
      </c>
    </row>
    <row r="808" spans="1:12" x14ac:dyDescent="0.25">
      <c r="A808" t="s">
        <v>1691</v>
      </c>
      <c r="B808" s="18" t="str">
        <f>VLOOKUP(A808,Table1[],3,TRUE)</f>
        <v>Emily Brown</v>
      </c>
      <c r="C808" s="18" t="str">
        <f>VLOOKUP($A808,Table1[],5,TRUE)</f>
        <v>Female</v>
      </c>
      <c r="D808" s="3" t="str">
        <f>VLOOKUP($A808,Table1[],7,TRUE)</f>
        <v>44</v>
      </c>
      <c r="E808" s="3" t="str">
        <f>VLOOKUP($A808,Table1[],8,TRUE)</f>
        <v>Russia</v>
      </c>
      <c r="F808" s="3" t="str">
        <f>VLOOKUP($A808,Table1[],9,TRUE)</f>
        <v>Russian</v>
      </c>
      <c r="G808" s="3" t="str">
        <f>VLOOKUP($A808,Table1[],10,TRUE)</f>
        <v>Web Development</v>
      </c>
      <c r="H808" s="13" t="str">
        <f>VLOOKUP($A808,Table1[],12,TRUE)</f>
        <v>3</v>
      </c>
      <c r="I808" s="20">
        <v>20</v>
      </c>
      <c r="J808" s="15">
        <f>VLOOKUP($A808,Table1[],18,TRUE)</f>
        <v>5</v>
      </c>
      <c r="K808" s="12" t="str">
        <f>VLOOKUP($A808,Table1[],22,TRUE)</f>
        <v>TRUE</v>
      </c>
      <c r="L808" s="13">
        <f>VLOOKUP($A808,Table1[],25,TRUE)</f>
        <v>0.75</v>
      </c>
    </row>
    <row r="809" spans="1:12" x14ac:dyDescent="0.25">
      <c r="A809" t="s">
        <v>1693</v>
      </c>
      <c r="B809" s="18" t="str">
        <f>VLOOKUP(A809,Table1[],3,TRUE)</f>
        <v>Dwayne Cardenas</v>
      </c>
      <c r="C809" s="18" t="str">
        <f>VLOOKUP($A809,Table1[],5,TRUE)</f>
        <v>Male</v>
      </c>
      <c r="D809" s="3" t="str">
        <f>VLOOKUP($A809,Table1[],7,TRUE)</f>
        <v>56</v>
      </c>
      <c r="E809" s="3" t="str">
        <f>VLOOKUP($A809,Table1[],8,TRUE)</f>
        <v>Germany</v>
      </c>
      <c r="F809" s="3" t="str">
        <f>VLOOKUP($A809,Table1[],9,TRUE)</f>
        <v>German</v>
      </c>
      <c r="G809" s="3" t="str">
        <f>VLOOKUP($A809,Table1[],10,TRUE)</f>
        <v>Mobile Apps</v>
      </c>
      <c r="H809" s="13" t="str">
        <f>VLOOKUP($A809,Table1[],12,TRUE)</f>
        <v>23</v>
      </c>
      <c r="I809" s="20">
        <v>75</v>
      </c>
      <c r="J809" s="15">
        <f>VLOOKUP($A809,Table1[],18,TRUE)</f>
        <v>3.9</v>
      </c>
      <c r="K809" s="12" t="str">
        <f>VLOOKUP($A809,Table1[],22,TRUE)</f>
        <v>TRUE</v>
      </c>
      <c r="L809" s="13">
        <f>VLOOKUP($A809,Table1[],25,TRUE)</f>
        <v>0.75</v>
      </c>
    </row>
    <row r="810" spans="1:12" x14ac:dyDescent="0.25">
      <c r="A810" t="s">
        <v>1695</v>
      </c>
      <c r="B810" s="18" t="str">
        <f>VLOOKUP(A810,Table1[],3,TRUE)</f>
        <v>Dr. Rhonda Hernandez</v>
      </c>
      <c r="C810" s="18" t="str">
        <f>VLOOKUP($A810,Table1[],5,TRUE)</f>
        <v>Female</v>
      </c>
      <c r="D810" s="3" t="str">
        <f>VLOOKUP($A810,Table1[],7,TRUE)</f>
        <v>48</v>
      </c>
      <c r="E810" s="3" t="str">
        <f>VLOOKUP($A810,Table1[],8,TRUE)</f>
        <v>Australia</v>
      </c>
      <c r="F810" s="3" t="str">
        <f>VLOOKUP($A810,Table1[],9,TRUE)</f>
        <v>English</v>
      </c>
      <c r="G810" s="3" t="str">
        <f>VLOOKUP($A810,Table1[],10,TRUE)</f>
        <v>Cybersecurity</v>
      </c>
      <c r="H810" s="13" t="str">
        <f>VLOOKUP($A810,Table1[],12,TRUE)</f>
        <v>5</v>
      </c>
      <c r="I810" s="20">
        <v>100</v>
      </c>
      <c r="J810" s="15">
        <f>VLOOKUP($A810,Table1[],18,TRUE)</f>
        <v>1.8</v>
      </c>
      <c r="K810" s="12" t="str">
        <f>VLOOKUP($A810,Table1[],22,TRUE)</f>
        <v>TRUE</v>
      </c>
      <c r="L810" s="13">
        <f>VLOOKUP($A810,Table1[],25,TRUE)</f>
        <v>0.97</v>
      </c>
    </row>
    <row r="811" spans="1:12" x14ac:dyDescent="0.25">
      <c r="A811" t="s">
        <v>1697</v>
      </c>
      <c r="B811" s="18" t="str">
        <f>VLOOKUP(A811,Table1[],3,TRUE)</f>
        <v>Melody Barker</v>
      </c>
      <c r="C811" s="18" t="str">
        <f>VLOOKUP($A811,Table1[],5,TRUE)</f>
        <v>Female</v>
      </c>
      <c r="D811" s="3" t="str">
        <f>VLOOKUP($A811,Table1[],7,TRUE)</f>
        <v>46</v>
      </c>
      <c r="E811" s="3" t="str">
        <f>VLOOKUP($A811,Table1[],8,TRUE)</f>
        <v>Russia</v>
      </c>
      <c r="F811" s="3" t="str">
        <f>VLOOKUP($A811,Table1[],9,TRUE)</f>
        <v>Russian</v>
      </c>
      <c r="G811" s="3" t="str">
        <f>VLOOKUP($A811,Table1[],10,TRUE)</f>
        <v>Web Development</v>
      </c>
      <c r="H811" s="13" t="str">
        <f>VLOOKUP($A811,Table1[],12,TRUE)</f>
        <v>28</v>
      </c>
      <c r="I811" s="20">
        <v>30</v>
      </c>
      <c r="J811" s="15">
        <f>VLOOKUP($A811,Table1[],18,TRUE)</f>
        <v>4.2</v>
      </c>
      <c r="K811" s="12" t="str">
        <f>VLOOKUP($A811,Table1[],22,TRUE)</f>
        <v>TRUE</v>
      </c>
      <c r="L811" s="13">
        <f>VLOOKUP($A811,Table1[],25,TRUE)</f>
        <v>0.75</v>
      </c>
    </row>
    <row r="812" spans="1:12" x14ac:dyDescent="0.25">
      <c r="A812" t="s">
        <v>1699</v>
      </c>
      <c r="B812" s="18" t="str">
        <f>VLOOKUP(A812,Table1[],3,TRUE)</f>
        <v>Russell Carpenter</v>
      </c>
      <c r="C812" s="18" t="str">
        <f>VLOOKUP($A812,Table1[],5,TRUE)</f>
        <v>Male</v>
      </c>
      <c r="D812" s="3" t="str">
        <f>VLOOKUP($A812,Table1[],7,TRUE)</f>
        <v>21</v>
      </c>
      <c r="E812" s="3" t="str">
        <f>VLOOKUP($A812,Table1[],8,TRUE)</f>
        <v>Egypt</v>
      </c>
      <c r="F812" s="3" t="str">
        <f>VLOOKUP($A812,Table1[],9,TRUE)</f>
        <v>Arabic</v>
      </c>
      <c r="G812" s="3" t="str">
        <f>VLOOKUP($A812,Table1[],10,TRUE)</f>
        <v>AI</v>
      </c>
      <c r="H812" s="13" t="str">
        <f>VLOOKUP($A812,Table1[],12,TRUE)</f>
        <v>0</v>
      </c>
      <c r="I812" s="20">
        <v>20</v>
      </c>
      <c r="J812" s="15">
        <f>VLOOKUP($A812,Table1[],18,TRUE)</f>
        <v>2.6</v>
      </c>
      <c r="K812" s="12" t="str">
        <f>VLOOKUP($A812,Table1[],22,TRUE)</f>
        <v>FALSE</v>
      </c>
      <c r="L812" s="13">
        <f>VLOOKUP($A812,Table1[],25,TRUE)</f>
        <v>0.64</v>
      </c>
    </row>
    <row r="813" spans="1:12" x14ac:dyDescent="0.25">
      <c r="A813" t="s">
        <v>1701</v>
      </c>
      <c r="B813" s="18" t="str">
        <f>VLOOKUP(A813,Table1[],3,TRUE)</f>
        <v>Richard Hill</v>
      </c>
      <c r="C813" s="18" t="str">
        <f>VLOOKUP($A813,Table1[],5,TRUE)</f>
        <v>Male</v>
      </c>
      <c r="D813" s="3" t="str">
        <f>VLOOKUP($A813,Table1[],7,TRUE)</f>
        <v>52</v>
      </c>
      <c r="E813" s="3" t="str">
        <f>VLOOKUP($A813,Table1[],8,TRUE)</f>
        <v>Russia</v>
      </c>
      <c r="F813" s="3" t="str">
        <f>VLOOKUP($A813,Table1[],9,TRUE)</f>
        <v>Russian</v>
      </c>
      <c r="G813" s="3" t="str">
        <f>VLOOKUP($A813,Table1[],10,TRUE)</f>
        <v>Data Analysis</v>
      </c>
      <c r="H813" s="13" t="str">
        <f>VLOOKUP($A813,Table1[],12,TRUE)</f>
        <v>30</v>
      </c>
      <c r="I813" s="20">
        <v>30</v>
      </c>
      <c r="J813" s="15">
        <f>VLOOKUP($A813,Table1[],18,TRUE)</f>
        <v>2</v>
      </c>
      <c r="K813" s="12" t="str">
        <f>VLOOKUP($A813,Table1[],22,TRUE)</f>
        <v>TRUE</v>
      </c>
      <c r="L813" s="13">
        <f>VLOOKUP($A813,Table1[],25,TRUE)</f>
        <v>0.68</v>
      </c>
    </row>
    <row r="814" spans="1:12" x14ac:dyDescent="0.25">
      <c r="A814" t="s">
        <v>1703</v>
      </c>
      <c r="B814" s="18" t="str">
        <f>VLOOKUP(A814,Table1[],3,TRUE)</f>
        <v>Lindsay Potts</v>
      </c>
      <c r="C814" s="18" t="str">
        <f>VLOOKUP($A814,Table1[],5,TRUE)</f>
        <v>Female</v>
      </c>
      <c r="D814" s="3" t="str">
        <f>VLOOKUP($A814,Table1[],7,TRUE)</f>
        <v>39</v>
      </c>
      <c r="E814" s="3" t="str">
        <f>VLOOKUP($A814,Table1[],8,TRUE)</f>
        <v>Russia</v>
      </c>
      <c r="F814" s="3" t="str">
        <f>VLOOKUP($A814,Table1[],9,TRUE)</f>
        <v>Russian</v>
      </c>
      <c r="G814" s="3" t="str">
        <f>VLOOKUP($A814,Table1[],10,TRUE)</f>
        <v>Graphic Design</v>
      </c>
      <c r="H814" s="13" t="str">
        <f>VLOOKUP($A814,Table1[],12,TRUE)</f>
        <v>20</v>
      </c>
      <c r="I814" s="20">
        <v>75</v>
      </c>
      <c r="J814" s="15">
        <f>VLOOKUP($A814,Table1[],18,TRUE)</f>
        <v>2.7</v>
      </c>
      <c r="K814" s="12" t="str">
        <f>VLOOKUP($A814,Table1[],22,TRUE)</f>
        <v>TRUE</v>
      </c>
      <c r="L814" s="13">
        <f>VLOOKUP($A814,Table1[],25,TRUE)</f>
        <v>0.67</v>
      </c>
    </row>
    <row r="815" spans="1:12" x14ac:dyDescent="0.25">
      <c r="A815" t="s">
        <v>1705</v>
      </c>
      <c r="B815" s="18" t="str">
        <f>VLOOKUP(A815,Table1[],3,TRUE)</f>
        <v>Michelle Campbell</v>
      </c>
      <c r="C815" s="18" t="str">
        <f>VLOOKUP($A815,Table1[],5,TRUE)</f>
        <v>Female</v>
      </c>
      <c r="D815" s="3" t="str">
        <f>VLOOKUP($A815,Table1[],7,TRUE)</f>
        <v>31</v>
      </c>
      <c r="E815" s="3" t="str">
        <f>VLOOKUP($A815,Table1[],8,TRUE)</f>
        <v>Australia</v>
      </c>
      <c r="F815" s="3" t="str">
        <f>VLOOKUP($A815,Table1[],9,TRUE)</f>
        <v>English</v>
      </c>
      <c r="G815" s="3" t="str">
        <f>VLOOKUP($A815,Table1[],10,TRUE)</f>
        <v>Mobile Apps</v>
      </c>
      <c r="H815" s="13" t="str">
        <f>VLOOKUP($A815,Table1[],12,TRUE)</f>
        <v>0</v>
      </c>
      <c r="I815" s="20">
        <v>30</v>
      </c>
      <c r="J815" s="15">
        <f>VLOOKUP($A815,Table1[],18,TRUE)</f>
        <v>2.2999999999999998</v>
      </c>
      <c r="K815" s="12" t="str">
        <f>VLOOKUP($A815,Table1[],22,TRUE)</f>
        <v>FALSE</v>
      </c>
      <c r="L815" s="13">
        <f>VLOOKUP($A815,Table1[],25,TRUE)</f>
        <v>0.79</v>
      </c>
    </row>
    <row r="816" spans="1:12" x14ac:dyDescent="0.25">
      <c r="A816" t="s">
        <v>1707</v>
      </c>
      <c r="B816" s="18" t="str">
        <f>VLOOKUP(A816,Table1[],3,TRUE)</f>
        <v>Alan Williams</v>
      </c>
      <c r="C816" s="18" t="str">
        <f>VLOOKUP($A816,Table1[],5,TRUE)</f>
        <v>Male</v>
      </c>
      <c r="D816" s="3" t="str">
        <f>VLOOKUP($A816,Table1[],7,TRUE)</f>
        <v>22</v>
      </c>
      <c r="E816" s="3" t="str">
        <f>VLOOKUP($A816,Table1[],8,TRUE)</f>
        <v>South Korea</v>
      </c>
      <c r="F816" s="3" t="str">
        <f>VLOOKUP($A816,Table1[],9,TRUE)</f>
        <v>Korean</v>
      </c>
      <c r="G816" s="3" t="str">
        <f>VLOOKUP($A816,Table1[],10,TRUE)</f>
        <v>UI/UX Design</v>
      </c>
      <c r="H816" s="13" t="str">
        <f>VLOOKUP($A816,Table1[],12,TRUE)</f>
        <v>4</v>
      </c>
      <c r="I816" s="20">
        <v>40</v>
      </c>
      <c r="J816" s="15">
        <f>VLOOKUP($A816,Table1[],18,TRUE)</f>
        <v>3.8</v>
      </c>
      <c r="K816" s="12" t="str">
        <f>VLOOKUP($A816,Table1[],22,TRUE)</f>
        <v>TRUE</v>
      </c>
      <c r="L816" s="13">
        <f>VLOOKUP($A816,Table1[],25,TRUE)</f>
        <v>1</v>
      </c>
    </row>
    <row r="817" spans="1:12" x14ac:dyDescent="0.25">
      <c r="A817" t="s">
        <v>1709</v>
      </c>
      <c r="B817" s="18" t="str">
        <f>VLOOKUP(A817,Table1[],3,TRUE)</f>
        <v>Robin Hinton</v>
      </c>
      <c r="C817" s="18" t="str">
        <f>VLOOKUP($A817,Table1[],5,TRUE)</f>
        <v>Female</v>
      </c>
      <c r="D817" s="3" t="str">
        <f>VLOOKUP($A817,Table1[],7,TRUE)</f>
        <v>38</v>
      </c>
      <c r="E817" s="3" t="str">
        <f>VLOOKUP($A817,Table1[],8,TRUE)</f>
        <v>United Kingdom</v>
      </c>
      <c r="F817" s="3" t="str">
        <f>VLOOKUP($A817,Table1[],9,TRUE)</f>
        <v>English</v>
      </c>
      <c r="G817" s="3" t="str">
        <f>VLOOKUP($A817,Table1[],10,TRUE)</f>
        <v>UI/UX Design</v>
      </c>
      <c r="H817" s="13" t="str">
        <f>VLOOKUP($A817,Table1[],12,TRUE)</f>
        <v>10</v>
      </c>
      <c r="I817" s="20">
        <v>40</v>
      </c>
      <c r="J817" s="15">
        <f>VLOOKUP($A817,Table1[],18,TRUE)</f>
        <v>2.6</v>
      </c>
      <c r="K817" s="12" t="str">
        <f>VLOOKUP($A817,Table1[],22,TRUE)</f>
        <v>FALSE</v>
      </c>
      <c r="L817" s="13">
        <f>VLOOKUP($A817,Table1[],25,TRUE)</f>
        <v>0.66</v>
      </c>
    </row>
    <row r="818" spans="1:12" x14ac:dyDescent="0.25">
      <c r="A818" t="s">
        <v>1711</v>
      </c>
      <c r="B818" s="18" t="str">
        <f>VLOOKUP(A818,Table1[],3,TRUE)</f>
        <v>Brian Holland</v>
      </c>
      <c r="C818" s="18" t="str">
        <f>VLOOKUP($A818,Table1[],5,TRUE)</f>
        <v>Male</v>
      </c>
      <c r="D818" s="3" t="str">
        <f>VLOOKUP($A818,Table1[],7,TRUE)</f>
        <v>44</v>
      </c>
      <c r="E818" s="3" t="str">
        <f>VLOOKUP($A818,Table1[],8,TRUE)</f>
        <v>Argentina</v>
      </c>
      <c r="F818" s="3" t="str">
        <f>VLOOKUP($A818,Table1[],9,TRUE)</f>
        <v>Spanish</v>
      </c>
      <c r="G818" s="3" t="str">
        <f>VLOOKUP($A818,Table1[],10,TRUE)</f>
        <v>Graphic Design</v>
      </c>
      <c r="H818" s="13" t="str">
        <f>VLOOKUP($A818,Table1[],12,TRUE)</f>
        <v>24</v>
      </c>
      <c r="I818" s="20">
        <v>75</v>
      </c>
      <c r="J818" s="15">
        <f>VLOOKUP($A818,Table1[],18,TRUE)</f>
        <v>4.5999999999999996</v>
      </c>
      <c r="K818" s="12" t="str">
        <f>VLOOKUP($A818,Table1[],22,TRUE)</f>
        <v>FALSE</v>
      </c>
      <c r="L818" s="13">
        <f>VLOOKUP($A818,Table1[],25,TRUE)</f>
        <v>0.97</v>
      </c>
    </row>
    <row r="819" spans="1:12" x14ac:dyDescent="0.25">
      <c r="A819" t="s">
        <v>1713</v>
      </c>
      <c r="B819" s="18" t="str">
        <f>VLOOKUP(A819,Table1[],3,TRUE)</f>
        <v>Adam Stone</v>
      </c>
      <c r="C819" s="18" t="str">
        <f>VLOOKUP($A819,Table1[],5,TRUE)</f>
        <v>Male</v>
      </c>
      <c r="D819" s="3" t="str">
        <f>VLOOKUP($A819,Table1[],7,TRUE)</f>
        <v>53</v>
      </c>
      <c r="E819" s="3" t="str">
        <f>VLOOKUP($A819,Table1[],8,TRUE)</f>
        <v>Indonesia</v>
      </c>
      <c r="F819" s="3" t="str">
        <f>VLOOKUP($A819,Table1[],9,TRUE)</f>
        <v>Indonesian</v>
      </c>
      <c r="G819" s="3" t="str">
        <f>VLOOKUP($A819,Table1[],10,TRUE)</f>
        <v>Machine Learning</v>
      </c>
      <c r="H819" s="13" t="str">
        <f>VLOOKUP($A819,Table1[],12,TRUE)</f>
        <v>21</v>
      </c>
      <c r="I819" s="20">
        <v>100</v>
      </c>
      <c r="J819" s="15">
        <f>VLOOKUP($A819,Table1[],18,TRUE)</f>
        <v>3.4</v>
      </c>
      <c r="K819" s="12" t="str">
        <f>VLOOKUP($A819,Table1[],22,TRUE)</f>
        <v>FALSE</v>
      </c>
      <c r="L819" s="13">
        <f>VLOOKUP($A819,Table1[],25,TRUE)</f>
        <v>0.62</v>
      </c>
    </row>
    <row r="820" spans="1:12" x14ac:dyDescent="0.25">
      <c r="A820" t="s">
        <v>1715</v>
      </c>
      <c r="B820" s="18" t="str">
        <f>VLOOKUP(A820,Table1[],3,TRUE)</f>
        <v>Curtis Lambert</v>
      </c>
      <c r="C820" s="18" t="str">
        <f>VLOOKUP($A820,Table1[],5,TRUE)</f>
        <v>Male</v>
      </c>
      <c r="D820" s="3" t="str">
        <f>VLOOKUP($A820,Table1[],7,TRUE)</f>
        <v>22</v>
      </c>
      <c r="E820" s="3" t="str">
        <f>VLOOKUP($A820,Table1[],8,TRUE)</f>
        <v>China</v>
      </c>
      <c r="F820" s="3" t="str">
        <f>VLOOKUP($A820,Table1[],9,TRUE)</f>
        <v>Mandarin</v>
      </c>
      <c r="G820" s="3" t="str">
        <f>VLOOKUP($A820,Table1[],10,TRUE)</f>
        <v>Data Analysis</v>
      </c>
      <c r="H820" s="13" t="str">
        <f>VLOOKUP($A820,Table1[],12,TRUE)</f>
        <v>2</v>
      </c>
      <c r="I820" s="20">
        <v>20</v>
      </c>
      <c r="J820" s="15">
        <f>VLOOKUP($A820,Table1[],18,TRUE)</f>
        <v>2.6</v>
      </c>
      <c r="K820" s="12" t="str">
        <f>VLOOKUP($A820,Table1[],22,TRUE)</f>
        <v>FALSE</v>
      </c>
      <c r="L820" s="13">
        <f>VLOOKUP($A820,Table1[],25,TRUE)</f>
        <v>0.75</v>
      </c>
    </row>
    <row r="821" spans="1:12" x14ac:dyDescent="0.25">
      <c r="A821" t="s">
        <v>1717</v>
      </c>
      <c r="B821" s="18" t="str">
        <f>VLOOKUP(A821,Table1[],3,TRUE)</f>
        <v>Alexandra Sims</v>
      </c>
      <c r="C821" s="18" t="str">
        <f>VLOOKUP($A821,Table1[],5,TRUE)</f>
        <v>Female</v>
      </c>
      <c r="D821" s="3" t="str">
        <f>VLOOKUP($A821,Table1[],7,TRUE)</f>
        <v>40</v>
      </c>
      <c r="E821" s="3" t="str">
        <f>VLOOKUP($A821,Table1[],8,TRUE)</f>
        <v>India</v>
      </c>
      <c r="F821" s="3" t="str">
        <f>VLOOKUP($A821,Table1[],9,TRUE)</f>
        <v>Hindi</v>
      </c>
      <c r="G821" s="3" t="str">
        <f>VLOOKUP($A821,Table1[],10,TRUE)</f>
        <v>Blockchain Development</v>
      </c>
      <c r="H821" s="13" t="str">
        <f>VLOOKUP($A821,Table1[],12,TRUE)</f>
        <v>14</v>
      </c>
      <c r="I821" s="20">
        <v>75</v>
      </c>
      <c r="J821" s="15">
        <f>VLOOKUP($A821,Table1[],18,TRUE)</f>
        <v>0</v>
      </c>
      <c r="K821" s="12" t="str">
        <f>VLOOKUP($A821,Table1[],22,TRUE)</f>
        <v>TRUE</v>
      </c>
      <c r="L821" s="13">
        <f>VLOOKUP($A821,Table1[],25,TRUE)</f>
        <v>0.79</v>
      </c>
    </row>
    <row r="822" spans="1:12" x14ac:dyDescent="0.25">
      <c r="A822" t="s">
        <v>1719</v>
      </c>
      <c r="B822" s="18" t="str">
        <f>VLOOKUP(A822,Table1[],3,TRUE)</f>
        <v>Brenda Spencer</v>
      </c>
      <c r="C822" s="18" t="str">
        <f>VLOOKUP($A822,Table1[],5,TRUE)</f>
        <v>Female</v>
      </c>
      <c r="D822" s="3" t="str">
        <f>VLOOKUP($A822,Table1[],7,TRUE)</f>
        <v>49</v>
      </c>
      <c r="E822" s="3" t="str">
        <f>VLOOKUP($A822,Table1[],8,TRUE)</f>
        <v>China</v>
      </c>
      <c r="F822" s="3" t="str">
        <f>VLOOKUP($A822,Table1[],9,TRUE)</f>
        <v>Mandarin</v>
      </c>
      <c r="G822" s="3" t="str">
        <f>VLOOKUP($A822,Table1[],10,TRUE)</f>
        <v>Mobile Apps</v>
      </c>
      <c r="H822" s="13" t="str">
        <f>VLOOKUP($A822,Table1[],12,TRUE)</f>
        <v>15</v>
      </c>
      <c r="I822" s="20">
        <v>40</v>
      </c>
      <c r="J822" s="15">
        <f>VLOOKUP($A822,Table1[],18,TRUE)</f>
        <v>3.9</v>
      </c>
      <c r="K822" s="12" t="str">
        <f>VLOOKUP($A822,Table1[],22,TRUE)</f>
        <v>TRUE</v>
      </c>
      <c r="L822" s="13">
        <f>VLOOKUP($A822,Table1[],25,TRUE)</f>
        <v>0.86</v>
      </c>
    </row>
    <row r="823" spans="1:12" x14ac:dyDescent="0.25">
      <c r="A823" t="s">
        <v>1721</v>
      </c>
      <c r="B823" s="18" t="str">
        <f>VLOOKUP(A823,Table1[],3,TRUE)</f>
        <v>Joshua Bush</v>
      </c>
      <c r="C823" s="18" t="str">
        <f>VLOOKUP($A823,Table1[],5,TRUE)</f>
        <v>Male</v>
      </c>
      <c r="D823" s="3" t="str">
        <f>VLOOKUP($A823,Table1[],7,TRUE)</f>
        <v>30</v>
      </c>
      <c r="E823" s="3" t="str">
        <f>VLOOKUP($A823,Table1[],8,TRUE)</f>
        <v>Australia</v>
      </c>
      <c r="F823" s="3" t="str">
        <f>VLOOKUP($A823,Table1[],9,TRUE)</f>
        <v>English</v>
      </c>
      <c r="G823" s="3" t="str">
        <f>VLOOKUP($A823,Table1[],10,TRUE)</f>
        <v>UI/UX Design</v>
      </c>
      <c r="H823" s="13" t="str">
        <f>VLOOKUP($A823,Table1[],12,TRUE)</f>
        <v>11</v>
      </c>
      <c r="I823" s="20">
        <v>30</v>
      </c>
      <c r="J823" s="15">
        <f>VLOOKUP($A823,Table1[],18,TRUE)</f>
        <v>4.2</v>
      </c>
      <c r="K823" s="12" t="str">
        <f>VLOOKUP($A823,Table1[],22,TRUE)</f>
        <v>FALSE</v>
      </c>
      <c r="L823" s="13">
        <f>VLOOKUP($A823,Table1[],25,TRUE)</f>
        <v>0.65</v>
      </c>
    </row>
    <row r="824" spans="1:12" x14ac:dyDescent="0.25">
      <c r="A824" t="s">
        <v>1723</v>
      </c>
      <c r="B824" s="18" t="str">
        <f>VLOOKUP(A824,Table1[],3,TRUE)</f>
        <v>Erin Martin</v>
      </c>
      <c r="C824" s="18" t="str">
        <f>VLOOKUP($A824,Table1[],5,TRUE)</f>
        <v>Female</v>
      </c>
      <c r="D824" s="3" t="str">
        <f>VLOOKUP($A824,Table1[],7,TRUE)</f>
        <v>37</v>
      </c>
      <c r="E824" s="3" t="str">
        <f>VLOOKUP($A824,Table1[],8,TRUE)</f>
        <v>Japan</v>
      </c>
      <c r="F824" s="3" t="str">
        <f>VLOOKUP($A824,Table1[],9,TRUE)</f>
        <v>Japanese</v>
      </c>
      <c r="G824" s="3" t="str">
        <f>VLOOKUP($A824,Table1[],10,TRUE)</f>
        <v>AI</v>
      </c>
      <c r="H824" s="13" t="str">
        <f>VLOOKUP($A824,Table1[],12,TRUE)</f>
        <v>6</v>
      </c>
      <c r="I824" s="20">
        <v>20</v>
      </c>
      <c r="J824" s="15">
        <f>VLOOKUP($A824,Table1[],18,TRUE)</f>
        <v>2.6</v>
      </c>
      <c r="K824" s="12" t="str">
        <f>VLOOKUP($A824,Table1[],22,TRUE)</f>
        <v>TRUE</v>
      </c>
      <c r="L824" s="13">
        <f>VLOOKUP($A824,Table1[],25,TRUE)</f>
        <v>0.99</v>
      </c>
    </row>
    <row r="825" spans="1:12" x14ac:dyDescent="0.25">
      <c r="A825" t="s">
        <v>1725</v>
      </c>
      <c r="B825" s="18" t="str">
        <f>VLOOKUP(A825,Table1[],3,TRUE)</f>
        <v>Alexander Hogan</v>
      </c>
      <c r="C825" s="18" t="str">
        <f>VLOOKUP($A825,Table1[],5,TRUE)</f>
        <v>Male</v>
      </c>
      <c r="D825" s="3" t="str">
        <f>VLOOKUP($A825,Table1[],7,TRUE)</f>
        <v>21</v>
      </c>
      <c r="E825" s="3" t="str">
        <f>VLOOKUP($A825,Table1[],8,TRUE)</f>
        <v>Egypt</v>
      </c>
      <c r="F825" s="3" t="str">
        <f>VLOOKUP($A825,Table1[],9,TRUE)</f>
        <v>Arabic</v>
      </c>
      <c r="G825" s="3" t="str">
        <f>VLOOKUP($A825,Table1[],10,TRUE)</f>
        <v>Graphic Design</v>
      </c>
      <c r="H825" s="13" t="str">
        <f>VLOOKUP($A825,Table1[],12,TRUE)</f>
        <v>2</v>
      </c>
      <c r="I825" s="20">
        <v>100</v>
      </c>
      <c r="J825" s="15">
        <f>VLOOKUP($A825,Table1[],18,TRUE)</f>
        <v>3.6</v>
      </c>
      <c r="K825" s="12" t="str">
        <f>VLOOKUP($A825,Table1[],22,TRUE)</f>
        <v>TRUE</v>
      </c>
      <c r="L825" s="13">
        <f>VLOOKUP($A825,Table1[],25,TRUE)</f>
        <v>0.85</v>
      </c>
    </row>
    <row r="826" spans="1:12" x14ac:dyDescent="0.25">
      <c r="A826" t="s">
        <v>1727</v>
      </c>
      <c r="B826" s="18" t="str">
        <f>VLOOKUP(A826,Table1[],3,TRUE)</f>
        <v>William Harris</v>
      </c>
      <c r="C826" s="18" t="str">
        <f>VLOOKUP($A826,Table1[],5,TRUE)</f>
        <v>Male</v>
      </c>
      <c r="D826" s="3" t="str">
        <f>VLOOKUP($A826,Table1[],7,TRUE)</f>
        <v>20</v>
      </c>
      <c r="E826" s="3" t="str">
        <f>VLOOKUP($A826,Table1[],8,TRUE)</f>
        <v>South Korea</v>
      </c>
      <c r="F826" s="3" t="str">
        <f>VLOOKUP($A826,Table1[],9,TRUE)</f>
        <v>Korean</v>
      </c>
      <c r="G826" s="3" t="str">
        <f>VLOOKUP($A826,Table1[],10,TRUE)</f>
        <v>AI</v>
      </c>
      <c r="H826" s="13" t="str">
        <f>VLOOKUP($A826,Table1[],12,TRUE)</f>
        <v>1</v>
      </c>
      <c r="I826" s="20">
        <v>50</v>
      </c>
      <c r="J826" s="15">
        <f>VLOOKUP($A826,Table1[],18,TRUE)</f>
        <v>2.6</v>
      </c>
      <c r="K826" s="12" t="str">
        <f>VLOOKUP($A826,Table1[],22,TRUE)</f>
        <v>TRUE</v>
      </c>
      <c r="L826" s="13">
        <f>VLOOKUP($A826,Table1[],25,TRUE)</f>
        <v>0.81</v>
      </c>
    </row>
    <row r="827" spans="1:12" x14ac:dyDescent="0.25">
      <c r="A827" t="s">
        <v>1729</v>
      </c>
      <c r="B827" s="18" t="str">
        <f>VLOOKUP(A827,Table1[],3,TRUE)</f>
        <v>Michael Mcmahon</v>
      </c>
      <c r="C827" s="18" t="str">
        <f>VLOOKUP($A827,Table1[],5,TRUE)</f>
        <v>Male</v>
      </c>
      <c r="D827" s="3" t="str">
        <f>VLOOKUP($A827,Table1[],7,TRUE)</f>
        <v>20</v>
      </c>
      <c r="E827" s="3" t="str">
        <f>VLOOKUP($A827,Table1[],8,TRUE)</f>
        <v>China</v>
      </c>
      <c r="F827" s="3" t="str">
        <f>VLOOKUP($A827,Table1[],9,TRUE)</f>
        <v>Mandarin</v>
      </c>
      <c r="G827" s="3" t="str">
        <f>VLOOKUP($A827,Table1[],10,TRUE)</f>
        <v>Data Analysis</v>
      </c>
      <c r="H827" s="13" t="str">
        <f>VLOOKUP($A827,Table1[],12,TRUE)</f>
        <v>2</v>
      </c>
      <c r="I827" s="20">
        <v>40</v>
      </c>
      <c r="J827" s="15">
        <f>VLOOKUP($A827,Table1[],18,TRUE)</f>
        <v>2.1</v>
      </c>
      <c r="K827" s="12" t="str">
        <f>VLOOKUP($A827,Table1[],22,TRUE)</f>
        <v>FALSE</v>
      </c>
      <c r="L827" s="13">
        <f>VLOOKUP($A827,Table1[],25,TRUE)</f>
        <v>0.64</v>
      </c>
    </row>
    <row r="828" spans="1:12" x14ac:dyDescent="0.25">
      <c r="A828" t="s">
        <v>1731</v>
      </c>
      <c r="B828" s="18" t="str">
        <f>VLOOKUP(A828,Table1[],3,TRUE)</f>
        <v>Michael Watson</v>
      </c>
      <c r="C828" s="18" t="str">
        <f>VLOOKUP($A828,Table1[],5,TRUE)</f>
        <v>Male</v>
      </c>
      <c r="D828" s="3" t="str">
        <f>VLOOKUP($A828,Table1[],7,TRUE)</f>
        <v>20</v>
      </c>
      <c r="E828" s="3" t="str">
        <f>VLOOKUP($A828,Table1[],8,TRUE)</f>
        <v>Argentina</v>
      </c>
      <c r="F828" s="3" t="str">
        <f>VLOOKUP($A828,Table1[],9,TRUE)</f>
        <v>Spanish</v>
      </c>
      <c r="G828" s="3" t="str">
        <f>VLOOKUP($A828,Table1[],10,TRUE)</f>
        <v>Machine Learning</v>
      </c>
      <c r="H828" s="13" t="str">
        <f>VLOOKUP($A828,Table1[],12,TRUE)</f>
        <v>2</v>
      </c>
      <c r="I828" s="20">
        <v>20</v>
      </c>
      <c r="J828" s="15">
        <f>VLOOKUP($A828,Table1[],18,TRUE)</f>
        <v>3.9</v>
      </c>
      <c r="K828" s="12" t="str">
        <f>VLOOKUP($A828,Table1[],22,TRUE)</f>
        <v>TRUE</v>
      </c>
      <c r="L828" s="13">
        <f>VLOOKUP($A828,Table1[],25,TRUE)</f>
        <v>0.84</v>
      </c>
    </row>
    <row r="829" spans="1:12" x14ac:dyDescent="0.25">
      <c r="A829" t="s">
        <v>1733</v>
      </c>
      <c r="B829" s="18" t="str">
        <f>VLOOKUP(A829,Table1[],3,TRUE)</f>
        <v>Lori Perez</v>
      </c>
      <c r="C829" s="18" t="str">
        <f>VLOOKUP($A829,Table1[],5,TRUE)</f>
        <v>Female</v>
      </c>
      <c r="D829" s="3" t="str">
        <f>VLOOKUP($A829,Table1[],7,TRUE)</f>
        <v>26</v>
      </c>
      <c r="E829" s="3" t="str">
        <f>VLOOKUP($A829,Table1[],8,TRUE)</f>
        <v>Russia</v>
      </c>
      <c r="F829" s="3" t="str">
        <f>VLOOKUP($A829,Table1[],9,TRUE)</f>
        <v>Russian</v>
      </c>
      <c r="G829" s="3" t="str">
        <f>VLOOKUP($A829,Table1[],10,TRUE)</f>
        <v>Machine Learning</v>
      </c>
      <c r="H829" s="13" t="str">
        <f>VLOOKUP($A829,Table1[],12,TRUE)</f>
        <v>2</v>
      </c>
      <c r="I829" s="20">
        <v>40</v>
      </c>
      <c r="J829" s="15">
        <f>VLOOKUP($A829,Table1[],18,TRUE)</f>
        <v>0</v>
      </c>
      <c r="K829" s="12" t="str">
        <f>VLOOKUP($A829,Table1[],22,TRUE)</f>
        <v>TRUE</v>
      </c>
      <c r="L829" s="13">
        <f>VLOOKUP($A829,Table1[],25,TRUE)</f>
        <v>0.66</v>
      </c>
    </row>
    <row r="830" spans="1:12" x14ac:dyDescent="0.25">
      <c r="A830" t="s">
        <v>1735</v>
      </c>
      <c r="B830" s="18" t="str">
        <f>VLOOKUP(A830,Table1[],3,TRUE)</f>
        <v>Lindsay Le</v>
      </c>
      <c r="C830" s="18" t="str">
        <f>VLOOKUP($A830,Table1[],5,TRUE)</f>
        <v>Female</v>
      </c>
      <c r="D830" s="3" t="str">
        <f>VLOOKUP($A830,Table1[],7,TRUE)</f>
        <v>50</v>
      </c>
      <c r="E830" s="3" t="str">
        <f>VLOOKUP($A830,Table1[],8,TRUE)</f>
        <v>South Korea</v>
      </c>
      <c r="F830" s="3" t="str">
        <f>VLOOKUP($A830,Table1[],9,TRUE)</f>
        <v>Korean</v>
      </c>
      <c r="G830" s="3" t="str">
        <f>VLOOKUP($A830,Table1[],10,TRUE)</f>
        <v>Web Development</v>
      </c>
      <c r="H830" s="13" t="str">
        <f>VLOOKUP($A830,Table1[],12,TRUE)</f>
        <v>12</v>
      </c>
      <c r="I830" s="20">
        <v>75</v>
      </c>
      <c r="J830" s="15">
        <f>VLOOKUP($A830,Table1[],18,TRUE)</f>
        <v>0</v>
      </c>
      <c r="K830" s="12" t="str">
        <f>VLOOKUP($A830,Table1[],22,TRUE)</f>
        <v>TRUE</v>
      </c>
      <c r="L830" s="13">
        <f>VLOOKUP($A830,Table1[],25,TRUE)</f>
        <v>0.75</v>
      </c>
    </row>
    <row r="831" spans="1:12" x14ac:dyDescent="0.25">
      <c r="A831" t="s">
        <v>1737</v>
      </c>
      <c r="B831" s="18" t="str">
        <f>VLOOKUP(A831,Table1[],3,TRUE)</f>
        <v>Scott Long</v>
      </c>
      <c r="C831" s="18" t="str">
        <f>VLOOKUP($A831,Table1[],5,TRUE)</f>
        <v>Male</v>
      </c>
      <c r="D831" s="3" t="str">
        <f>VLOOKUP($A831,Table1[],7,TRUE)</f>
        <v>50</v>
      </c>
      <c r="E831" s="3" t="str">
        <f>VLOOKUP($A831,Table1[],8,TRUE)</f>
        <v>Spain</v>
      </c>
      <c r="F831" s="3" t="str">
        <f>VLOOKUP($A831,Table1[],9,TRUE)</f>
        <v>Spanish</v>
      </c>
      <c r="G831" s="3" t="str">
        <f>VLOOKUP($A831,Table1[],10,TRUE)</f>
        <v>AI</v>
      </c>
      <c r="H831" s="13" t="str">
        <f>VLOOKUP($A831,Table1[],12,TRUE)</f>
        <v>28</v>
      </c>
      <c r="I831" s="20">
        <v>30</v>
      </c>
      <c r="J831" s="15">
        <f>VLOOKUP($A831,Table1[],18,TRUE)</f>
        <v>1.8</v>
      </c>
      <c r="K831" s="12" t="str">
        <f>VLOOKUP($A831,Table1[],22,TRUE)</f>
        <v>TRUE</v>
      </c>
      <c r="L831" s="13">
        <f>VLOOKUP($A831,Table1[],25,TRUE)</f>
        <v>0.75</v>
      </c>
    </row>
    <row r="832" spans="1:12" x14ac:dyDescent="0.25">
      <c r="A832" t="s">
        <v>1739</v>
      </c>
      <c r="B832" s="18" t="str">
        <f>VLOOKUP(A832,Table1[],3,TRUE)</f>
        <v>Diana Ferguson</v>
      </c>
      <c r="C832" s="18" t="str">
        <f>VLOOKUP($A832,Table1[],5,TRUE)</f>
        <v>Female</v>
      </c>
      <c r="D832" s="3" t="str">
        <f>VLOOKUP($A832,Table1[],7,TRUE)</f>
        <v>54</v>
      </c>
      <c r="E832" s="3" t="str">
        <f>VLOOKUP($A832,Table1[],8,TRUE)</f>
        <v>Indonesia</v>
      </c>
      <c r="F832" s="3" t="str">
        <f>VLOOKUP($A832,Table1[],9,TRUE)</f>
        <v>Indonesian</v>
      </c>
      <c r="G832" s="3" t="str">
        <f>VLOOKUP($A832,Table1[],10,TRUE)</f>
        <v>AI</v>
      </c>
      <c r="H832" s="13" t="str">
        <f>VLOOKUP($A832,Table1[],12,TRUE)</f>
        <v>4</v>
      </c>
      <c r="I832" s="20">
        <v>20</v>
      </c>
      <c r="J832" s="15">
        <f>VLOOKUP($A832,Table1[],18,TRUE)</f>
        <v>1.1000000000000001</v>
      </c>
      <c r="K832" s="12" t="str">
        <f>VLOOKUP($A832,Table1[],22,TRUE)</f>
        <v>TRUE</v>
      </c>
      <c r="L832" s="13">
        <f>VLOOKUP($A832,Table1[],25,TRUE)</f>
        <v>0.63</v>
      </c>
    </row>
    <row r="833" spans="1:12" x14ac:dyDescent="0.25">
      <c r="A833" t="s">
        <v>1741</v>
      </c>
      <c r="B833" s="18" t="str">
        <f>VLOOKUP(A833,Table1[],3,TRUE)</f>
        <v>Joseph Miller</v>
      </c>
      <c r="C833" s="18" t="str">
        <f>VLOOKUP($A833,Table1[],5,TRUE)</f>
        <v>Male</v>
      </c>
      <c r="D833" s="3" t="str">
        <f>VLOOKUP($A833,Table1[],7,TRUE)</f>
        <v>54</v>
      </c>
      <c r="E833" s="3" t="str">
        <f>VLOOKUP($A833,Table1[],8,TRUE)</f>
        <v>Spain</v>
      </c>
      <c r="F833" s="3" t="str">
        <f>VLOOKUP($A833,Table1[],9,TRUE)</f>
        <v>Spanish</v>
      </c>
      <c r="G833" s="3" t="str">
        <f>VLOOKUP($A833,Table1[],10,TRUE)</f>
        <v>Blockchain Development</v>
      </c>
      <c r="H833" s="13" t="str">
        <f>VLOOKUP($A833,Table1[],12,TRUE)</f>
        <v>3</v>
      </c>
      <c r="I833" s="20">
        <v>20</v>
      </c>
      <c r="J833" s="15">
        <f>VLOOKUP($A833,Table1[],18,TRUE)</f>
        <v>1.6</v>
      </c>
      <c r="K833" s="12" t="str">
        <f>VLOOKUP($A833,Table1[],22,TRUE)</f>
        <v>TRUE</v>
      </c>
      <c r="L833" s="13">
        <f>VLOOKUP($A833,Table1[],25,TRUE)</f>
        <v>0.7</v>
      </c>
    </row>
    <row r="834" spans="1:12" x14ac:dyDescent="0.25">
      <c r="A834" t="s">
        <v>1743</v>
      </c>
      <c r="B834" s="18" t="str">
        <f>VLOOKUP(A834,Table1[],3,TRUE)</f>
        <v>Julia Reid</v>
      </c>
      <c r="C834" s="18" t="str">
        <f>VLOOKUP($A834,Table1[],5,TRUE)</f>
        <v>Female</v>
      </c>
      <c r="D834" s="3" t="str">
        <f>VLOOKUP($A834,Table1[],7,TRUE)</f>
        <v>34</v>
      </c>
      <c r="E834" s="3" t="str">
        <f>VLOOKUP($A834,Table1[],8,TRUE)</f>
        <v>Egypt</v>
      </c>
      <c r="F834" s="3" t="str">
        <f>VLOOKUP($A834,Table1[],9,TRUE)</f>
        <v>Arabic</v>
      </c>
      <c r="G834" s="3" t="str">
        <f>VLOOKUP($A834,Table1[],10,TRUE)</f>
        <v>Machine Learning</v>
      </c>
      <c r="H834" s="13" t="str">
        <f>VLOOKUP($A834,Table1[],12,TRUE)</f>
        <v>4</v>
      </c>
      <c r="I834" s="20">
        <v>30</v>
      </c>
      <c r="J834" s="15">
        <f>VLOOKUP($A834,Table1[],18,TRUE)</f>
        <v>3.1</v>
      </c>
      <c r="K834" s="12" t="str">
        <f>VLOOKUP($A834,Table1[],22,TRUE)</f>
        <v>TRUE</v>
      </c>
      <c r="L834" s="13">
        <f>VLOOKUP($A834,Table1[],25,TRUE)</f>
        <v>0.9</v>
      </c>
    </row>
    <row r="835" spans="1:12" x14ac:dyDescent="0.25">
      <c r="A835" t="s">
        <v>1745</v>
      </c>
      <c r="B835" s="18" t="str">
        <f>VLOOKUP(A835,Table1[],3,TRUE)</f>
        <v>Samantha Matthews</v>
      </c>
      <c r="C835" s="18" t="str">
        <f>VLOOKUP($A835,Table1[],5,TRUE)</f>
        <v>Female</v>
      </c>
      <c r="D835" s="3" t="str">
        <f>VLOOKUP($A835,Table1[],7,TRUE)</f>
        <v>20</v>
      </c>
      <c r="E835" s="3" t="str">
        <f>VLOOKUP($A835,Table1[],8,TRUE)</f>
        <v>Italy</v>
      </c>
      <c r="F835" s="3" t="str">
        <f>VLOOKUP($A835,Table1[],9,TRUE)</f>
        <v>Italian</v>
      </c>
      <c r="G835" s="3" t="str">
        <f>VLOOKUP($A835,Table1[],10,TRUE)</f>
        <v>DevOps</v>
      </c>
      <c r="H835" s="13" t="str">
        <f>VLOOKUP($A835,Table1[],12,TRUE)</f>
        <v>1</v>
      </c>
      <c r="I835" s="20">
        <v>50</v>
      </c>
      <c r="J835" s="15">
        <f>VLOOKUP($A835,Table1[],18,TRUE)</f>
        <v>3.4</v>
      </c>
      <c r="K835" s="12" t="str">
        <f>VLOOKUP($A835,Table1[],22,TRUE)</f>
        <v>TRUE</v>
      </c>
      <c r="L835" s="13">
        <f>VLOOKUP($A835,Table1[],25,TRUE)</f>
        <v>0.79</v>
      </c>
    </row>
    <row r="836" spans="1:12" x14ac:dyDescent="0.25">
      <c r="A836" t="s">
        <v>1747</v>
      </c>
      <c r="B836" s="18" t="str">
        <f>VLOOKUP(A836,Table1[],3,TRUE)</f>
        <v>Brian Bailey</v>
      </c>
      <c r="C836" s="18" t="str">
        <f>VLOOKUP($A836,Table1[],5,TRUE)</f>
        <v>Male</v>
      </c>
      <c r="D836" s="3" t="str">
        <f>VLOOKUP($A836,Table1[],7,TRUE)</f>
        <v>29</v>
      </c>
      <c r="E836" s="3" t="str">
        <f>VLOOKUP($A836,Table1[],8,TRUE)</f>
        <v>Germany</v>
      </c>
      <c r="F836" s="3" t="str">
        <f>VLOOKUP($A836,Table1[],9,TRUE)</f>
        <v>German</v>
      </c>
      <c r="G836" s="3" t="str">
        <f>VLOOKUP($A836,Table1[],10,TRUE)</f>
        <v>AI</v>
      </c>
      <c r="H836" s="13" t="str">
        <f>VLOOKUP($A836,Table1[],12,TRUE)</f>
        <v>8</v>
      </c>
      <c r="I836" s="20">
        <v>40</v>
      </c>
      <c r="J836" s="15">
        <f>VLOOKUP($A836,Table1[],18,TRUE)</f>
        <v>3.1</v>
      </c>
      <c r="K836" s="12" t="str">
        <f>VLOOKUP($A836,Table1[],22,TRUE)</f>
        <v>FALSE</v>
      </c>
      <c r="L836" s="13">
        <f>VLOOKUP($A836,Table1[],25,TRUE)</f>
        <v>0.6</v>
      </c>
    </row>
    <row r="837" spans="1:12" x14ac:dyDescent="0.25">
      <c r="A837" t="s">
        <v>1749</v>
      </c>
      <c r="B837" s="18" t="str">
        <f>VLOOKUP(A837,Table1[],3,TRUE)</f>
        <v>Toni Hinton</v>
      </c>
      <c r="C837" s="18" t="str">
        <f>VLOOKUP($A837,Table1[],5,TRUE)</f>
        <v>Female</v>
      </c>
      <c r="D837" s="3" t="str">
        <f>VLOOKUP($A837,Table1[],7,TRUE)</f>
        <v>57</v>
      </c>
      <c r="E837" s="3" t="str">
        <f>VLOOKUP($A837,Table1[],8,TRUE)</f>
        <v>United Kingdom</v>
      </c>
      <c r="F837" s="3" t="str">
        <f>VLOOKUP($A837,Table1[],9,TRUE)</f>
        <v>English</v>
      </c>
      <c r="G837" s="3" t="str">
        <f>VLOOKUP($A837,Table1[],10,TRUE)</f>
        <v>DevOps</v>
      </c>
      <c r="H837" s="13" t="str">
        <f>VLOOKUP($A837,Table1[],12,TRUE)</f>
        <v>11</v>
      </c>
      <c r="I837" s="20">
        <v>75</v>
      </c>
      <c r="J837" s="15">
        <f>VLOOKUP($A837,Table1[],18,TRUE)</f>
        <v>2.2999999999999998</v>
      </c>
      <c r="K837" s="12" t="str">
        <f>VLOOKUP($A837,Table1[],22,TRUE)</f>
        <v>FALSE</v>
      </c>
      <c r="L837" s="13">
        <f>VLOOKUP($A837,Table1[],25,TRUE)</f>
        <v>0.75</v>
      </c>
    </row>
    <row r="838" spans="1:12" x14ac:dyDescent="0.25">
      <c r="A838" t="s">
        <v>1751</v>
      </c>
      <c r="B838" s="18" t="str">
        <f>VLOOKUP(A838,Table1[],3,TRUE)</f>
        <v>Robin Ortiz</v>
      </c>
      <c r="C838" s="18" t="str">
        <f>VLOOKUP($A838,Table1[],5,TRUE)</f>
        <v>Female</v>
      </c>
      <c r="D838" s="3" t="str">
        <f>VLOOKUP($A838,Table1[],7,TRUE)</f>
        <v>36</v>
      </c>
      <c r="E838" s="3" t="str">
        <f>VLOOKUP($A838,Table1[],8,TRUE)</f>
        <v>Netherlands</v>
      </c>
      <c r="F838" s="3" t="str">
        <f>VLOOKUP($A838,Table1[],9,TRUE)</f>
        <v>Dutch</v>
      </c>
      <c r="G838" s="3" t="str">
        <f>VLOOKUP($A838,Table1[],10,TRUE)</f>
        <v>AI</v>
      </c>
      <c r="H838" s="13" t="str">
        <f>VLOOKUP($A838,Table1[],12,TRUE)</f>
        <v>8</v>
      </c>
      <c r="I838" s="20">
        <v>40</v>
      </c>
      <c r="J838" s="15">
        <f>VLOOKUP($A838,Table1[],18,TRUE)</f>
        <v>2.6</v>
      </c>
      <c r="K838" s="12" t="str">
        <f>VLOOKUP($A838,Table1[],22,TRUE)</f>
        <v>FALSE</v>
      </c>
      <c r="L838" s="13">
        <f>VLOOKUP($A838,Table1[],25,TRUE)</f>
        <v>0.8</v>
      </c>
    </row>
    <row r="839" spans="1:12" x14ac:dyDescent="0.25">
      <c r="A839" t="s">
        <v>1753</v>
      </c>
      <c r="B839" s="18" t="str">
        <f>VLOOKUP(A839,Table1[],3,TRUE)</f>
        <v>Adam Griffith</v>
      </c>
      <c r="C839" s="18" t="str">
        <f>VLOOKUP($A839,Table1[],5,TRUE)</f>
        <v>Male</v>
      </c>
      <c r="D839" s="3" t="str">
        <f>VLOOKUP($A839,Table1[],7,TRUE)</f>
        <v>51</v>
      </c>
      <c r="E839" s="3" t="str">
        <f>VLOOKUP($A839,Table1[],8,TRUE)</f>
        <v>South Korea</v>
      </c>
      <c r="F839" s="3" t="str">
        <f>VLOOKUP($A839,Table1[],9,TRUE)</f>
        <v>Korean</v>
      </c>
      <c r="G839" s="3" t="str">
        <f>VLOOKUP($A839,Table1[],10,TRUE)</f>
        <v>Web Development</v>
      </c>
      <c r="H839" s="13" t="str">
        <f>VLOOKUP($A839,Table1[],12,TRUE)</f>
        <v>32</v>
      </c>
      <c r="I839" s="20">
        <v>50</v>
      </c>
      <c r="J839" s="15">
        <f>VLOOKUP($A839,Table1[],18,TRUE)</f>
        <v>3.2</v>
      </c>
      <c r="K839" s="12" t="str">
        <f>VLOOKUP($A839,Table1[],22,TRUE)</f>
        <v>FALSE</v>
      </c>
      <c r="L839" s="13">
        <f>VLOOKUP($A839,Table1[],25,TRUE)</f>
        <v>0.88</v>
      </c>
    </row>
    <row r="840" spans="1:12" x14ac:dyDescent="0.25">
      <c r="A840" t="s">
        <v>1755</v>
      </c>
      <c r="B840" s="18" t="str">
        <f>VLOOKUP(A840,Table1[],3,TRUE)</f>
        <v>Daniel Roberson</v>
      </c>
      <c r="C840" s="18" t="str">
        <f>VLOOKUP($A840,Table1[],5,TRUE)</f>
        <v>Male</v>
      </c>
      <c r="D840" s="3" t="str">
        <f>VLOOKUP($A840,Table1[],7,TRUE)</f>
        <v>44</v>
      </c>
      <c r="E840" s="3" t="str">
        <f>VLOOKUP($A840,Table1[],8,TRUE)</f>
        <v>India</v>
      </c>
      <c r="F840" s="3" t="str">
        <f>VLOOKUP($A840,Table1[],9,TRUE)</f>
        <v>Hindi</v>
      </c>
      <c r="G840" s="3" t="str">
        <f>VLOOKUP($A840,Table1[],10,TRUE)</f>
        <v>UI/UX Design</v>
      </c>
      <c r="H840" s="13" t="str">
        <f>VLOOKUP($A840,Table1[],12,TRUE)</f>
        <v>4</v>
      </c>
      <c r="I840" s="20">
        <v>30</v>
      </c>
      <c r="J840" s="15">
        <f>VLOOKUP($A840,Table1[],18,TRUE)</f>
        <v>0</v>
      </c>
      <c r="K840" s="12" t="str">
        <f>VLOOKUP($A840,Table1[],22,TRUE)</f>
        <v>FALSE</v>
      </c>
      <c r="L840" s="13">
        <f>VLOOKUP($A840,Table1[],25,TRUE)</f>
        <v>0.8</v>
      </c>
    </row>
    <row r="841" spans="1:12" x14ac:dyDescent="0.25">
      <c r="A841" t="s">
        <v>1757</v>
      </c>
      <c r="B841" s="18" t="str">
        <f>VLOOKUP(A841,Table1[],3,TRUE)</f>
        <v>Dale Haynes</v>
      </c>
      <c r="C841" s="18" t="str">
        <f>VLOOKUP($A841,Table1[],5,TRUE)</f>
        <v>Male</v>
      </c>
      <c r="D841" s="3" t="str">
        <f>VLOOKUP($A841,Table1[],7,TRUE)</f>
        <v>58</v>
      </c>
      <c r="E841" s="3" t="str">
        <f>VLOOKUP($A841,Table1[],8,TRUE)</f>
        <v>Spain</v>
      </c>
      <c r="F841" s="3" t="str">
        <f>VLOOKUP($A841,Table1[],9,TRUE)</f>
        <v>Spanish</v>
      </c>
      <c r="G841" s="3" t="str">
        <f>VLOOKUP($A841,Table1[],10,TRUE)</f>
        <v>Cybersecurity</v>
      </c>
      <c r="H841" s="13" t="str">
        <f>VLOOKUP($A841,Table1[],12,TRUE)</f>
        <v>33</v>
      </c>
      <c r="I841" s="20">
        <v>30</v>
      </c>
      <c r="J841" s="15">
        <f>VLOOKUP($A841,Table1[],18,TRUE)</f>
        <v>3.3</v>
      </c>
      <c r="K841" s="12" t="str">
        <f>VLOOKUP($A841,Table1[],22,TRUE)</f>
        <v>TRUE</v>
      </c>
      <c r="L841" s="13">
        <f>VLOOKUP($A841,Table1[],25,TRUE)</f>
        <v>0.71</v>
      </c>
    </row>
    <row r="842" spans="1:12" x14ac:dyDescent="0.25">
      <c r="A842" t="s">
        <v>1759</v>
      </c>
      <c r="B842" s="18" t="str">
        <f>VLOOKUP(A842,Table1[],3,TRUE)</f>
        <v>Emily Scott</v>
      </c>
      <c r="C842" s="18" t="str">
        <f>VLOOKUP($A842,Table1[],5,TRUE)</f>
        <v>Female</v>
      </c>
      <c r="D842" s="3" t="str">
        <f>VLOOKUP($A842,Table1[],7,TRUE)</f>
        <v>38</v>
      </c>
      <c r="E842" s="3" t="str">
        <f>VLOOKUP($A842,Table1[],8,TRUE)</f>
        <v>South Africa</v>
      </c>
      <c r="F842" s="3" t="str">
        <f>VLOOKUP($A842,Table1[],9,TRUE)</f>
        <v>Afrikaans</v>
      </c>
      <c r="G842" s="3" t="str">
        <f>VLOOKUP($A842,Table1[],10,TRUE)</f>
        <v>Mobile Apps</v>
      </c>
      <c r="H842" s="13" t="str">
        <f>VLOOKUP($A842,Table1[],12,TRUE)</f>
        <v>14</v>
      </c>
      <c r="I842" s="20">
        <v>50</v>
      </c>
      <c r="J842" s="15">
        <f>VLOOKUP($A842,Table1[],18,TRUE)</f>
        <v>1.1000000000000001</v>
      </c>
      <c r="K842" s="12" t="str">
        <f>VLOOKUP($A842,Table1[],22,TRUE)</f>
        <v>TRUE</v>
      </c>
      <c r="L842" s="13">
        <f>VLOOKUP($A842,Table1[],25,TRUE)</f>
        <v>0.76</v>
      </c>
    </row>
    <row r="843" spans="1:12" x14ac:dyDescent="0.25">
      <c r="A843" t="s">
        <v>1761</v>
      </c>
      <c r="B843" s="18" t="str">
        <f>VLOOKUP(A843,Table1[],3,TRUE)</f>
        <v>David Brown</v>
      </c>
      <c r="C843" s="18" t="str">
        <f>VLOOKUP($A843,Table1[],5,TRUE)</f>
        <v>Male</v>
      </c>
      <c r="D843" s="3" t="str">
        <f>VLOOKUP($A843,Table1[],7,TRUE)</f>
        <v>24</v>
      </c>
      <c r="E843" s="3" t="str">
        <f>VLOOKUP($A843,Table1[],8,TRUE)</f>
        <v>United States</v>
      </c>
      <c r="F843" s="3" t="str">
        <f>VLOOKUP($A843,Table1[],9,TRUE)</f>
        <v>English</v>
      </c>
      <c r="G843" s="3" t="str">
        <f>VLOOKUP($A843,Table1[],10,TRUE)</f>
        <v>UI/UX Design</v>
      </c>
      <c r="H843" s="13" t="str">
        <f>VLOOKUP($A843,Table1[],12,TRUE)</f>
        <v>6</v>
      </c>
      <c r="I843" s="20">
        <v>30</v>
      </c>
      <c r="J843" s="15">
        <f>VLOOKUP($A843,Table1[],18,TRUE)</f>
        <v>4.5999999999999996</v>
      </c>
      <c r="K843" s="12" t="str">
        <f>VLOOKUP($A843,Table1[],22,TRUE)</f>
        <v>TRUE</v>
      </c>
      <c r="L843" s="13">
        <f>VLOOKUP($A843,Table1[],25,TRUE)</f>
        <v>0.93</v>
      </c>
    </row>
    <row r="844" spans="1:12" x14ac:dyDescent="0.25">
      <c r="A844" t="s">
        <v>1763</v>
      </c>
      <c r="B844" s="18" t="str">
        <f>VLOOKUP(A844,Table1[],3,TRUE)</f>
        <v>Stephanie Guzman</v>
      </c>
      <c r="C844" s="18" t="str">
        <f>VLOOKUP($A844,Table1[],5,TRUE)</f>
        <v>Female</v>
      </c>
      <c r="D844" s="3" t="str">
        <f>VLOOKUP($A844,Table1[],7,TRUE)</f>
        <v>30</v>
      </c>
      <c r="E844" s="3" t="str">
        <f>VLOOKUP($A844,Table1[],8,TRUE)</f>
        <v>Turkey</v>
      </c>
      <c r="F844" s="3" t="str">
        <f>VLOOKUP($A844,Table1[],9,TRUE)</f>
        <v>Turkish</v>
      </c>
      <c r="G844" s="3" t="str">
        <f>VLOOKUP($A844,Table1[],10,TRUE)</f>
        <v>Blockchain Development</v>
      </c>
      <c r="H844" s="13" t="str">
        <f>VLOOKUP($A844,Table1[],12,TRUE)</f>
        <v>5</v>
      </c>
      <c r="I844" s="20">
        <v>30</v>
      </c>
      <c r="J844" s="15">
        <f>VLOOKUP($A844,Table1[],18,TRUE)</f>
        <v>2.6</v>
      </c>
      <c r="K844" s="12" t="str">
        <f>VLOOKUP($A844,Table1[],22,TRUE)</f>
        <v>FALSE</v>
      </c>
      <c r="L844" s="13">
        <f>VLOOKUP($A844,Table1[],25,TRUE)</f>
        <v>0.75</v>
      </c>
    </row>
    <row r="845" spans="1:12" x14ac:dyDescent="0.25">
      <c r="A845" t="s">
        <v>1765</v>
      </c>
      <c r="B845" s="18" t="str">
        <f>VLOOKUP(A845,Table1[],3,TRUE)</f>
        <v>Maxwell Johnson</v>
      </c>
      <c r="C845" s="18" t="str">
        <f>VLOOKUP($A845,Table1[],5,TRUE)</f>
        <v>Male</v>
      </c>
      <c r="D845" s="3" t="str">
        <f>VLOOKUP($A845,Table1[],7,TRUE)</f>
        <v>25</v>
      </c>
      <c r="E845" s="3" t="str">
        <f>VLOOKUP($A845,Table1[],8,TRUE)</f>
        <v>Indonesia</v>
      </c>
      <c r="F845" s="3" t="str">
        <f>VLOOKUP($A845,Table1[],9,TRUE)</f>
        <v>Indonesian</v>
      </c>
      <c r="G845" s="3" t="str">
        <f>VLOOKUP($A845,Table1[],10,TRUE)</f>
        <v>Cybersecurity</v>
      </c>
      <c r="H845" s="13" t="str">
        <f>VLOOKUP($A845,Table1[],12,TRUE)</f>
        <v>3</v>
      </c>
      <c r="I845" s="20">
        <v>75</v>
      </c>
      <c r="J845" s="15">
        <f>VLOOKUP($A845,Table1[],18,TRUE)</f>
        <v>2.6</v>
      </c>
      <c r="K845" s="12" t="str">
        <f>VLOOKUP($A845,Table1[],22,TRUE)</f>
        <v>FALSE</v>
      </c>
      <c r="L845" s="13">
        <f>VLOOKUP($A845,Table1[],25,TRUE)</f>
        <v>0.83</v>
      </c>
    </row>
    <row r="846" spans="1:12" x14ac:dyDescent="0.25">
      <c r="A846" t="s">
        <v>1767</v>
      </c>
      <c r="B846" s="18" t="str">
        <f>VLOOKUP(A846,Table1[],3,TRUE)</f>
        <v>Reginald Stephens</v>
      </c>
      <c r="C846" s="18" t="str">
        <f>VLOOKUP($A846,Table1[],5,TRUE)</f>
        <v>Male</v>
      </c>
      <c r="D846" s="3" t="str">
        <f>VLOOKUP($A846,Table1[],7,TRUE)</f>
        <v>54</v>
      </c>
      <c r="E846" s="3" t="str">
        <f>VLOOKUP($A846,Table1[],8,TRUE)</f>
        <v>Indonesia</v>
      </c>
      <c r="F846" s="3" t="str">
        <f>VLOOKUP($A846,Table1[],9,TRUE)</f>
        <v>Indonesian</v>
      </c>
      <c r="G846" s="3" t="str">
        <f>VLOOKUP($A846,Table1[],10,TRUE)</f>
        <v>Mobile Apps</v>
      </c>
      <c r="H846" s="13" t="str">
        <f>VLOOKUP($A846,Table1[],12,TRUE)</f>
        <v>17</v>
      </c>
      <c r="I846" s="20">
        <v>100</v>
      </c>
      <c r="J846" s="15">
        <f>VLOOKUP($A846,Table1[],18,TRUE)</f>
        <v>0</v>
      </c>
      <c r="K846" s="12" t="str">
        <f>VLOOKUP($A846,Table1[],22,TRUE)</f>
        <v>FALSE</v>
      </c>
      <c r="L846" s="13">
        <f>VLOOKUP($A846,Table1[],25,TRUE)</f>
        <v>0.71</v>
      </c>
    </row>
    <row r="847" spans="1:12" x14ac:dyDescent="0.25">
      <c r="A847" t="s">
        <v>1769</v>
      </c>
      <c r="B847" s="18" t="str">
        <f>VLOOKUP(A847,Table1[],3,TRUE)</f>
        <v>Justin Jones</v>
      </c>
      <c r="C847" s="18" t="str">
        <f>VLOOKUP($A847,Table1[],5,TRUE)</f>
        <v>Male</v>
      </c>
      <c r="D847" s="3" t="str">
        <f>VLOOKUP($A847,Table1[],7,TRUE)</f>
        <v>54</v>
      </c>
      <c r="E847" s="3" t="str">
        <f>VLOOKUP($A847,Table1[],8,TRUE)</f>
        <v>Italy</v>
      </c>
      <c r="F847" s="3" t="str">
        <f>VLOOKUP($A847,Table1[],9,TRUE)</f>
        <v>Italian</v>
      </c>
      <c r="G847" s="3" t="str">
        <f>VLOOKUP($A847,Table1[],10,TRUE)</f>
        <v>Cybersecurity</v>
      </c>
      <c r="H847" s="13" t="str">
        <f>VLOOKUP($A847,Table1[],12,TRUE)</f>
        <v>9</v>
      </c>
      <c r="I847" s="20">
        <v>20</v>
      </c>
      <c r="J847" s="15">
        <f>VLOOKUP($A847,Table1[],18,TRUE)</f>
        <v>0</v>
      </c>
      <c r="K847" s="12" t="str">
        <f>VLOOKUP($A847,Table1[],22,TRUE)</f>
        <v>TRUE</v>
      </c>
      <c r="L847" s="13">
        <f>VLOOKUP($A847,Table1[],25,TRUE)</f>
        <v>0.96</v>
      </c>
    </row>
    <row r="848" spans="1:12" x14ac:dyDescent="0.25">
      <c r="A848" t="s">
        <v>1771</v>
      </c>
      <c r="B848" s="18" t="str">
        <f>VLOOKUP(A848,Table1[],3,TRUE)</f>
        <v>Kristine Garcia</v>
      </c>
      <c r="C848" s="18" t="str">
        <f>VLOOKUP($A848,Table1[],5,TRUE)</f>
        <v>Female</v>
      </c>
      <c r="D848" s="3" t="str">
        <f>VLOOKUP($A848,Table1[],7,TRUE)</f>
        <v>53</v>
      </c>
      <c r="E848" s="3" t="str">
        <f>VLOOKUP($A848,Table1[],8,TRUE)</f>
        <v>France</v>
      </c>
      <c r="F848" s="3" t="str">
        <f>VLOOKUP($A848,Table1[],9,TRUE)</f>
        <v>French</v>
      </c>
      <c r="G848" s="3" t="str">
        <f>VLOOKUP($A848,Table1[],10,TRUE)</f>
        <v>Graphic Design</v>
      </c>
      <c r="H848" s="13" t="str">
        <f>VLOOKUP($A848,Table1[],12,TRUE)</f>
        <v>16</v>
      </c>
      <c r="I848" s="20">
        <v>40</v>
      </c>
      <c r="J848" s="15">
        <f>VLOOKUP($A848,Table1[],18,TRUE)</f>
        <v>0</v>
      </c>
      <c r="K848" s="12" t="str">
        <f>VLOOKUP($A848,Table1[],22,TRUE)</f>
        <v>FALSE</v>
      </c>
      <c r="L848" s="13">
        <f>VLOOKUP($A848,Table1[],25,TRUE)</f>
        <v>0.75</v>
      </c>
    </row>
    <row r="849" spans="1:12" x14ac:dyDescent="0.25">
      <c r="A849" t="s">
        <v>1773</v>
      </c>
      <c r="B849" s="18" t="str">
        <f>VLOOKUP(A849,Table1[],3,TRUE)</f>
        <v>John Nguyen</v>
      </c>
      <c r="C849" s="18" t="str">
        <f>VLOOKUP($A849,Table1[],5,TRUE)</f>
        <v>Male</v>
      </c>
      <c r="D849" s="3" t="str">
        <f>VLOOKUP($A849,Table1[],7,TRUE)</f>
        <v>22</v>
      </c>
      <c r="E849" s="3" t="str">
        <f>VLOOKUP($A849,Table1[],8,TRUE)</f>
        <v>Russia</v>
      </c>
      <c r="F849" s="3" t="str">
        <f>VLOOKUP($A849,Table1[],9,TRUE)</f>
        <v>Russian</v>
      </c>
      <c r="G849" s="3" t="str">
        <f>VLOOKUP($A849,Table1[],10,TRUE)</f>
        <v>AI</v>
      </c>
      <c r="H849" s="13" t="str">
        <f>VLOOKUP($A849,Table1[],12,TRUE)</f>
        <v>3</v>
      </c>
      <c r="I849" s="20">
        <v>75</v>
      </c>
      <c r="J849" s="15">
        <f>VLOOKUP($A849,Table1[],18,TRUE)</f>
        <v>3.4</v>
      </c>
      <c r="K849" s="12" t="str">
        <f>VLOOKUP($A849,Table1[],22,TRUE)</f>
        <v>TRUE</v>
      </c>
      <c r="L849" s="13">
        <f>VLOOKUP($A849,Table1[],25,TRUE)</f>
        <v>0.65</v>
      </c>
    </row>
    <row r="850" spans="1:12" x14ac:dyDescent="0.25">
      <c r="A850" t="s">
        <v>1775</v>
      </c>
      <c r="B850" s="18" t="str">
        <f>VLOOKUP(A850,Table1[],3,TRUE)</f>
        <v>Anna Fleming</v>
      </c>
      <c r="C850" s="18" t="str">
        <f>VLOOKUP($A850,Table1[],5,TRUE)</f>
        <v>Female</v>
      </c>
      <c r="D850" s="3" t="str">
        <f>VLOOKUP($A850,Table1[],7,TRUE)</f>
        <v>23</v>
      </c>
      <c r="E850" s="3" t="str">
        <f>VLOOKUP($A850,Table1[],8,TRUE)</f>
        <v>Mexico</v>
      </c>
      <c r="F850" s="3" t="str">
        <f>VLOOKUP($A850,Table1[],9,TRUE)</f>
        <v>Spanish</v>
      </c>
      <c r="G850" s="3" t="str">
        <f>VLOOKUP($A850,Table1[],10,TRUE)</f>
        <v>Data Analysis</v>
      </c>
      <c r="H850" s="13" t="str">
        <f>VLOOKUP($A850,Table1[],12,TRUE)</f>
        <v>2</v>
      </c>
      <c r="I850" s="20">
        <v>20</v>
      </c>
      <c r="J850" s="15">
        <f>VLOOKUP($A850,Table1[],18,TRUE)</f>
        <v>1.3</v>
      </c>
      <c r="K850" s="12" t="str">
        <f>VLOOKUP($A850,Table1[],22,TRUE)</f>
        <v>FALSE</v>
      </c>
      <c r="L850" s="13">
        <f>VLOOKUP($A850,Table1[],25,TRUE)</f>
        <v>0.75</v>
      </c>
    </row>
    <row r="851" spans="1:12" x14ac:dyDescent="0.25">
      <c r="A851" t="s">
        <v>1777</v>
      </c>
      <c r="B851" s="18" t="str">
        <f>VLOOKUP(A851,Table1[],3,TRUE)</f>
        <v>Linda Williamson</v>
      </c>
      <c r="C851" s="18" t="str">
        <f>VLOOKUP($A851,Table1[],5,TRUE)</f>
        <v>Female</v>
      </c>
      <c r="D851" s="3" t="str">
        <f>VLOOKUP($A851,Table1[],7,TRUE)</f>
        <v>47</v>
      </c>
      <c r="E851" s="3" t="str">
        <f>VLOOKUP($A851,Table1[],8,TRUE)</f>
        <v>France</v>
      </c>
      <c r="F851" s="3" t="str">
        <f>VLOOKUP($A851,Table1[],9,TRUE)</f>
        <v>French</v>
      </c>
      <c r="G851" s="3" t="str">
        <f>VLOOKUP($A851,Table1[],10,TRUE)</f>
        <v>Cybersecurity</v>
      </c>
      <c r="H851" s="13" t="str">
        <f>VLOOKUP($A851,Table1[],12,TRUE)</f>
        <v>16</v>
      </c>
      <c r="I851" s="20">
        <v>50</v>
      </c>
      <c r="J851" s="15">
        <f>VLOOKUP($A851,Table1[],18,TRUE)</f>
        <v>1.9</v>
      </c>
      <c r="K851" s="12" t="str">
        <f>VLOOKUP($A851,Table1[],22,TRUE)</f>
        <v>FALSE</v>
      </c>
      <c r="L851" s="13">
        <f>VLOOKUP($A851,Table1[],25,TRUE)</f>
        <v>0.71</v>
      </c>
    </row>
    <row r="852" spans="1:12" x14ac:dyDescent="0.25">
      <c r="A852" t="s">
        <v>1779</v>
      </c>
      <c r="B852" s="18" t="str">
        <f>VLOOKUP(A852,Table1[],3,TRUE)</f>
        <v>Roy Wilson</v>
      </c>
      <c r="C852" s="18" t="str">
        <f>VLOOKUP($A852,Table1[],5,TRUE)</f>
        <v>Male</v>
      </c>
      <c r="D852" s="3" t="str">
        <f>VLOOKUP($A852,Table1[],7,TRUE)</f>
        <v>24</v>
      </c>
      <c r="E852" s="3" t="str">
        <f>VLOOKUP($A852,Table1[],8,TRUE)</f>
        <v>France</v>
      </c>
      <c r="F852" s="3" t="str">
        <f>VLOOKUP($A852,Table1[],9,TRUE)</f>
        <v>French</v>
      </c>
      <c r="G852" s="3" t="str">
        <f>VLOOKUP($A852,Table1[],10,TRUE)</f>
        <v>Web Development</v>
      </c>
      <c r="H852" s="13" t="str">
        <f>VLOOKUP($A852,Table1[],12,TRUE)</f>
        <v>6</v>
      </c>
      <c r="I852" s="20">
        <v>50</v>
      </c>
      <c r="J852" s="15">
        <f>VLOOKUP($A852,Table1[],18,TRUE)</f>
        <v>1.4</v>
      </c>
      <c r="K852" s="12" t="str">
        <f>VLOOKUP($A852,Table1[],22,TRUE)</f>
        <v>TRUE</v>
      </c>
      <c r="L852" s="13">
        <f>VLOOKUP($A852,Table1[],25,TRUE)</f>
        <v>0.63</v>
      </c>
    </row>
    <row r="853" spans="1:12" x14ac:dyDescent="0.25">
      <c r="A853" t="s">
        <v>1781</v>
      </c>
      <c r="B853" s="18" t="str">
        <f>VLOOKUP(A853,Table1[],3,TRUE)</f>
        <v>Jennifer Pierce</v>
      </c>
      <c r="C853" s="18" t="str">
        <f>VLOOKUP($A853,Table1[],5,TRUE)</f>
        <v>Female</v>
      </c>
      <c r="D853" s="3" t="str">
        <f>VLOOKUP($A853,Table1[],7,TRUE)</f>
        <v>57</v>
      </c>
      <c r="E853" s="3" t="str">
        <f>VLOOKUP($A853,Table1[],8,TRUE)</f>
        <v>India</v>
      </c>
      <c r="F853" s="3" t="str">
        <f>VLOOKUP($A853,Table1[],9,TRUE)</f>
        <v>Hindi</v>
      </c>
      <c r="G853" s="3" t="str">
        <f>VLOOKUP($A853,Table1[],10,TRUE)</f>
        <v>UI/UX Design</v>
      </c>
      <c r="H853" s="13" t="str">
        <f>VLOOKUP($A853,Table1[],12,TRUE)</f>
        <v>10</v>
      </c>
      <c r="I853" s="20">
        <v>100</v>
      </c>
      <c r="J853" s="15">
        <f>VLOOKUP($A853,Table1[],18,TRUE)</f>
        <v>4.3</v>
      </c>
      <c r="K853" s="12" t="str">
        <f>VLOOKUP($A853,Table1[],22,TRUE)</f>
        <v>TRUE</v>
      </c>
      <c r="L853" s="13">
        <f>VLOOKUP($A853,Table1[],25,TRUE)</f>
        <v>0.75</v>
      </c>
    </row>
    <row r="854" spans="1:12" x14ac:dyDescent="0.25">
      <c r="A854" t="s">
        <v>1783</v>
      </c>
      <c r="B854" s="18" t="str">
        <f>VLOOKUP(A854,Table1[],3,TRUE)</f>
        <v>Jason Johnson</v>
      </c>
      <c r="C854" s="18" t="str">
        <f>VLOOKUP($A854,Table1[],5,TRUE)</f>
        <v>Male</v>
      </c>
      <c r="D854" s="3" t="str">
        <f>VLOOKUP($A854,Table1[],7,TRUE)</f>
        <v>48</v>
      </c>
      <c r="E854" s="3" t="str">
        <f>VLOOKUP($A854,Table1[],8,TRUE)</f>
        <v>Spain</v>
      </c>
      <c r="F854" s="3" t="str">
        <f>VLOOKUP($A854,Table1[],9,TRUE)</f>
        <v>Spanish</v>
      </c>
      <c r="G854" s="3" t="str">
        <f>VLOOKUP($A854,Table1[],10,TRUE)</f>
        <v>Graphic Design</v>
      </c>
      <c r="H854" s="13" t="str">
        <f>VLOOKUP($A854,Table1[],12,TRUE)</f>
        <v>16</v>
      </c>
      <c r="I854" s="20">
        <v>30</v>
      </c>
      <c r="J854" s="15">
        <f>VLOOKUP($A854,Table1[],18,TRUE)</f>
        <v>2.6</v>
      </c>
      <c r="K854" s="12" t="str">
        <f>VLOOKUP($A854,Table1[],22,TRUE)</f>
        <v>FALSE</v>
      </c>
      <c r="L854" s="13">
        <f>VLOOKUP($A854,Table1[],25,TRUE)</f>
        <v>0.97</v>
      </c>
    </row>
    <row r="855" spans="1:12" x14ac:dyDescent="0.25">
      <c r="A855" t="s">
        <v>1785</v>
      </c>
      <c r="B855" s="18" t="str">
        <f>VLOOKUP(A855,Table1[],3,TRUE)</f>
        <v>Jasmine Lane</v>
      </c>
      <c r="C855" s="18" t="str">
        <f>VLOOKUP($A855,Table1[],5,TRUE)</f>
        <v>Female</v>
      </c>
      <c r="D855" s="3" t="str">
        <f>VLOOKUP($A855,Table1[],7,TRUE)</f>
        <v>21</v>
      </c>
      <c r="E855" s="3" t="str">
        <f>VLOOKUP($A855,Table1[],8,TRUE)</f>
        <v>Turkey</v>
      </c>
      <c r="F855" s="3" t="str">
        <f>VLOOKUP($A855,Table1[],9,TRUE)</f>
        <v>Turkish</v>
      </c>
      <c r="G855" s="3" t="str">
        <f>VLOOKUP($A855,Table1[],10,TRUE)</f>
        <v>UI/UX Design</v>
      </c>
      <c r="H855" s="13" t="str">
        <f>VLOOKUP($A855,Table1[],12,TRUE)</f>
        <v>0</v>
      </c>
      <c r="I855" s="20">
        <v>100</v>
      </c>
      <c r="J855" s="15">
        <f>VLOOKUP($A855,Table1[],18,TRUE)</f>
        <v>4.3</v>
      </c>
      <c r="K855" s="12" t="str">
        <f>VLOOKUP($A855,Table1[],22,TRUE)</f>
        <v>FALSE</v>
      </c>
      <c r="L855" s="13">
        <f>VLOOKUP($A855,Table1[],25,TRUE)</f>
        <v>0.75</v>
      </c>
    </row>
    <row r="856" spans="1:12" x14ac:dyDescent="0.25">
      <c r="A856" t="s">
        <v>1787</v>
      </c>
      <c r="B856" s="18" t="str">
        <f>VLOOKUP(A856,Table1[],3,TRUE)</f>
        <v>Evan Soto</v>
      </c>
      <c r="C856" s="18" t="str">
        <f>VLOOKUP($A856,Table1[],5,TRUE)</f>
        <v>Male</v>
      </c>
      <c r="D856" s="3" t="str">
        <f>VLOOKUP($A856,Table1[],7,TRUE)</f>
        <v>33</v>
      </c>
      <c r="E856" s="3" t="str">
        <f>VLOOKUP($A856,Table1[],8,TRUE)</f>
        <v>Japan</v>
      </c>
      <c r="F856" s="3" t="str">
        <f>VLOOKUP($A856,Table1[],9,TRUE)</f>
        <v>Japanese</v>
      </c>
      <c r="G856" s="3" t="str">
        <f>VLOOKUP($A856,Table1[],10,TRUE)</f>
        <v>AI</v>
      </c>
      <c r="H856" s="13" t="str">
        <f>VLOOKUP($A856,Table1[],12,TRUE)</f>
        <v>13</v>
      </c>
      <c r="I856" s="20">
        <v>75</v>
      </c>
      <c r="J856" s="15">
        <f>VLOOKUP($A856,Table1[],18,TRUE)</f>
        <v>0</v>
      </c>
      <c r="K856" s="12" t="str">
        <f>VLOOKUP($A856,Table1[],22,TRUE)</f>
        <v>TRUE</v>
      </c>
      <c r="L856" s="13">
        <f>VLOOKUP($A856,Table1[],25,TRUE)</f>
        <v>0.75</v>
      </c>
    </row>
    <row r="857" spans="1:12" x14ac:dyDescent="0.25">
      <c r="A857" t="s">
        <v>1789</v>
      </c>
      <c r="B857" s="18" t="str">
        <f>VLOOKUP(A857,Table1[],3,TRUE)</f>
        <v>Kevin Serrano</v>
      </c>
      <c r="C857" s="18" t="str">
        <f>VLOOKUP($A857,Table1[],5,TRUE)</f>
        <v>Male</v>
      </c>
      <c r="D857" s="3" t="str">
        <f>VLOOKUP($A857,Table1[],7,TRUE)</f>
        <v>41</v>
      </c>
      <c r="E857" s="3" t="str">
        <f>VLOOKUP($A857,Table1[],8,TRUE)</f>
        <v>Turkey</v>
      </c>
      <c r="F857" s="3" t="str">
        <f>VLOOKUP($A857,Table1[],9,TRUE)</f>
        <v>Turkish</v>
      </c>
      <c r="G857" s="3" t="str">
        <f>VLOOKUP($A857,Table1[],10,TRUE)</f>
        <v>DevOps</v>
      </c>
      <c r="H857" s="13" t="str">
        <f>VLOOKUP($A857,Table1[],12,TRUE)</f>
        <v>12</v>
      </c>
      <c r="I857" s="20">
        <v>50</v>
      </c>
      <c r="J857" s="15">
        <f>VLOOKUP($A857,Table1[],18,TRUE)</f>
        <v>1.3</v>
      </c>
      <c r="K857" s="12" t="str">
        <f>VLOOKUP($A857,Table1[],22,TRUE)</f>
        <v>FALSE</v>
      </c>
      <c r="L857" s="13">
        <f>VLOOKUP($A857,Table1[],25,TRUE)</f>
        <v>0.85</v>
      </c>
    </row>
    <row r="858" spans="1:12" x14ac:dyDescent="0.25">
      <c r="A858" t="s">
        <v>1791</v>
      </c>
      <c r="B858" s="18" t="str">
        <f>VLOOKUP(A858,Table1[],3,TRUE)</f>
        <v>Nathaniel Benson</v>
      </c>
      <c r="C858" s="18" t="str">
        <f>VLOOKUP($A858,Table1[],5,TRUE)</f>
        <v>Male</v>
      </c>
      <c r="D858" s="3" t="str">
        <f>VLOOKUP($A858,Table1[],7,TRUE)</f>
        <v>40</v>
      </c>
      <c r="E858" s="3" t="str">
        <f>VLOOKUP($A858,Table1[],8,TRUE)</f>
        <v>Australia</v>
      </c>
      <c r="F858" s="3" t="str">
        <f>VLOOKUP($A858,Table1[],9,TRUE)</f>
        <v>English</v>
      </c>
      <c r="G858" s="3" t="str">
        <f>VLOOKUP($A858,Table1[],10,TRUE)</f>
        <v>Cybersecurity</v>
      </c>
      <c r="H858" s="13" t="str">
        <f>VLOOKUP($A858,Table1[],12,TRUE)</f>
        <v>13</v>
      </c>
      <c r="I858" s="20">
        <v>50</v>
      </c>
      <c r="J858" s="15">
        <f>VLOOKUP($A858,Table1[],18,TRUE)</f>
        <v>2.9</v>
      </c>
      <c r="K858" s="12" t="str">
        <f>VLOOKUP($A858,Table1[],22,TRUE)</f>
        <v>FALSE</v>
      </c>
      <c r="L858" s="13">
        <f>VLOOKUP($A858,Table1[],25,TRUE)</f>
        <v>0.82</v>
      </c>
    </row>
    <row r="859" spans="1:12" x14ac:dyDescent="0.25">
      <c r="A859" t="s">
        <v>1793</v>
      </c>
      <c r="B859" s="18" t="str">
        <f>VLOOKUP(A859,Table1[],3,TRUE)</f>
        <v>Deanna Miles</v>
      </c>
      <c r="C859" s="18" t="str">
        <f>VLOOKUP($A859,Table1[],5,TRUE)</f>
        <v>Female</v>
      </c>
      <c r="D859" s="3" t="str">
        <f>VLOOKUP($A859,Table1[],7,TRUE)</f>
        <v>40</v>
      </c>
      <c r="E859" s="3" t="str">
        <f>VLOOKUP($A859,Table1[],8,TRUE)</f>
        <v>Mexico</v>
      </c>
      <c r="F859" s="3" t="str">
        <f>VLOOKUP($A859,Table1[],9,TRUE)</f>
        <v>Spanish</v>
      </c>
      <c r="G859" s="3" t="str">
        <f>VLOOKUP($A859,Table1[],10,TRUE)</f>
        <v>Graphic Design</v>
      </c>
      <c r="H859" s="13" t="str">
        <f>VLOOKUP($A859,Table1[],12,TRUE)</f>
        <v>22</v>
      </c>
      <c r="I859" s="20">
        <v>40</v>
      </c>
      <c r="J859" s="15">
        <f>VLOOKUP($A859,Table1[],18,TRUE)</f>
        <v>4.3</v>
      </c>
      <c r="K859" s="12" t="str">
        <f>VLOOKUP($A859,Table1[],22,TRUE)</f>
        <v>FALSE</v>
      </c>
      <c r="L859" s="13">
        <f>VLOOKUP($A859,Table1[],25,TRUE)</f>
        <v>0.95</v>
      </c>
    </row>
    <row r="860" spans="1:12" x14ac:dyDescent="0.25">
      <c r="A860" t="s">
        <v>1795</v>
      </c>
      <c r="B860" s="18" t="str">
        <f>VLOOKUP(A860,Table1[],3,TRUE)</f>
        <v>Beverly Roy</v>
      </c>
      <c r="C860" s="18" t="str">
        <f>VLOOKUP($A860,Table1[],5,TRUE)</f>
        <v>Female</v>
      </c>
      <c r="D860" s="3" t="str">
        <f>VLOOKUP($A860,Table1[],7,TRUE)</f>
        <v>20</v>
      </c>
      <c r="E860" s="3" t="str">
        <f>VLOOKUP($A860,Table1[],8,TRUE)</f>
        <v>United States</v>
      </c>
      <c r="F860" s="3" t="str">
        <f>VLOOKUP($A860,Table1[],9,TRUE)</f>
        <v>English</v>
      </c>
      <c r="G860" s="3" t="str">
        <f>VLOOKUP($A860,Table1[],10,TRUE)</f>
        <v>Graphic Design</v>
      </c>
      <c r="H860" s="13" t="str">
        <f>VLOOKUP($A860,Table1[],12,TRUE)</f>
        <v>1</v>
      </c>
      <c r="I860" s="20">
        <v>50</v>
      </c>
      <c r="J860" s="15">
        <f>VLOOKUP($A860,Table1[],18,TRUE)</f>
        <v>2.7</v>
      </c>
      <c r="K860" s="12" t="str">
        <f>VLOOKUP($A860,Table1[],22,TRUE)</f>
        <v>FALSE</v>
      </c>
      <c r="L860" s="13">
        <f>VLOOKUP($A860,Table1[],25,TRUE)</f>
        <v>0.94</v>
      </c>
    </row>
    <row r="861" spans="1:12" x14ac:dyDescent="0.25">
      <c r="A861" t="s">
        <v>1797</v>
      </c>
      <c r="B861" s="18" t="str">
        <f>VLOOKUP(A861,Table1[],3,TRUE)</f>
        <v>Heather Saunders</v>
      </c>
      <c r="C861" s="18" t="str">
        <f>VLOOKUP($A861,Table1[],5,TRUE)</f>
        <v>Female</v>
      </c>
      <c r="D861" s="3" t="str">
        <f>VLOOKUP($A861,Table1[],7,TRUE)</f>
        <v>42</v>
      </c>
      <c r="E861" s="3" t="str">
        <f>VLOOKUP($A861,Table1[],8,TRUE)</f>
        <v>Mexico</v>
      </c>
      <c r="F861" s="3" t="str">
        <f>VLOOKUP($A861,Table1[],9,TRUE)</f>
        <v>Spanish</v>
      </c>
      <c r="G861" s="3" t="str">
        <f>VLOOKUP($A861,Table1[],10,TRUE)</f>
        <v>Web Development</v>
      </c>
      <c r="H861" s="13" t="str">
        <f>VLOOKUP($A861,Table1[],12,TRUE)</f>
        <v>Unknown</v>
      </c>
      <c r="I861" s="20">
        <v>50</v>
      </c>
      <c r="J861" s="15">
        <f>VLOOKUP($A861,Table1[],18,TRUE)</f>
        <v>4.2</v>
      </c>
      <c r="K861" s="12" t="str">
        <f>VLOOKUP($A861,Table1[],22,TRUE)</f>
        <v>TRUE</v>
      </c>
      <c r="L861" s="13">
        <f>VLOOKUP($A861,Table1[],25,TRUE)</f>
        <v>0.96</v>
      </c>
    </row>
    <row r="862" spans="1:12" x14ac:dyDescent="0.25">
      <c r="A862" t="s">
        <v>1799</v>
      </c>
      <c r="B862" s="18" t="str">
        <f>VLOOKUP(A862,Table1[],3,TRUE)</f>
        <v>Nicholas Guerrero</v>
      </c>
      <c r="C862" s="18" t="str">
        <f>VLOOKUP($A862,Table1[],5,TRUE)</f>
        <v>Male</v>
      </c>
      <c r="D862" s="3" t="str">
        <f>VLOOKUP($A862,Table1[],7,TRUE)</f>
        <v>32</v>
      </c>
      <c r="E862" s="3" t="str">
        <f>VLOOKUP($A862,Table1[],8,TRUE)</f>
        <v>Canada</v>
      </c>
      <c r="F862" s="3" t="str">
        <f>VLOOKUP($A862,Table1[],9,TRUE)</f>
        <v>English</v>
      </c>
      <c r="G862" s="3" t="str">
        <f>VLOOKUP($A862,Table1[],10,TRUE)</f>
        <v>Blockchain Development</v>
      </c>
      <c r="H862" s="13" t="str">
        <f>VLOOKUP($A862,Table1[],12,TRUE)</f>
        <v>12</v>
      </c>
      <c r="I862" s="20">
        <v>40</v>
      </c>
      <c r="J862" s="15">
        <f>VLOOKUP($A862,Table1[],18,TRUE)</f>
        <v>0</v>
      </c>
      <c r="K862" s="12" t="str">
        <f>VLOOKUP($A862,Table1[],22,TRUE)</f>
        <v>TRUE</v>
      </c>
      <c r="L862" s="13">
        <f>VLOOKUP($A862,Table1[],25,TRUE)</f>
        <v>0.63</v>
      </c>
    </row>
    <row r="863" spans="1:12" x14ac:dyDescent="0.25">
      <c r="A863" t="s">
        <v>1801</v>
      </c>
      <c r="B863" s="18" t="str">
        <f>VLOOKUP(A863,Table1[],3,TRUE)</f>
        <v>Christopher Johnson</v>
      </c>
      <c r="C863" s="18" t="str">
        <f>VLOOKUP($A863,Table1[],5,TRUE)</f>
        <v>Male</v>
      </c>
      <c r="D863" s="3" t="str">
        <f>VLOOKUP($A863,Table1[],7,TRUE)</f>
        <v>60</v>
      </c>
      <c r="E863" s="3" t="str">
        <f>VLOOKUP($A863,Table1[],8,TRUE)</f>
        <v>Japan</v>
      </c>
      <c r="F863" s="3" t="str">
        <f>VLOOKUP($A863,Table1[],9,TRUE)</f>
        <v>Japanese</v>
      </c>
      <c r="G863" s="3" t="str">
        <f>VLOOKUP($A863,Table1[],10,TRUE)</f>
        <v>AI</v>
      </c>
      <c r="H863" s="13" t="str">
        <f>VLOOKUP($A863,Table1[],12,TRUE)</f>
        <v>Unknown</v>
      </c>
      <c r="I863" s="20">
        <v>20</v>
      </c>
      <c r="J863" s="15">
        <f>VLOOKUP($A863,Table1[],18,TRUE)</f>
        <v>2.2000000000000002</v>
      </c>
      <c r="K863" s="12" t="str">
        <f>VLOOKUP($A863,Table1[],22,TRUE)</f>
        <v>TRUE</v>
      </c>
      <c r="L863" s="13">
        <f>VLOOKUP($A863,Table1[],25,TRUE)</f>
        <v>0.6</v>
      </c>
    </row>
    <row r="864" spans="1:12" x14ac:dyDescent="0.25">
      <c r="A864" t="s">
        <v>1803</v>
      </c>
      <c r="B864" s="18" t="str">
        <f>VLOOKUP(A864,Table1[],3,TRUE)</f>
        <v>Steven Flowers</v>
      </c>
      <c r="C864" s="18" t="str">
        <f>VLOOKUP($A864,Table1[],5,TRUE)</f>
        <v>Male</v>
      </c>
      <c r="D864" s="3" t="str">
        <f>VLOOKUP($A864,Table1[],7,TRUE)</f>
        <v>46</v>
      </c>
      <c r="E864" s="3" t="str">
        <f>VLOOKUP($A864,Table1[],8,TRUE)</f>
        <v>Egypt</v>
      </c>
      <c r="F864" s="3" t="str">
        <f>VLOOKUP($A864,Table1[],9,TRUE)</f>
        <v>Arabic</v>
      </c>
      <c r="G864" s="3" t="str">
        <f>VLOOKUP($A864,Table1[],10,TRUE)</f>
        <v>Machine Learning</v>
      </c>
      <c r="H864" s="13" t="str">
        <f>VLOOKUP($A864,Table1[],12,TRUE)</f>
        <v>12</v>
      </c>
      <c r="I864" s="20">
        <v>50</v>
      </c>
      <c r="J864" s="15">
        <f>VLOOKUP($A864,Table1[],18,TRUE)</f>
        <v>4.7</v>
      </c>
      <c r="K864" s="12" t="str">
        <f>VLOOKUP($A864,Table1[],22,TRUE)</f>
        <v>TRUE</v>
      </c>
      <c r="L864" s="13">
        <f>VLOOKUP($A864,Table1[],25,TRUE)</f>
        <v>0.77</v>
      </c>
    </row>
    <row r="865" spans="1:12" x14ac:dyDescent="0.25">
      <c r="A865" t="s">
        <v>1805</v>
      </c>
      <c r="B865" s="18" t="str">
        <f>VLOOKUP(A865,Table1[],3,TRUE)</f>
        <v>Marvin Woods Iii</v>
      </c>
      <c r="C865" s="18" t="str">
        <f>VLOOKUP($A865,Table1[],5,TRUE)</f>
        <v>Male</v>
      </c>
      <c r="D865" s="3" t="str">
        <f>VLOOKUP($A865,Table1[],7,TRUE)</f>
        <v>29</v>
      </c>
      <c r="E865" s="3" t="str">
        <f>VLOOKUP($A865,Table1[],8,TRUE)</f>
        <v>China</v>
      </c>
      <c r="F865" s="3" t="str">
        <f>VLOOKUP($A865,Table1[],9,TRUE)</f>
        <v>Mandarin</v>
      </c>
      <c r="G865" s="3" t="str">
        <f>VLOOKUP($A865,Table1[],10,TRUE)</f>
        <v>DevOps</v>
      </c>
      <c r="H865" s="13" t="str">
        <f>VLOOKUP($A865,Table1[],12,TRUE)</f>
        <v>0</v>
      </c>
      <c r="I865" s="20">
        <v>30</v>
      </c>
      <c r="J865" s="15">
        <f>VLOOKUP($A865,Table1[],18,TRUE)</f>
        <v>0</v>
      </c>
      <c r="K865" s="12" t="str">
        <f>VLOOKUP($A865,Table1[],22,TRUE)</f>
        <v>FALSE</v>
      </c>
      <c r="L865" s="13">
        <f>VLOOKUP($A865,Table1[],25,TRUE)</f>
        <v>0.63</v>
      </c>
    </row>
    <row r="866" spans="1:12" x14ac:dyDescent="0.25">
      <c r="A866" t="s">
        <v>1807</v>
      </c>
      <c r="B866" s="18" t="str">
        <f>VLOOKUP(A866,Table1[],3,TRUE)</f>
        <v>Michelle Cook</v>
      </c>
      <c r="C866" s="18" t="str">
        <f>VLOOKUP($A866,Table1[],5,TRUE)</f>
        <v>Female</v>
      </c>
      <c r="D866" s="3" t="str">
        <f>VLOOKUP($A866,Table1[],7,TRUE)</f>
        <v>39</v>
      </c>
      <c r="E866" s="3" t="str">
        <f>VLOOKUP($A866,Table1[],8,TRUE)</f>
        <v>Brazil</v>
      </c>
      <c r="F866" s="3" t="str">
        <f>VLOOKUP($A866,Table1[],9,TRUE)</f>
        <v>Portuguese</v>
      </c>
      <c r="G866" s="3" t="str">
        <f>VLOOKUP($A866,Table1[],10,TRUE)</f>
        <v>Mobile Apps</v>
      </c>
      <c r="H866" s="13" t="str">
        <f>VLOOKUP($A866,Table1[],12,TRUE)</f>
        <v>18</v>
      </c>
      <c r="I866" s="20">
        <v>20</v>
      </c>
      <c r="J866" s="15">
        <f>VLOOKUP($A866,Table1[],18,TRUE)</f>
        <v>2.5</v>
      </c>
      <c r="K866" s="12" t="str">
        <f>VLOOKUP($A866,Table1[],22,TRUE)</f>
        <v>TRUE</v>
      </c>
      <c r="L866" s="13">
        <f>VLOOKUP($A866,Table1[],25,TRUE)</f>
        <v>0.61</v>
      </c>
    </row>
    <row r="867" spans="1:12" x14ac:dyDescent="0.25">
      <c r="A867" t="s">
        <v>1809</v>
      </c>
      <c r="B867" s="18" t="str">
        <f>VLOOKUP(A867,Table1[],3,TRUE)</f>
        <v>Logan Zamora</v>
      </c>
      <c r="C867" s="18" t="str">
        <f>VLOOKUP($A867,Table1[],5,TRUE)</f>
        <v>Male</v>
      </c>
      <c r="D867" s="3" t="str">
        <f>VLOOKUP($A867,Table1[],7,TRUE)</f>
        <v>55</v>
      </c>
      <c r="E867" s="3" t="str">
        <f>VLOOKUP($A867,Table1[],8,TRUE)</f>
        <v>Russia</v>
      </c>
      <c r="F867" s="3" t="str">
        <f>VLOOKUP($A867,Table1[],9,TRUE)</f>
        <v>Russian</v>
      </c>
      <c r="G867" s="3" t="str">
        <f>VLOOKUP($A867,Table1[],10,TRUE)</f>
        <v>Mobile Apps</v>
      </c>
      <c r="H867" s="13" t="str">
        <f>VLOOKUP($A867,Table1[],12,TRUE)</f>
        <v>2</v>
      </c>
      <c r="I867" s="20">
        <v>50</v>
      </c>
      <c r="J867" s="15">
        <f>VLOOKUP($A867,Table1[],18,TRUE)</f>
        <v>3.9</v>
      </c>
      <c r="K867" s="12" t="str">
        <f>VLOOKUP($A867,Table1[],22,TRUE)</f>
        <v>TRUE</v>
      </c>
      <c r="L867" s="13">
        <f>VLOOKUP($A867,Table1[],25,TRUE)</f>
        <v>0.88</v>
      </c>
    </row>
    <row r="868" spans="1:12" x14ac:dyDescent="0.25">
      <c r="A868" t="s">
        <v>1811</v>
      </c>
      <c r="B868" s="18" t="str">
        <f>VLOOKUP(A868,Table1[],3,TRUE)</f>
        <v>Casey Roberts</v>
      </c>
      <c r="C868" s="18" t="str">
        <f>VLOOKUP($A868,Table1[],5,TRUE)</f>
        <v>Male</v>
      </c>
      <c r="D868" s="3" t="str">
        <f>VLOOKUP($A868,Table1[],7,TRUE)</f>
        <v>55</v>
      </c>
      <c r="E868" s="3" t="str">
        <f>VLOOKUP($A868,Table1[],8,TRUE)</f>
        <v>Turkey</v>
      </c>
      <c r="F868" s="3" t="str">
        <f>VLOOKUP($A868,Table1[],9,TRUE)</f>
        <v>Turkish</v>
      </c>
      <c r="G868" s="3" t="str">
        <f>VLOOKUP($A868,Table1[],10,TRUE)</f>
        <v>Cybersecurity</v>
      </c>
      <c r="H868" s="13" t="str">
        <f>VLOOKUP($A868,Table1[],12,TRUE)</f>
        <v>Unknown</v>
      </c>
      <c r="I868" s="20">
        <v>100</v>
      </c>
      <c r="J868" s="15">
        <f>VLOOKUP($A868,Table1[],18,TRUE)</f>
        <v>1.2</v>
      </c>
      <c r="K868" s="12" t="str">
        <f>VLOOKUP($A868,Table1[],22,TRUE)</f>
        <v>TRUE</v>
      </c>
      <c r="L868" s="13">
        <f>VLOOKUP($A868,Table1[],25,TRUE)</f>
        <v>0.69</v>
      </c>
    </row>
    <row r="869" spans="1:12" x14ac:dyDescent="0.25">
      <c r="A869" t="s">
        <v>1813</v>
      </c>
      <c r="B869" s="18" t="str">
        <f>VLOOKUP(A869,Table1[],3,TRUE)</f>
        <v>Jerry Price</v>
      </c>
      <c r="C869" s="18" t="str">
        <f>VLOOKUP($A869,Table1[],5,TRUE)</f>
        <v>Male</v>
      </c>
      <c r="D869" s="3" t="str">
        <f>VLOOKUP($A869,Table1[],7,TRUE)</f>
        <v>40</v>
      </c>
      <c r="E869" s="3" t="str">
        <f>VLOOKUP($A869,Table1[],8,TRUE)</f>
        <v>Indonesia</v>
      </c>
      <c r="F869" s="3" t="str">
        <f>VLOOKUP($A869,Table1[],9,TRUE)</f>
        <v>Indonesian</v>
      </c>
      <c r="G869" s="3" t="str">
        <f>VLOOKUP($A869,Table1[],10,TRUE)</f>
        <v>Data Analysis</v>
      </c>
      <c r="H869" s="13" t="str">
        <f>VLOOKUP($A869,Table1[],12,TRUE)</f>
        <v>2</v>
      </c>
      <c r="I869" s="20">
        <v>75</v>
      </c>
      <c r="J869" s="15">
        <f>VLOOKUP($A869,Table1[],18,TRUE)</f>
        <v>4.5</v>
      </c>
      <c r="K869" s="12" t="str">
        <f>VLOOKUP($A869,Table1[],22,TRUE)</f>
        <v>TRUE</v>
      </c>
      <c r="L869" s="13">
        <f>VLOOKUP($A869,Table1[],25,TRUE)</f>
        <v>0.75</v>
      </c>
    </row>
    <row r="870" spans="1:12" x14ac:dyDescent="0.25">
      <c r="A870" t="s">
        <v>1815</v>
      </c>
      <c r="B870" s="18" t="str">
        <f>VLOOKUP(A870,Table1[],3,TRUE)</f>
        <v>Kelly Ellis</v>
      </c>
      <c r="C870" s="18" t="str">
        <f>VLOOKUP($A870,Table1[],5,TRUE)</f>
        <v>Female</v>
      </c>
      <c r="D870" s="3" t="str">
        <f>VLOOKUP($A870,Table1[],7,TRUE)</f>
        <v>56</v>
      </c>
      <c r="E870" s="3" t="str">
        <f>VLOOKUP($A870,Table1[],8,TRUE)</f>
        <v>China</v>
      </c>
      <c r="F870" s="3" t="str">
        <f>VLOOKUP($A870,Table1[],9,TRUE)</f>
        <v>Mandarin</v>
      </c>
      <c r="G870" s="3" t="str">
        <f>VLOOKUP($A870,Table1[],10,TRUE)</f>
        <v>UI/UX Design</v>
      </c>
      <c r="H870" s="13" t="str">
        <f>VLOOKUP($A870,Table1[],12,TRUE)</f>
        <v>35</v>
      </c>
      <c r="I870" s="20">
        <v>40</v>
      </c>
      <c r="J870" s="15">
        <f>VLOOKUP($A870,Table1[],18,TRUE)</f>
        <v>2.7</v>
      </c>
      <c r="K870" s="12" t="str">
        <f>VLOOKUP($A870,Table1[],22,TRUE)</f>
        <v>TRUE</v>
      </c>
      <c r="L870" s="13">
        <f>VLOOKUP($A870,Table1[],25,TRUE)</f>
        <v>0.82</v>
      </c>
    </row>
    <row r="871" spans="1:12" x14ac:dyDescent="0.25">
      <c r="A871" t="s">
        <v>1817</v>
      </c>
      <c r="B871" s="18" t="str">
        <f>VLOOKUP(A871,Table1[],3,TRUE)</f>
        <v>Caleb Guerra</v>
      </c>
      <c r="C871" s="18" t="str">
        <f>VLOOKUP($A871,Table1[],5,TRUE)</f>
        <v>Male</v>
      </c>
      <c r="D871" s="3" t="str">
        <f>VLOOKUP($A871,Table1[],7,TRUE)</f>
        <v>57</v>
      </c>
      <c r="E871" s="3" t="str">
        <f>VLOOKUP($A871,Table1[],8,TRUE)</f>
        <v>Mexico</v>
      </c>
      <c r="F871" s="3" t="str">
        <f>VLOOKUP($A871,Table1[],9,TRUE)</f>
        <v>Spanish</v>
      </c>
      <c r="G871" s="3" t="str">
        <f>VLOOKUP($A871,Table1[],10,TRUE)</f>
        <v>Mobile Apps</v>
      </c>
      <c r="H871" s="13" t="str">
        <f>VLOOKUP($A871,Table1[],12,TRUE)</f>
        <v>21</v>
      </c>
      <c r="I871" s="20">
        <v>75</v>
      </c>
      <c r="J871" s="15">
        <f>VLOOKUP($A871,Table1[],18,TRUE)</f>
        <v>2</v>
      </c>
      <c r="K871" s="12" t="str">
        <f>VLOOKUP($A871,Table1[],22,TRUE)</f>
        <v>FALSE</v>
      </c>
      <c r="L871" s="13">
        <f>VLOOKUP($A871,Table1[],25,TRUE)</f>
        <v>0.96</v>
      </c>
    </row>
    <row r="872" spans="1:12" x14ac:dyDescent="0.25">
      <c r="A872" t="s">
        <v>1819</v>
      </c>
      <c r="B872" s="18" t="str">
        <f>VLOOKUP(A872,Table1[],3,TRUE)</f>
        <v>Samantha Norman</v>
      </c>
      <c r="C872" s="18" t="str">
        <f>VLOOKUP($A872,Table1[],5,TRUE)</f>
        <v>Female</v>
      </c>
      <c r="D872" s="3" t="str">
        <f>VLOOKUP($A872,Table1[],7,TRUE)</f>
        <v>56</v>
      </c>
      <c r="E872" s="3" t="str">
        <f>VLOOKUP($A872,Table1[],8,TRUE)</f>
        <v>Russia</v>
      </c>
      <c r="F872" s="3" t="str">
        <f>VLOOKUP($A872,Table1[],9,TRUE)</f>
        <v>Russian</v>
      </c>
      <c r="G872" s="3" t="str">
        <f>VLOOKUP($A872,Table1[],10,TRUE)</f>
        <v>DevOps</v>
      </c>
      <c r="H872" s="13" t="str">
        <f>VLOOKUP($A872,Table1[],12,TRUE)</f>
        <v>3</v>
      </c>
      <c r="I872" s="20">
        <v>40</v>
      </c>
      <c r="J872" s="15">
        <f>VLOOKUP($A872,Table1[],18,TRUE)</f>
        <v>1.7</v>
      </c>
      <c r="K872" s="12" t="str">
        <f>VLOOKUP($A872,Table1[],22,TRUE)</f>
        <v>FALSE</v>
      </c>
      <c r="L872" s="13">
        <f>VLOOKUP($A872,Table1[],25,TRUE)</f>
        <v>0.71</v>
      </c>
    </row>
    <row r="873" spans="1:12" x14ac:dyDescent="0.25">
      <c r="A873" t="s">
        <v>1821</v>
      </c>
      <c r="B873" s="18" t="str">
        <f>VLOOKUP(A873,Table1[],3,TRUE)</f>
        <v>Sarah Clarke</v>
      </c>
      <c r="C873" s="18" t="str">
        <f>VLOOKUP($A873,Table1[],5,TRUE)</f>
        <v>Female</v>
      </c>
      <c r="D873" s="3" t="str">
        <f>VLOOKUP($A873,Table1[],7,TRUE)</f>
        <v>49</v>
      </c>
      <c r="E873" s="3" t="str">
        <f>VLOOKUP($A873,Table1[],8,TRUE)</f>
        <v>Germany</v>
      </c>
      <c r="F873" s="3" t="str">
        <f>VLOOKUP($A873,Table1[],9,TRUE)</f>
        <v>German</v>
      </c>
      <c r="G873" s="3" t="str">
        <f>VLOOKUP($A873,Table1[],10,TRUE)</f>
        <v>Mobile Apps</v>
      </c>
      <c r="H873" s="13" t="str">
        <f>VLOOKUP($A873,Table1[],12,TRUE)</f>
        <v>24</v>
      </c>
      <c r="I873" s="20">
        <v>75</v>
      </c>
      <c r="J873" s="15">
        <f>VLOOKUP($A873,Table1[],18,TRUE)</f>
        <v>3</v>
      </c>
      <c r="K873" s="12" t="str">
        <f>VLOOKUP($A873,Table1[],22,TRUE)</f>
        <v>TRUE</v>
      </c>
      <c r="L873" s="13">
        <f>VLOOKUP($A873,Table1[],25,TRUE)</f>
        <v>0.77</v>
      </c>
    </row>
    <row r="874" spans="1:12" x14ac:dyDescent="0.25">
      <c r="A874" t="s">
        <v>1823</v>
      </c>
      <c r="B874" s="18" t="str">
        <f>VLOOKUP(A874,Table1[],3,TRUE)</f>
        <v>Aaron Blair</v>
      </c>
      <c r="C874" s="18" t="str">
        <f>VLOOKUP($A874,Table1[],5,TRUE)</f>
        <v>Male</v>
      </c>
      <c r="D874" s="3" t="str">
        <f>VLOOKUP($A874,Table1[],7,TRUE)</f>
        <v>26</v>
      </c>
      <c r="E874" s="3" t="str">
        <f>VLOOKUP($A874,Table1[],8,TRUE)</f>
        <v>Spain</v>
      </c>
      <c r="F874" s="3" t="str">
        <f>VLOOKUP($A874,Table1[],9,TRUE)</f>
        <v>Spanish</v>
      </c>
      <c r="G874" s="3" t="str">
        <f>VLOOKUP($A874,Table1[],10,TRUE)</f>
        <v>Blockchain Development</v>
      </c>
      <c r="H874" s="13" t="str">
        <f>VLOOKUP($A874,Table1[],12,TRUE)</f>
        <v>Unknown</v>
      </c>
      <c r="I874" s="20">
        <v>75</v>
      </c>
      <c r="J874" s="15">
        <f>VLOOKUP($A874,Table1[],18,TRUE)</f>
        <v>2.1</v>
      </c>
      <c r="K874" s="12" t="str">
        <f>VLOOKUP($A874,Table1[],22,TRUE)</f>
        <v>TRUE</v>
      </c>
      <c r="L874" s="13">
        <f>VLOOKUP($A874,Table1[],25,TRUE)</f>
        <v>0.75</v>
      </c>
    </row>
    <row r="875" spans="1:12" x14ac:dyDescent="0.25">
      <c r="A875" t="s">
        <v>1825</v>
      </c>
      <c r="B875" s="18" t="str">
        <f>VLOOKUP(A875,Table1[],3,TRUE)</f>
        <v>Courtney Burton</v>
      </c>
      <c r="C875" s="18" t="str">
        <f>VLOOKUP($A875,Table1[],5,TRUE)</f>
        <v>Female</v>
      </c>
      <c r="D875" s="3" t="str">
        <f>VLOOKUP($A875,Table1[],7,TRUE)</f>
        <v>36</v>
      </c>
      <c r="E875" s="3" t="str">
        <f>VLOOKUP($A875,Table1[],8,TRUE)</f>
        <v>South Korea</v>
      </c>
      <c r="F875" s="3" t="str">
        <f>VLOOKUP($A875,Table1[],9,TRUE)</f>
        <v>Korean</v>
      </c>
      <c r="G875" s="3" t="str">
        <f>VLOOKUP($A875,Table1[],10,TRUE)</f>
        <v>UI/UX Design</v>
      </c>
      <c r="H875" s="13" t="str">
        <f>VLOOKUP($A875,Table1[],12,TRUE)</f>
        <v>0</v>
      </c>
      <c r="I875" s="20">
        <v>75</v>
      </c>
      <c r="J875" s="15">
        <f>VLOOKUP($A875,Table1[],18,TRUE)</f>
        <v>1.5</v>
      </c>
      <c r="K875" s="12" t="str">
        <f>VLOOKUP($A875,Table1[],22,TRUE)</f>
        <v>TRUE</v>
      </c>
      <c r="L875" s="13">
        <f>VLOOKUP($A875,Table1[],25,TRUE)</f>
        <v>0.73</v>
      </c>
    </row>
    <row r="876" spans="1:12" x14ac:dyDescent="0.25">
      <c r="A876" t="s">
        <v>1827</v>
      </c>
      <c r="B876" s="18" t="str">
        <f>VLOOKUP(A876,Table1[],3,TRUE)</f>
        <v>Gerald Taylor</v>
      </c>
      <c r="C876" s="18" t="str">
        <f>VLOOKUP($A876,Table1[],5,TRUE)</f>
        <v>Male</v>
      </c>
      <c r="D876" s="3" t="str">
        <f>VLOOKUP($A876,Table1[],7,TRUE)</f>
        <v>20</v>
      </c>
      <c r="E876" s="3" t="str">
        <f>VLOOKUP($A876,Table1[],8,TRUE)</f>
        <v>Russia</v>
      </c>
      <c r="F876" s="3" t="str">
        <f>VLOOKUP($A876,Table1[],9,TRUE)</f>
        <v>Russian</v>
      </c>
      <c r="G876" s="3" t="str">
        <f>VLOOKUP($A876,Table1[],10,TRUE)</f>
        <v>Web Development</v>
      </c>
      <c r="H876" s="13" t="str">
        <f>VLOOKUP($A876,Table1[],12,TRUE)</f>
        <v>2</v>
      </c>
      <c r="I876" s="20">
        <v>30</v>
      </c>
      <c r="J876" s="15">
        <f>VLOOKUP($A876,Table1[],18,TRUE)</f>
        <v>1.7</v>
      </c>
      <c r="K876" s="12" t="str">
        <f>VLOOKUP($A876,Table1[],22,TRUE)</f>
        <v>TRUE</v>
      </c>
      <c r="L876" s="13">
        <f>VLOOKUP($A876,Table1[],25,TRUE)</f>
        <v>0.6</v>
      </c>
    </row>
    <row r="877" spans="1:12" x14ac:dyDescent="0.25">
      <c r="A877" t="s">
        <v>1829</v>
      </c>
      <c r="B877" s="18" t="str">
        <f>VLOOKUP(A877,Table1[],3,TRUE)</f>
        <v>Mary Ward</v>
      </c>
      <c r="C877" s="18" t="str">
        <f>VLOOKUP($A877,Table1[],5,TRUE)</f>
        <v>Female</v>
      </c>
      <c r="D877" s="3" t="str">
        <f>VLOOKUP($A877,Table1[],7,TRUE)</f>
        <v>40</v>
      </c>
      <c r="E877" s="3" t="str">
        <f>VLOOKUP($A877,Table1[],8,TRUE)</f>
        <v>Spain</v>
      </c>
      <c r="F877" s="3" t="str">
        <f>VLOOKUP($A877,Table1[],9,TRUE)</f>
        <v>Spanish</v>
      </c>
      <c r="G877" s="3" t="str">
        <f>VLOOKUP($A877,Table1[],10,TRUE)</f>
        <v>AI</v>
      </c>
      <c r="H877" s="13" t="str">
        <f>VLOOKUP($A877,Table1[],12,TRUE)</f>
        <v>Unknown</v>
      </c>
      <c r="I877" s="20">
        <v>50</v>
      </c>
      <c r="J877" s="15">
        <f>VLOOKUP($A877,Table1[],18,TRUE)</f>
        <v>1.2</v>
      </c>
      <c r="K877" s="12" t="str">
        <f>VLOOKUP($A877,Table1[],22,TRUE)</f>
        <v>TRUE</v>
      </c>
      <c r="L877" s="13">
        <f>VLOOKUP($A877,Table1[],25,TRUE)</f>
        <v>0.67</v>
      </c>
    </row>
    <row r="878" spans="1:12" x14ac:dyDescent="0.25">
      <c r="A878" t="s">
        <v>1831</v>
      </c>
      <c r="B878" s="18" t="str">
        <f>VLOOKUP(A878,Table1[],3,TRUE)</f>
        <v>Lisa Beard Dvm</v>
      </c>
      <c r="C878" s="18" t="str">
        <f>VLOOKUP($A878,Table1[],5,TRUE)</f>
        <v>Female</v>
      </c>
      <c r="D878" s="3" t="str">
        <f>VLOOKUP($A878,Table1[],7,TRUE)</f>
        <v>30</v>
      </c>
      <c r="E878" s="3" t="str">
        <f>VLOOKUP($A878,Table1[],8,TRUE)</f>
        <v>India</v>
      </c>
      <c r="F878" s="3" t="str">
        <f>VLOOKUP($A878,Table1[],9,TRUE)</f>
        <v>Hindi</v>
      </c>
      <c r="G878" s="3" t="str">
        <f>VLOOKUP($A878,Table1[],10,TRUE)</f>
        <v>Mobile Apps</v>
      </c>
      <c r="H878" s="13" t="str">
        <f>VLOOKUP($A878,Table1[],12,TRUE)</f>
        <v>6</v>
      </c>
      <c r="I878" s="20">
        <v>75</v>
      </c>
      <c r="J878" s="15">
        <f>VLOOKUP($A878,Table1[],18,TRUE)</f>
        <v>0</v>
      </c>
      <c r="K878" s="12" t="str">
        <f>VLOOKUP($A878,Table1[],22,TRUE)</f>
        <v>TRUE</v>
      </c>
      <c r="L878" s="13">
        <f>VLOOKUP($A878,Table1[],25,TRUE)</f>
        <v>0.8</v>
      </c>
    </row>
    <row r="879" spans="1:12" x14ac:dyDescent="0.25">
      <c r="A879" t="s">
        <v>1833</v>
      </c>
      <c r="B879" s="18" t="str">
        <f>VLOOKUP(A879,Table1[],3,TRUE)</f>
        <v>Larry Wallace</v>
      </c>
      <c r="C879" s="18" t="str">
        <f>VLOOKUP($A879,Table1[],5,TRUE)</f>
        <v>Male</v>
      </c>
      <c r="D879" s="3" t="str">
        <f>VLOOKUP($A879,Table1[],7,TRUE)</f>
        <v>51</v>
      </c>
      <c r="E879" s="3" t="str">
        <f>VLOOKUP($A879,Table1[],8,TRUE)</f>
        <v>Australia</v>
      </c>
      <c r="F879" s="3" t="str">
        <f>VLOOKUP($A879,Table1[],9,TRUE)</f>
        <v>English</v>
      </c>
      <c r="G879" s="3" t="str">
        <f>VLOOKUP($A879,Table1[],10,TRUE)</f>
        <v>Graphic Design</v>
      </c>
      <c r="H879" s="13" t="str">
        <f>VLOOKUP($A879,Table1[],12,TRUE)</f>
        <v>21</v>
      </c>
      <c r="I879" s="20">
        <v>20</v>
      </c>
      <c r="J879" s="15">
        <f>VLOOKUP($A879,Table1[],18,TRUE)</f>
        <v>2.6</v>
      </c>
      <c r="K879" s="12" t="str">
        <f>VLOOKUP($A879,Table1[],22,TRUE)</f>
        <v>TRUE</v>
      </c>
      <c r="L879" s="13">
        <f>VLOOKUP($A879,Table1[],25,TRUE)</f>
        <v>0.75</v>
      </c>
    </row>
    <row r="880" spans="1:12" x14ac:dyDescent="0.25">
      <c r="A880" t="s">
        <v>1835</v>
      </c>
      <c r="B880" s="18" t="str">
        <f>VLOOKUP(A880,Table1[],3,TRUE)</f>
        <v>Jeremiah Thompson</v>
      </c>
      <c r="C880" s="18" t="str">
        <f>VLOOKUP($A880,Table1[],5,TRUE)</f>
        <v>Male</v>
      </c>
      <c r="D880" s="3" t="str">
        <f>VLOOKUP($A880,Table1[],7,TRUE)</f>
        <v>46</v>
      </c>
      <c r="E880" s="3" t="str">
        <f>VLOOKUP($A880,Table1[],8,TRUE)</f>
        <v>United States</v>
      </c>
      <c r="F880" s="3" t="str">
        <f>VLOOKUP($A880,Table1[],9,TRUE)</f>
        <v>English</v>
      </c>
      <c r="G880" s="3" t="str">
        <f>VLOOKUP($A880,Table1[],10,TRUE)</f>
        <v>UI/UX Design</v>
      </c>
      <c r="H880" s="13" t="str">
        <f>VLOOKUP($A880,Table1[],12,TRUE)</f>
        <v>24</v>
      </c>
      <c r="I880" s="20">
        <v>40</v>
      </c>
      <c r="J880" s="15">
        <f>VLOOKUP($A880,Table1[],18,TRUE)</f>
        <v>3.3</v>
      </c>
      <c r="K880" s="12" t="str">
        <f>VLOOKUP($A880,Table1[],22,TRUE)</f>
        <v>TRUE</v>
      </c>
      <c r="L880" s="13">
        <f>VLOOKUP($A880,Table1[],25,TRUE)</f>
        <v>0.87</v>
      </c>
    </row>
    <row r="881" spans="1:12" x14ac:dyDescent="0.25">
      <c r="A881" t="s">
        <v>1837</v>
      </c>
      <c r="B881" s="18" t="str">
        <f>VLOOKUP(A881,Table1[],3,TRUE)</f>
        <v>Jessica Williams Dvm</v>
      </c>
      <c r="C881" s="18" t="str">
        <f>VLOOKUP($A881,Table1[],5,TRUE)</f>
        <v>Female</v>
      </c>
      <c r="D881" s="3" t="str">
        <f>VLOOKUP($A881,Table1[],7,TRUE)</f>
        <v>25</v>
      </c>
      <c r="E881" s="3" t="str">
        <f>VLOOKUP($A881,Table1[],8,TRUE)</f>
        <v>South Korea</v>
      </c>
      <c r="F881" s="3" t="str">
        <f>VLOOKUP($A881,Table1[],9,TRUE)</f>
        <v>Korean</v>
      </c>
      <c r="G881" s="3" t="str">
        <f>VLOOKUP($A881,Table1[],10,TRUE)</f>
        <v>AI</v>
      </c>
      <c r="H881" s="13" t="str">
        <f>VLOOKUP($A881,Table1[],12,TRUE)</f>
        <v>6</v>
      </c>
      <c r="I881" s="20">
        <v>20</v>
      </c>
      <c r="J881" s="15">
        <f>VLOOKUP($A881,Table1[],18,TRUE)</f>
        <v>2.1</v>
      </c>
      <c r="K881" s="12" t="str">
        <f>VLOOKUP($A881,Table1[],22,TRUE)</f>
        <v>FALSE</v>
      </c>
      <c r="L881" s="13">
        <f>VLOOKUP($A881,Table1[],25,TRUE)</f>
        <v>0.75</v>
      </c>
    </row>
    <row r="882" spans="1:12" x14ac:dyDescent="0.25">
      <c r="A882" t="s">
        <v>1839</v>
      </c>
      <c r="B882" s="18" t="str">
        <f>VLOOKUP(A882,Table1[],3,TRUE)</f>
        <v>Martin Moreno</v>
      </c>
      <c r="C882" s="18" t="str">
        <f>VLOOKUP($A882,Table1[],5,TRUE)</f>
        <v>Male</v>
      </c>
      <c r="D882" s="3" t="str">
        <f>VLOOKUP($A882,Table1[],7,TRUE)</f>
        <v>53</v>
      </c>
      <c r="E882" s="3" t="str">
        <f>VLOOKUP($A882,Table1[],8,TRUE)</f>
        <v>Netherlands</v>
      </c>
      <c r="F882" s="3" t="str">
        <f>VLOOKUP($A882,Table1[],9,TRUE)</f>
        <v>Dutch</v>
      </c>
      <c r="G882" s="3" t="str">
        <f>VLOOKUP($A882,Table1[],10,TRUE)</f>
        <v>Web Development</v>
      </c>
      <c r="H882" s="13" t="str">
        <f>VLOOKUP($A882,Table1[],12,TRUE)</f>
        <v>32</v>
      </c>
      <c r="I882" s="20">
        <v>50</v>
      </c>
      <c r="J882" s="15">
        <f>VLOOKUP($A882,Table1[],18,TRUE)</f>
        <v>2.6</v>
      </c>
      <c r="K882" s="12" t="str">
        <f>VLOOKUP($A882,Table1[],22,TRUE)</f>
        <v>TRUE</v>
      </c>
      <c r="L882" s="13">
        <f>VLOOKUP($A882,Table1[],25,TRUE)</f>
        <v>0.75</v>
      </c>
    </row>
    <row r="883" spans="1:12" x14ac:dyDescent="0.25">
      <c r="A883" t="s">
        <v>1841</v>
      </c>
      <c r="B883" s="18" t="str">
        <f>VLOOKUP(A883,Table1[],3,TRUE)</f>
        <v>Yolanda Proctor</v>
      </c>
      <c r="C883" s="18" t="str">
        <f>VLOOKUP($A883,Table1[],5,TRUE)</f>
        <v>Female</v>
      </c>
      <c r="D883" s="3" t="str">
        <f>VLOOKUP($A883,Table1[],7,TRUE)</f>
        <v>50</v>
      </c>
      <c r="E883" s="3" t="str">
        <f>VLOOKUP($A883,Table1[],8,TRUE)</f>
        <v>Egypt</v>
      </c>
      <c r="F883" s="3" t="str">
        <f>VLOOKUP($A883,Table1[],9,TRUE)</f>
        <v>Arabic</v>
      </c>
      <c r="G883" s="3" t="str">
        <f>VLOOKUP($A883,Table1[],10,TRUE)</f>
        <v>Mobile Apps</v>
      </c>
      <c r="H883" s="13" t="str">
        <f>VLOOKUP($A883,Table1[],12,TRUE)</f>
        <v>31</v>
      </c>
      <c r="I883" s="20">
        <v>100</v>
      </c>
      <c r="J883" s="15">
        <f>VLOOKUP($A883,Table1[],18,TRUE)</f>
        <v>2.9</v>
      </c>
      <c r="K883" s="12" t="str">
        <f>VLOOKUP($A883,Table1[],22,TRUE)</f>
        <v>TRUE</v>
      </c>
      <c r="L883" s="13">
        <f>VLOOKUP($A883,Table1[],25,TRUE)</f>
        <v>0.89</v>
      </c>
    </row>
    <row r="884" spans="1:12" x14ac:dyDescent="0.25">
      <c r="A884" t="s">
        <v>1843</v>
      </c>
      <c r="B884" s="18" t="str">
        <f>VLOOKUP(A884,Table1[],3,TRUE)</f>
        <v>Allen Turner</v>
      </c>
      <c r="C884" s="18" t="str">
        <f>VLOOKUP($A884,Table1[],5,TRUE)</f>
        <v>Male</v>
      </c>
      <c r="D884" s="3" t="str">
        <f>VLOOKUP($A884,Table1[],7,TRUE)</f>
        <v>45</v>
      </c>
      <c r="E884" s="3" t="str">
        <f>VLOOKUP($A884,Table1[],8,TRUE)</f>
        <v>South Korea</v>
      </c>
      <c r="F884" s="3" t="str">
        <f>VLOOKUP($A884,Table1[],9,TRUE)</f>
        <v>Korean</v>
      </c>
      <c r="G884" s="3" t="str">
        <f>VLOOKUP($A884,Table1[],10,TRUE)</f>
        <v>AI</v>
      </c>
      <c r="H884" s="13" t="str">
        <f>VLOOKUP($A884,Table1[],12,TRUE)</f>
        <v>Unknown</v>
      </c>
      <c r="I884" s="20">
        <v>20</v>
      </c>
      <c r="J884" s="15">
        <f>VLOOKUP($A884,Table1[],18,TRUE)</f>
        <v>3.3</v>
      </c>
      <c r="K884" s="12" t="str">
        <f>VLOOKUP($A884,Table1[],22,TRUE)</f>
        <v>TRUE</v>
      </c>
      <c r="L884" s="13">
        <f>VLOOKUP($A884,Table1[],25,TRUE)</f>
        <v>0.93</v>
      </c>
    </row>
    <row r="885" spans="1:12" x14ac:dyDescent="0.25">
      <c r="A885" t="s">
        <v>1845</v>
      </c>
      <c r="B885" s="18" t="str">
        <f>VLOOKUP(A885,Table1[],3,TRUE)</f>
        <v>Beth Huff</v>
      </c>
      <c r="C885" s="18" t="str">
        <f>VLOOKUP($A885,Table1[],5,TRUE)</f>
        <v>Female</v>
      </c>
      <c r="D885" s="3" t="str">
        <f>VLOOKUP($A885,Table1[],7,TRUE)</f>
        <v>48</v>
      </c>
      <c r="E885" s="3" t="str">
        <f>VLOOKUP($A885,Table1[],8,TRUE)</f>
        <v>Canada</v>
      </c>
      <c r="F885" s="3" t="str">
        <f>VLOOKUP($A885,Table1[],9,TRUE)</f>
        <v>English</v>
      </c>
      <c r="G885" s="3" t="str">
        <f>VLOOKUP($A885,Table1[],10,TRUE)</f>
        <v>Cybersecurity</v>
      </c>
      <c r="H885" s="13" t="str">
        <f>VLOOKUP($A885,Table1[],12,TRUE)</f>
        <v>24</v>
      </c>
      <c r="I885" s="20">
        <v>100</v>
      </c>
      <c r="J885" s="15">
        <f>VLOOKUP($A885,Table1[],18,TRUE)</f>
        <v>4.8</v>
      </c>
      <c r="K885" s="12" t="str">
        <f>VLOOKUP($A885,Table1[],22,TRUE)</f>
        <v>TRUE</v>
      </c>
      <c r="L885" s="13">
        <f>VLOOKUP($A885,Table1[],25,TRUE)</f>
        <v>0.84</v>
      </c>
    </row>
    <row r="886" spans="1:12" x14ac:dyDescent="0.25">
      <c r="A886" t="s">
        <v>1847</v>
      </c>
      <c r="B886" s="18" t="str">
        <f>VLOOKUP(A886,Table1[],3,TRUE)</f>
        <v>John Mckinney</v>
      </c>
      <c r="C886" s="18" t="str">
        <f>VLOOKUP($A886,Table1[],5,TRUE)</f>
        <v>Male</v>
      </c>
      <c r="D886" s="3" t="str">
        <f>VLOOKUP($A886,Table1[],7,TRUE)</f>
        <v>30</v>
      </c>
      <c r="E886" s="3" t="str">
        <f>VLOOKUP($A886,Table1[],8,TRUE)</f>
        <v>Indonesia</v>
      </c>
      <c r="F886" s="3" t="str">
        <f>VLOOKUP($A886,Table1[],9,TRUE)</f>
        <v>Indonesian</v>
      </c>
      <c r="G886" s="3" t="str">
        <f>VLOOKUP($A886,Table1[],10,TRUE)</f>
        <v>DevOps</v>
      </c>
      <c r="H886" s="13" t="str">
        <f>VLOOKUP($A886,Table1[],12,TRUE)</f>
        <v>Unknown</v>
      </c>
      <c r="I886" s="20">
        <v>100</v>
      </c>
      <c r="J886" s="15">
        <f>VLOOKUP($A886,Table1[],18,TRUE)</f>
        <v>4.5</v>
      </c>
      <c r="K886" s="12" t="str">
        <f>VLOOKUP($A886,Table1[],22,TRUE)</f>
        <v>TRUE</v>
      </c>
      <c r="L886" s="13">
        <f>VLOOKUP($A886,Table1[],25,TRUE)</f>
        <v>0.78</v>
      </c>
    </row>
    <row r="887" spans="1:12" x14ac:dyDescent="0.25">
      <c r="A887" t="s">
        <v>1849</v>
      </c>
      <c r="B887" s="18" t="str">
        <f>VLOOKUP(A887,Table1[],3,TRUE)</f>
        <v>Sarah Ho</v>
      </c>
      <c r="C887" s="18" t="str">
        <f>VLOOKUP($A887,Table1[],5,TRUE)</f>
        <v>Female</v>
      </c>
      <c r="D887" s="3" t="str">
        <f>VLOOKUP($A887,Table1[],7,TRUE)</f>
        <v>33</v>
      </c>
      <c r="E887" s="3" t="str">
        <f>VLOOKUP($A887,Table1[],8,TRUE)</f>
        <v>Netherlands</v>
      </c>
      <c r="F887" s="3" t="str">
        <f>VLOOKUP($A887,Table1[],9,TRUE)</f>
        <v>Dutch</v>
      </c>
      <c r="G887" s="3" t="str">
        <f>VLOOKUP($A887,Table1[],10,TRUE)</f>
        <v>UI/UX Design</v>
      </c>
      <c r="H887" s="13" t="str">
        <f>VLOOKUP($A887,Table1[],12,TRUE)</f>
        <v>6</v>
      </c>
      <c r="I887" s="20">
        <v>50</v>
      </c>
      <c r="J887" s="15">
        <f>VLOOKUP($A887,Table1[],18,TRUE)</f>
        <v>3.1</v>
      </c>
      <c r="K887" s="12" t="str">
        <f>VLOOKUP($A887,Table1[],22,TRUE)</f>
        <v>FALSE</v>
      </c>
      <c r="L887" s="13">
        <f>VLOOKUP($A887,Table1[],25,TRUE)</f>
        <v>0.9</v>
      </c>
    </row>
    <row r="888" spans="1:12" x14ac:dyDescent="0.25">
      <c r="A888" t="s">
        <v>1850</v>
      </c>
      <c r="B888" s="18" t="str">
        <f>VLOOKUP(A888,Table1[],3,TRUE)</f>
        <v>Lindsey Wang</v>
      </c>
      <c r="C888" s="18" t="str">
        <f>VLOOKUP($A888,Table1[],5,TRUE)</f>
        <v>Female</v>
      </c>
      <c r="D888" s="3" t="str">
        <f>VLOOKUP($A888,Table1[],7,TRUE)</f>
        <v>50</v>
      </c>
      <c r="E888" s="3" t="str">
        <f>VLOOKUP($A888,Table1[],8,TRUE)</f>
        <v>United Kingdom</v>
      </c>
      <c r="F888" s="3" t="str">
        <f>VLOOKUP($A888,Table1[],9,TRUE)</f>
        <v>English</v>
      </c>
      <c r="G888" s="3" t="str">
        <f>VLOOKUP($A888,Table1[],10,TRUE)</f>
        <v>DevOps</v>
      </c>
      <c r="H888" s="13" t="str">
        <f>VLOOKUP($A888,Table1[],12,TRUE)</f>
        <v>11</v>
      </c>
      <c r="I888" s="20">
        <v>50</v>
      </c>
      <c r="J888" s="15">
        <f>VLOOKUP($A888,Table1[],18,TRUE)</f>
        <v>4.9000000000000004</v>
      </c>
      <c r="K888" s="12" t="str">
        <f>VLOOKUP($A888,Table1[],22,TRUE)</f>
        <v>TRUE</v>
      </c>
      <c r="L888" s="13">
        <f>VLOOKUP($A888,Table1[],25,TRUE)</f>
        <v>0.88</v>
      </c>
    </row>
    <row r="889" spans="1:12" x14ac:dyDescent="0.25">
      <c r="A889" t="s">
        <v>1852</v>
      </c>
      <c r="B889" s="18" t="str">
        <f>VLOOKUP(A889,Table1[],3,TRUE)</f>
        <v>Margaret Schwartz</v>
      </c>
      <c r="C889" s="18" t="str">
        <f>VLOOKUP($A889,Table1[],5,TRUE)</f>
        <v>Female</v>
      </c>
      <c r="D889" s="3" t="str">
        <f>VLOOKUP($A889,Table1[],7,TRUE)</f>
        <v>24</v>
      </c>
      <c r="E889" s="3" t="str">
        <f>VLOOKUP($A889,Table1[],8,TRUE)</f>
        <v>Indonesia</v>
      </c>
      <c r="F889" s="3" t="str">
        <f>VLOOKUP($A889,Table1[],9,TRUE)</f>
        <v>Indonesian</v>
      </c>
      <c r="G889" s="3" t="str">
        <f>VLOOKUP($A889,Table1[],10,TRUE)</f>
        <v>Data Analysis</v>
      </c>
      <c r="H889" s="13" t="str">
        <f>VLOOKUP($A889,Table1[],12,TRUE)</f>
        <v>Unknown</v>
      </c>
      <c r="I889" s="20">
        <v>20</v>
      </c>
      <c r="J889" s="15">
        <f>VLOOKUP($A889,Table1[],18,TRUE)</f>
        <v>0</v>
      </c>
      <c r="K889" s="12" t="str">
        <f>VLOOKUP($A889,Table1[],22,TRUE)</f>
        <v>FALSE</v>
      </c>
      <c r="L889" s="13">
        <f>VLOOKUP($A889,Table1[],25,TRUE)</f>
        <v>0.76</v>
      </c>
    </row>
    <row r="890" spans="1:12" x14ac:dyDescent="0.25">
      <c r="A890" t="s">
        <v>1854</v>
      </c>
      <c r="B890" s="18" t="str">
        <f>VLOOKUP(A890,Table1[],3,TRUE)</f>
        <v>Kyle Ray</v>
      </c>
      <c r="C890" s="18" t="str">
        <f>VLOOKUP($A890,Table1[],5,TRUE)</f>
        <v>Male</v>
      </c>
      <c r="D890" s="3" t="str">
        <f>VLOOKUP($A890,Table1[],7,TRUE)</f>
        <v>38</v>
      </c>
      <c r="E890" s="3" t="str">
        <f>VLOOKUP($A890,Table1[],8,TRUE)</f>
        <v>Italy</v>
      </c>
      <c r="F890" s="3" t="str">
        <f>VLOOKUP($A890,Table1[],9,TRUE)</f>
        <v>Italian</v>
      </c>
      <c r="G890" s="3" t="str">
        <f>VLOOKUP($A890,Table1[],10,TRUE)</f>
        <v>Web Development</v>
      </c>
      <c r="H890" s="13" t="str">
        <f>VLOOKUP($A890,Table1[],12,TRUE)</f>
        <v>14</v>
      </c>
      <c r="I890" s="20">
        <v>75</v>
      </c>
      <c r="J890" s="15">
        <f>VLOOKUP($A890,Table1[],18,TRUE)</f>
        <v>1.5</v>
      </c>
      <c r="K890" s="12" t="str">
        <f>VLOOKUP($A890,Table1[],22,TRUE)</f>
        <v>FALSE</v>
      </c>
      <c r="L890" s="13">
        <f>VLOOKUP($A890,Table1[],25,TRUE)</f>
        <v>0.62</v>
      </c>
    </row>
    <row r="891" spans="1:12" x14ac:dyDescent="0.25">
      <c r="A891" t="s">
        <v>1856</v>
      </c>
      <c r="B891" s="18" t="str">
        <f>VLOOKUP(A891,Table1[],3,TRUE)</f>
        <v>Isaac Hebert</v>
      </c>
      <c r="C891" s="18" t="str">
        <f>VLOOKUP($A891,Table1[],5,TRUE)</f>
        <v>Male</v>
      </c>
      <c r="D891" s="3" t="str">
        <f>VLOOKUP($A891,Table1[],7,TRUE)</f>
        <v>56</v>
      </c>
      <c r="E891" s="3" t="str">
        <f>VLOOKUP($A891,Table1[],8,TRUE)</f>
        <v>Japan</v>
      </c>
      <c r="F891" s="3" t="str">
        <f>VLOOKUP($A891,Table1[],9,TRUE)</f>
        <v>Japanese</v>
      </c>
      <c r="G891" s="3" t="str">
        <f>VLOOKUP($A891,Table1[],10,TRUE)</f>
        <v>DevOps</v>
      </c>
      <c r="H891" s="13" t="str">
        <f>VLOOKUP($A891,Table1[],12,TRUE)</f>
        <v>2</v>
      </c>
      <c r="I891" s="20">
        <v>75</v>
      </c>
      <c r="J891" s="15">
        <f>VLOOKUP($A891,Table1[],18,TRUE)</f>
        <v>2.4</v>
      </c>
      <c r="K891" s="12" t="str">
        <f>VLOOKUP($A891,Table1[],22,TRUE)</f>
        <v>FALSE</v>
      </c>
      <c r="L891" s="13">
        <f>VLOOKUP($A891,Table1[],25,TRUE)</f>
        <v>0.75</v>
      </c>
    </row>
    <row r="892" spans="1:12" x14ac:dyDescent="0.25">
      <c r="A892" t="s">
        <v>1858</v>
      </c>
      <c r="B892" s="18" t="str">
        <f>VLOOKUP(A892,Table1[],3,TRUE)</f>
        <v>Michele Jones</v>
      </c>
      <c r="C892" s="18" t="str">
        <f>VLOOKUP($A892,Table1[],5,TRUE)</f>
        <v>Female</v>
      </c>
      <c r="D892" s="3" t="str">
        <f>VLOOKUP($A892,Table1[],7,TRUE)</f>
        <v>41</v>
      </c>
      <c r="E892" s="3" t="str">
        <f>VLOOKUP($A892,Table1[],8,TRUE)</f>
        <v>Russia</v>
      </c>
      <c r="F892" s="3" t="str">
        <f>VLOOKUP($A892,Table1[],9,TRUE)</f>
        <v>Russian</v>
      </c>
      <c r="G892" s="3" t="str">
        <f>VLOOKUP($A892,Table1[],10,TRUE)</f>
        <v>DevOps</v>
      </c>
      <c r="H892" s="13" t="str">
        <f>VLOOKUP($A892,Table1[],12,TRUE)</f>
        <v>2</v>
      </c>
      <c r="I892" s="20">
        <v>100</v>
      </c>
      <c r="J892" s="15">
        <f>VLOOKUP($A892,Table1[],18,TRUE)</f>
        <v>4.5</v>
      </c>
      <c r="K892" s="12" t="str">
        <f>VLOOKUP($A892,Table1[],22,TRUE)</f>
        <v>FALSE</v>
      </c>
      <c r="L892" s="13">
        <f>VLOOKUP($A892,Table1[],25,TRUE)</f>
        <v>0.75</v>
      </c>
    </row>
    <row r="893" spans="1:12" x14ac:dyDescent="0.25">
      <c r="A893" t="s">
        <v>1860</v>
      </c>
      <c r="B893" s="18" t="str">
        <f>VLOOKUP(A893,Table1[],3,TRUE)</f>
        <v>Austin Allen</v>
      </c>
      <c r="C893" s="18" t="str">
        <f>VLOOKUP($A893,Table1[],5,TRUE)</f>
        <v>Male</v>
      </c>
      <c r="D893" s="3" t="str">
        <f>VLOOKUP($A893,Table1[],7,TRUE)</f>
        <v>Unknown</v>
      </c>
      <c r="E893" s="3" t="str">
        <f>VLOOKUP($A893,Table1[],8,TRUE)</f>
        <v>Italy</v>
      </c>
      <c r="F893" s="3" t="str">
        <f>VLOOKUP($A893,Table1[],9,TRUE)</f>
        <v>Italian</v>
      </c>
      <c r="G893" s="3" t="str">
        <f>VLOOKUP($A893,Table1[],10,TRUE)</f>
        <v>UI/UX Design</v>
      </c>
      <c r="H893" s="13" t="str">
        <f>VLOOKUP($A893,Table1[],12,TRUE)</f>
        <v>11</v>
      </c>
      <c r="I893" s="20">
        <v>100</v>
      </c>
      <c r="J893" s="15">
        <f>VLOOKUP($A893,Table1[],18,TRUE)</f>
        <v>2.5</v>
      </c>
      <c r="K893" s="12" t="str">
        <f>VLOOKUP($A893,Table1[],22,TRUE)</f>
        <v>TRUE</v>
      </c>
      <c r="L893" s="13">
        <f>VLOOKUP($A893,Table1[],25,TRUE)</f>
        <v>0.8</v>
      </c>
    </row>
    <row r="894" spans="1:12" x14ac:dyDescent="0.25">
      <c r="A894" t="s">
        <v>1862</v>
      </c>
      <c r="B894" s="18" t="str">
        <f>VLOOKUP(A894,Table1[],3,TRUE)</f>
        <v>Haley Castro</v>
      </c>
      <c r="C894" s="18" t="str">
        <f>VLOOKUP($A894,Table1[],5,TRUE)</f>
        <v>Female</v>
      </c>
      <c r="D894" s="3" t="str">
        <f>VLOOKUP($A894,Table1[],7,TRUE)</f>
        <v>42</v>
      </c>
      <c r="E894" s="3" t="str">
        <f>VLOOKUP($A894,Table1[],8,TRUE)</f>
        <v>Germany</v>
      </c>
      <c r="F894" s="3" t="str">
        <f>VLOOKUP($A894,Table1[],9,TRUE)</f>
        <v>German</v>
      </c>
      <c r="G894" s="3" t="str">
        <f>VLOOKUP($A894,Table1[],10,TRUE)</f>
        <v>Graphic Design</v>
      </c>
      <c r="H894" s="13" t="str">
        <f>VLOOKUP($A894,Table1[],12,TRUE)</f>
        <v>13</v>
      </c>
      <c r="I894" s="20">
        <v>30</v>
      </c>
      <c r="J894" s="15">
        <f>VLOOKUP($A894,Table1[],18,TRUE)</f>
        <v>3.3</v>
      </c>
      <c r="K894" s="12" t="str">
        <f>VLOOKUP($A894,Table1[],22,TRUE)</f>
        <v>TRUE</v>
      </c>
      <c r="L894" s="13">
        <f>VLOOKUP($A894,Table1[],25,TRUE)</f>
        <v>0.63</v>
      </c>
    </row>
    <row r="895" spans="1:12" x14ac:dyDescent="0.25">
      <c r="A895" t="s">
        <v>1864</v>
      </c>
      <c r="B895" s="18" t="str">
        <f>VLOOKUP(A895,Table1[],3,TRUE)</f>
        <v>David Armstrong</v>
      </c>
      <c r="C895" s="18" t="str">
        <f>VLOOKUP($A895,Table1[],5,TRUE)</f>
        <v>Male</v>
      </c>
      <c r="D895" s="3" t="str">
        <f>VLOOKUP($A895,Table1[],7,TRUE)</f>
        <v>26</v>
      </c>
      <c r="E895" s="3" t="str">
        <f>VLOOKUP($A895,Table1[],8,TRUE)</f>
        <v>India</v>
      </c>
      <c r="F895" s="3" t="str">
        <f>VLOOKUP($A895,Table1[],9,TRUE)</f>
        <v>Hindi</v>
      </c>
      <c r="G895" s="3" t="str">
        <f>VLOOKUP($A895,Table1[],10,TRUE)</f>
        <v>Blockchain Development</v>
      </c>
      <c r="H895" s="13" t="str">
        <f>VLOOKUP($A895,Table1[],12,TRUE)</f>
        <v>7</v>
      </c>
      <c r="I895" s="20">
        <v>75</v>
      </c>
      <c r="J895" s="15">
        <f>VLOOKUP($A895,Table1[],18,TRUE)</f>
        <v>3</v>
      </c>
      <c r="K895" s="12" t="str">
        <f>VLOOKUP($A895,Table1[],22,TRUE)</f>
        <v>TRUE</v>
      </c>
      <c r="L895" s="13">
        <f>VLOOKUP($A895,Table1[],25,TRUE)</f>
        <v>0.84</v>
      </c>
    </row>
    <row r="896" spans="1:12" x14ac:dyDescent="0.25">
      <c r="A896" t="s">
        <v>1866</v>
      </c>
      <c r="B896" s="18" t="str">
        <f>VLOOKUP(A896,Table1[],3,TRUE)</f>
        <v>Wendy Mitchell</v>
      </c>
      <c r="C896" s="18" t="str">
        <f>VLOOKUP($A896,Table1[],5,TRUE)</f>
        <v>Female</v>
      </c>
      <c r="D896" s="3" t="str">
        <f>VLOOKUP($A896,Table1[],7,TRUE)</f>
        <v>44</v>
      </c>
      <c r="E896" s="3" t="str">
        <f>VLOOKUP($A896,Table1[],8,TRUE)</f>
        <v>Canada</v>
      </c>
      <c r="F896" s="3" t="str">
        <f>VLOOKUP($A896,Table1[],9,TRUE)</f>
        <v>English</v>
      </c>
      <c r="G896" s="3" t="str">
        <f>VLOOKUP($A896,Table1[],10,TRUE)</f>
        <v>Cybersecurity</v>
      </c>
      <c r="H896" s="13" t="str">
        <f>VLOOKUP($A896,Table1[],12,TRUE)</f>
        <v>25</v>
      </c>
      <c r="I896" s="20">
        <v>75</v>
      </c>
      <c r="J896" s="15">
        <f>VLOOKUP($A896,Table1[],18,TRUE)</f>
        <v>2.7</v>
      </c>
      <c r="K896" s="12" t="str">
        <f>VLOOKUP($A896,Table1[],22,TRUE)</f>
        <v>TRUE</v>
      </c>
      <c r="L896" s="13">
        <f>VLOOKUP($A896,Table1[],25,TRUE)</f>
        <v>0.78</v>
      </c>
    </row>
    <row r="897" spans="1:12" x14ac:dyDescent="0.25">
      <c r="A897" t="s">
        <v>1868</v>
      </c>
      <c r="B897" s="18" t="str">
        <f>VLOOKUP(A897,Table1[],3,TRUE)</f>
        <v>Anthony Hernandez</v>
      </c>
      <c r="C897" s="18" t="str">
        <f>VLOOKUP($A897,Table1[],5,TRUE)</f>
        <v>Male</v>
      </c>
      <c r="D897" s="3" t="str">
        <f>VLOOKUP($A897,Table1[],7,TRUE)</f>
        <v>46</v>
      </c>
      <c r="E897" s="3" t="str">
        <f>VLOOKUP($A897,Table1[],8,TRUE)</f>
        <v>Canada</v>
      </c>
      <c r="F897" s="3" t="str">
        <f>VLOOKUP($A897,Table1[],9,TRUE)</f>
        <v>English</v>
      </c>
      <c r="G897" s="3" t="str">
        <f>VLOOKUP($A897,Table1[],10,TRUE)</f>
        <v>Graphic Design</v>
      </c>
      <c r="H897" s="13" t="str">
        <f>VLOOKUP($A897,Table1[],12,TRUE)</f>
        <v>20</v>
      </c>
      <c r="I897" s="20">
        <v>20</v>
      </c>
      <c r="J897" s="15">
        <f>VLOOKUP($A897,Table1[],18,TRUE)</f>
        <v>1.2</v>
      </c>
      <c r="K897" s="12" t="str">
        <f>VLOOKUP($A897,Table1[],22,TRUE)</f>
        <v>TRUE</v>
      </c>
      <c r="L897" s="13">
        <f>VLOOKUP($A897,Table1[],25,TRUE)</f>
        <v>0.74</v>
      </c>
    </row>
    <row r="898" spans="1:12" x14ac:dyDescent="0.25">
      <c r="A898" t="s">
        <v>1870</v>
      </c>
      <c r="B898" s="18" t="str">
        <f>VLOOKUP(A898,Table1[],3,TRUE)</f>
        <v>Erica Johnson</v>
      </c>
      <c r="C898" s="18" t="str">
        <f>VLOOKUP($A898,Table1[],5,TRUE)</f>
        <v>Female</v>
      </c>
      <c r="D898" s="3" t="str">
        <f>VLOOKUP($A898,Table1[],7,TRUE)</f>
        <v>36</v>
      </c>
      <c r="E898" s="3" t="str">
        <f>VLOOKUP($A898,Table1[],8,TRUE)</f>
        <v>United States</v>
      </c>
      <c r="F898" s="3" t="str">
        <f>VLOOKUP($A898,Table1[],9,TRUE)</f>
        <v>English</v>
      </c>
      <c r="G898" s="3" t="str">
        <f>VLOOKUP($A898,Table1[],10,TRUE)</f>
        <v>UI/UX Design</v>
      </c>
      <c r="H898" s="13" t="str">
        <f>VLOOKUP($A898,Table1[],12,TRUE)</f>
        <v>8</v>
      </c>
      <c r="I898" s="20">
        <v>50</v>
      </c>
      <c r="J898" s="15">
        <f>VLOOKUP($A898,Table1[],18,TRUE)</f>
        <v>4.3</v>
      </c>
      <c r="K898" s="12" t="str">
        <f>VLOOKUP($A898,Table1[],22,TRUE)</f>
        <v>FALSE</v>
      </c>
      <c r="L898" s="13">
        <f>VLOOKUP($A898,Table1[],25,TRUE)</f>
        <v>0.9</v>
      </c>
    </row>
    <row r="899" spans="1:12" x14ac:dyDescent="0.25">
      <c r="A899" t="s">
        <v>1872</v>
      </c>
      <c r="B899" s="18" t="str">
        <f>VLOOKUP(A899,Table1[],3,TRUE)</f>
        <v>Randall Barrett</v>
      </c>
      <c r="C899" s="18" t="str">
        <f>VLOOKUP($A899,Table1[],5,TRUE)</f>
        <v>Male</v>
      </c>
      <c r="D899" s="3" t="str">
        <f>VLOOKUP($A899,Table1[],7,TRUE)</f>
        <v>26</v>
      </c>
      <c r="E899" s="3" t="str">
        <f>VLOOKUP($A899,Table1[],8,TRUE)</f>
        <v>Netherlands</v>
      </c>
      <c r="F899" s="3" t="str">
        <f>VLOOKUP($A899,Table1[],9,TRUE)</f>
        <v>Dutch</v>
      </c>
      <c r="G899" s="3" t="str">
        <f>VLOOKUP($A899,Table1[],10,TRUE)</f>
        <v>AI</v>
      </c>
      <c r="H899" s="13" t="str">
        <f>VLOOKUP($A899,Table1[],12,TRUE)</f>
        <v>6</v>
      </c>
      <c r="I899" s="20">
        <v>40</v>
      </c>
      <c r="J899" s="15">
        <f>VLOOKUP($A899,Table1[],18,TRUE)</f>
        <v>1.3</v>
      </c>
      <c r="K899" s="12" t="str">
        <f>VLOOKUP($A899,Table1[],22,TRUE)</f>
        <v>FALSE</v>
      </c>
      <c r="L899" s="13">
        <f>VLOOKUP($A899,Table1[],25,TRUE)</f>
        <v>0.75</v>
      </c>
    </row>
    <row r="900" spans="1:12" x14ac:dyDescent="0.25">
      <c r="A900" t="s">
        <v>1874</v>
      </c>
      <c r="B900" s="18" t="str">
        <f>VLOOKUP(A900,Table1[],3,TRUE)</f>
        <v>Nathan Huff</v>
      </c>
      <c r="C900" s="18" t="str">
        <f>VLOOKUP($A900,Table1[],5,TRUE)</f>
        <v>Male</v>
      </c>
      <c r="D900" s="3" t="str">
        <f>VLOOKUP($A900,Table1[],7,TRUE)</f>
        <v>21</v>
      </c>
      <c r="E900" s="3" t="str">
        <f>VLOOKUP($A900,Table1[],8,TRUE)</f>
        <v>Germany</v>
      </c>
      <c r="F900" s="3" t="str">
        <f>VLOOKUP($A900,Table1[],9,TRUE)</f>
        <v>German</v>
      </c>
      <c r="G900" s="3" t="str">
        <f>VLOOKUP($A900,Table1[],10,TRUE)</f>
        <v>UI/UX Design</v>
      </c>
      <c r="H900" s="13" t="str">
        <f>VLOOKUP($A900,Table1[],12,TRUE)</f>
        <v>3</v>
      </c>
      <c r="I900" s="20">
        <v>50</v>
      </c>
      <c r="J900" s="15">
        <f>VLOOKUP($A900,Table1[],18,TRUE)</f>
        <v>4.5999999999999996</v>
      </c>
      <c r="K900" s="12" t="str">
        <f>VLOOKUP($A900,Table1[],22,TRUE)</f>
        <v>TRUE</v>
      </c>
      <c r="L900" s="13">
        <f>VLOOKUP($A900,Table1[],25,TRUE)</f>
        <v>0.75</v>
      </c>
    </row>
    <row r="901" spans="1:12" x14ac:dyDescent="0.25">
      <c r="A901" t="s">
        <v>1876</v>
      </c>
      <c r="B901" s="18" t="str">
        <f>VLOOKUP(A901,Table1[],3,TRUE)</f>
        <v>Robin Walsh</v>
      </c>
      <c r="C901" s="18" t="str">
        <f>VLOOKUP($A901,Table1[],5,TRUE)</f>
        <v>Female</v>
      </c>
      <c r="D901" s="3" t="str">
        <f>VLOOKUP($A901,Table1[],7,TRUE)</f>
        <v>39</v>
      </c>
      <c r="E901" s="3" t="str">
        <f>VLOOKUP($A901,Table1[],8,TRUE)</f>
        <v>Indonesia</v>
      </c>
      <c r="F901" s="3" t="str">
        <f>VLOOKUP($A901,Table1[],9,TRUE)</f>
        <v>Indonesian</v>
      </c>
      <c r="G901" s="3" t="str">
        <f>VLOOKUP($A901,Table1[],10,TRUE)</f>
        <v>UI/UX Design</v>
      </c>
      <c r="H901" s="13" t="str">
        <f>VLOOKUP($A901,Table1[],12,TRUE)</f>
        <v>18</v>
      </c>
      <c r="I901" s="20">
        <v>50</v>
      </c>
      <c r="J901" s="15">
        <f>VLOOKUP($A901,Table1[],18,TRUE)</f>
        <v>2.1</v>
      </c>
      <c r="K901" s="12" t="str">
        <f>VLOOKUP($A901,Table1[],22,TRUE)</f>
        <v>FALSE</v>
      </c>
      <c r="L901" s="13">
        <f>VLOOKUP($A901,Table1[],25,TRUE)</f>
        <v>0.75</v>
      </c>
    </row>
    <row r="902" spans="1:12" x14ac:dyDescent="0.25">
      <c r="A902" t="s">
        <v>1878</v>
      </c>
      <c r="B902" s="18" t="str">
        <f>VLOOKUP(A902,Table1[],3,TRUE)</f>
        <v>Yvonne Robinson</v>
      </c>
      <c r="C902" s="18" t="str">
        <f>VLOOKUP($A902,Table1[],5,TRUE)</f>
        <v>Female</v>
      </c>
      <c r="D902" s="3" t="str">
        <f>VLOOKUP($A902,Table1[],7,TRUE)</f>
        <v>37</v>
      </c>
      <c r="E902" s="3" t="str">
        <f>VLOOKUP($A902,Table1[],8,TRUE)</f>
        <v>United States</v>
      </c>
      <c r="F902" s="3" t="str">
        <f>VLOOKUP($A902,Table1[],9,TRUE)</f>
        <v>English</v>
      </c>
      <c r="G902" s="3" t="str">
        <f>VLOOKUP($A902,Table1[],10,TRUE)</f>
        <v>Blockchain Development</v>
      </c>
      <c r="H902" s="13" t="str">
        <f>VLOOKUP($A902,Table1[],12,TRUE)</f>
        <v>18</v>
      </c>
      <c r="I902" s="20">
        <v>40</v>
      </c>
      <c r="J902" s="15">
        <f>VLOOKUP($A902,Table1[],18,TRUE)</f>
        <v>4.5</v>
      </c>
      <c r="K902" s="12" t="str">
        <f>VLOOKUP($A902,Table1[],22,TRUE)</f>
        <v>FALSE</v>
      </c>
      <c r="L902" s="13">
        <f>VLOOKUP($A902,Table1[],25,TRUE)</f>
        <v>0.72</v>
      </c>
    </row>
    <row r="903" spans="1:12" x14ac:dyDescent="0.25">
      <c r="A903" t="s">
        <v>1880</v>
      </c>
      <c r="B903" s="18" t="str">
        <f>VLOOKUP(A903,Table1[],3,TRUE)</f>
        <v>Kathleen Hendrix</v>
      </c>
      <c r="C903" s="18" t="str">
        <f>VLOOKUP($A903,Table1[],5,TRUE)</f>
        <v>Female</v>
      </c>
      <c r="D903" s="3" t="str">
        <f>VLOOKUP($A903,Table1[],7,TRUE)</f>
        <v>47</v>
      </c>
      <c r="E903" s="3" t="str">
        <f>VLOOKUP($A903,Table1[],8,TRUE)</f>
        <v>Russia</v>
      </c>
      <c r="F903" s="3" t="str">
        <f>VLOOKUP($A903,Table1[],9,TRUE)</f>
        <v>Russian</v>
      </c>
      <c r="G903" s="3" t="str">
        <f>VLOOKUP($A903,Table1[],10,TRUE)</f>
        <v>UI/UX Design</v>
      </c>
      <c r="H903" s="13" t="str">
        <f>VLOOKUP($A903,Table1[],12,TRUE)</f>
        <v>3</v>
      </c>
      <c r="I903" s="20">
        <v>40</v>
      </c>
      <c r="J903" s="15">
        <f>VLOOKUP($A903,Table1[],18,TRUE)</f>
        <v>4.4000000000000004</v>
      </c>
      <c r="K903" s="12" t="str">
        <f>VLOOKUP($A903,Table1[],22,TRUE)</f>
        <v>TRUE</v>
      </c>
      <c r="L903" s="13">
        <f>VLOOKUP($A903,Table1[],25,TRUE)</f>
        <v>0.92</v>
      </c>
    </row>
    <row r="904" spans="1:12" x14ac:dyDescent="0.25">
      <c r="A904" t="s">
        <v>1882</v>
      </c>
      <c r="B904" s="18" t="str">
        <f>VLOOKUP(A904,Table1[],3,TRUE)</f>
        <v>Jennifer Baker</v>
      </c>
      <c r="C904" s="18" t="str">
        <f>VLOOKUP($A904,Table1[],5,TRUE)</f>
        <v>Female</v>
      </c>
      <c r="D904" s="3" t="str">
        <f>VLOOKUP($A904,Table1[],7,TRUE)</f>
        <v>53</v>
      </c>
      <c r="E904" s="3" t="str">
        <f>VLOOKUP($A904,Table1[],8,TRUE)</f>
        <v>Russia</v>
      </c>
      <c r="F904" s="3" t="str">
        <f>VLOOKUP($A904,Table1[],9,TRUE)</f>
        <v>Russian</v>
      </c>
      <c r="G904" s="3" t="str">
        <f>VLOOKUP($A904,Table1[],10,TRUE)</f>
        <v>Graphic Design</v>
      </c>
      <c r="H904" s="13" t="str">
        <f>VLOOKUP($A904,Table1[],12,TRUE)</f>
        <v>32</v>
      </c>
      <c r="I904" s="20">
        <v>20</v>
      </c>
      <c r="J904" s="15">
        <f>VLOOKUP($A904,Table1[],18,TRUE)</f>
        <v>0</v>
      </c>
      <c r="K904" s="12" t="str">
        <f>VLOOKUP($A904,Table1[],22,TRUE)</f>
        <v>FALSE</v>
      </c>
      <c r="L904" s="13">
        <f>VLOOKUP($A904,Table1[],25,TRUE)</f>
        <v>0.75</v>
      </c>
    </row>
    <row r="905" spans="1:12" x14ac:dyDescent="0.25">
      <c r="A905" t="s">
        <v>1884</v>
      </c>
      <c r="B905" s="18" t="str">
        <f>VLOOKUP(A905,Table1[],3,TRUE)</f>
        <v>Kim Martinez</v>
      </c>
      <c r="C905" s="18" t="str">
        <f>VLOOKUP($A905,Table1[],5,TRUE)</f>
        <v>Female</v>
      </c>
      <c r="D905" s="3" t="str">
        <f>VLOOKUP($A905,Table1[],7,TRUE)</f>
        <v>53</v>
      </c>
      <c r="E905" s="3" t="str">
        <f>VLOOKUP($A905,Table1[],8,TRUE)</f>
        <v>Argentina</v>
      </c>
      <c r="F905" s="3" t="str">
        <f>VLOOKUP($A905,Table1[],9,TRUE)</f>
        <v>Spanish</v>
      </c>
      <c r="G905" s="3" t="str">
        <f>VLOOKUP($A905,Table1[],10,TRUE)</f>
        <v>Mobile Apps</v>
      </c>
      <c r="H905" s="13" t="str">
        <f>VLOOKUP($A905,Table1[],12,TRUE)</f>
        <v>19</v>
      </c>
      <c r="I905" s="20">
        <v>20</v>
      </c>
      <c r="J905" s="15">
        <f>VLOOKUP($A905,Table1[],18,TRUE)</f>
        <v>1.3</v>
      </c>
      <c r="K905" s="12" t="str">
        <f>VLOOKUP($A905,Table1[],22,TRUE)</f>
        <v>FALSE</v>
      </c>
      <c r="L905" s="13">
        <f>VLOOKUP($A905,Table1[],25,TRUE)</f>
        <v>0.75</v>
      </c>
    </row>
    <row r="906" spans="1:12" x14ac:dyDescent="0.25">
      <c r="A906" t="s">
        <v>1886</v>
      </c>
      <c r="B906" s="18" t="str">
        <f>VLOOKUP(A906,Table1[],3,TRUE)</f>
        <v>Andrew Little</v>
      </c>
      <c r="C906" s="18" t="str">
        <f>VLOOKUP($A906,Table1[],5,TRUE)</f>
        <v>Male</v>
      </c>
      <c r="D906" s="3" t="str">
        <f>VLOOKUP($A906,Table1[],7,TRUE)</f>
        <v>21</v>
      </c>
      <c r="E906" s="3" t="str">
        <f>VLOOKUP($A906,Table1[],8,TRUE)</f>
        <v>India</v>
      </c>
      <c r="F906" s="3" t="str">
        <f>VLOOKUP($A906,Table1[],9,TRUE)</f>
        <v>Hindi</v>
      </c>
      <c r="G906" s="3" t="str">
        <f>VLOOKUP($A906,Table1[],10,TRUE)</f>
        <v>Data Analysis</v>
      </c>
      <c r="H906" s="13" t="str">
        <f>VLOOKUP($A906,Table1[],12,TRUE)</f>
        <v>2</v>
      </c>
      <c r="I906" s="20">
        <v>50</v>
      </c>
      <c r="J906" s="15">
        <f>VLOOKUP($A906,Table1[],18,TRUE)</f>
        <v>2.6</v>
      </c>
      <c r="K906" s="12" t="str">
        <f>VLOOKUP($A906,Table1[],22,TRUE)</f>
        <v>TRUE</v>
      </c>
      <c r="L906" s="13">
        <f>VLOOKUP($A906,Table1[],25,TRUE)</f>
        <v>0.86</v>
      </c>
    </row>
    <row r="907" spans="1:12" x14ac:dyDescent="0.25">
      <c r="A907" t="s">
        <v>1888</v>
      </c>
      <c r="B907" s="18" t="str">
        <f>VLOOKUP(A907,Table1[],3,TRUE)</f>
        <v>Kelly Shelton</v>
      </c>
      <c r="C907" s="18" t="str">
        <f>VLOOKUP($A907,Table1[],5,TRUE)</f>
        <v>Female</v>
      </c>
      <c r="D907" s="3" t="str">
        <f>VLOOKUP($A907,Table1[],7,TRUE)</f>
        <v>35</v>
      </c>
      <c r="E907" s="3" t="str">
        <f>VLOOKUP($A907,Table1[],8,TRUE)</f>
        <v>United Kingdom</v>
      </c>
      <c r="F907" s="3" t="str">
        <f>VLOOKUP($A907,Table1[],9,TRUE)</f>
        <v>English</v>
      </c>
      <c r="G907" s="3" t="str">
        <f>VLOOKUP($A907,Table1[],10,TRUE)</f>
        <v>Blockchain Development</v>
      </c>
      <c r="H907" s="13" t="str">
        <f>VLOOKUP($A907,Table1[],12,TRUE)</f>
        <v>0</v>
      </c>
      <c r="I907" s="20">
        <v>50</v>
      </c>
      <c r="J907" s="15">
        <f>VLOOKUP($A907,Table1[],18,TRUE)</f>
        <v>2.6</v>
      </c>
      <c r="K907" s="12" t="str">
        <f>VLOOKUP($A907,Table1[],22,TRUE)</f>
        <v>TRUE</v>
      </c>
      <c r="L907" s="13">
        <f>VLOOKUP($A907,Table1[],25,TRUE)</f>
        <v>0.85</v>
      </c>
    </row>
    <row r="908" spans="1:12" x14ac:dyDescent="0.25">
      <c r="A908" t="s">
        <v>1890</v>
      </c>
      <c r="B908" s="18" t="str">
        <f>VLOOKUP(A908,Table1[],3,TRUE)</f>
        <v>Steven Duncan</v>
      </c>
      <c r="C908" s="18" t="str">
        <f>VLOOKUP($A908,Table1[],5,TRUE)</f>
        <v>Male</v>
      </c>
      <c r="D908" s="3" t="str">
        <f>VLOOKUP($A908,Table1[],7,TRUE)</f>
        <v>31</v>
      </c>
      <c r="E908" s="3" t="str">
        <f>VLOOKUP($A908,Table1[],8,TRUE)</f>
        <v>Argentina</v>
      </c>
      <c r="F908" s="3" t="str">
        <f>VLOOKUP($A908,Table1[],9,TRUE)</f>
        <v>Spanish</v>
      </c>
      <c r="G908" s="3" t="str">
        <f>VLOOKUP($A908,Table1[],10,TRUE)</f>
        <v>Machine Learning</v>
      </c>
      <c r="H908" s="13" t="str">
        <f>VLOOKUP($A908,Table1[],12,TRUE)</f>
        <v>13</v>
      </c>
      <c r="I908" s="20">
        <v>40</v>
      </c>
      <c r="J908" s="15">
        <f>VLOOKUP($A908,Table1[],18,TRUE)</f>
        <v>1.2</v>
      </c>
      <c r="K908" s="12" t="str">
        <f>VLOOKUP($A908,Table1[],22,TRUE)</f>
        <v>TRUE</v>
      </c>
      <c r="L908" s="13">
        <f>VLOOKUP($A908,Table1[],25,TRUE)</f>
        <v>0.62</v>
      </c>
    </row>
    <row r="909" spans="1:12" x14ac:dyDescent="0.25">
      <c r="A909" t="s">
        <v>1892</v>
      </c>
      <c r="B909" s="18" t="str">
        <f>VLOOKUP(A909,Table1[],3,TRUE)</f>
        <v>Kristen Haney</v>
      </c>
      <c r="C909" s="18" t="str">
        <f>VLOOKUP($A909,Table1[],5,TRUE)</f>
        <v>Female</v>
      </c>
      <c r="D909" s="3" t="str">
        <f>VLOOKUP($A909,Table1[],7,TRUE)</f>
        <v>55</v>
      </c>
      <c r="E909" s="3" t="str">
        <f>VLOOKUP($A909,Table1[],8,TRUE)</f>
        <v>South Korea</v>
      </c>
      <c r="F909" s="3" t="str">
        <f>VLOOKUP($A909,Table1[],9,TRUE)</f>
        <v>Korean</v>
      </c>
      <c r="G909" s="3" t="str">
        <f>VLOOKUP($A909,Table1[],10,TRUE)</f>
        <v>AI</v>
      </c>
      <c r="H909" s="13" t="str">
        <f>VLOOKUP($A909,Table1[],12,TRUE)</f>
        <v>2</v>
      </c>
      <c r="I909" s="20">
        <v>30</v>
      </c>
      <c r="J909" s="15">
        <f>VLOOKUP($A909,Table1[],18,TRUE)</f>
        <v>3.1</v>
      </c>
      <c r="K909" s="12" t="str">
        <f>VLOOKUP($A909,Table1[],22,TRUE)</f>
        <v>TRUE</v>
      </c>
      <c r="L909" s="13">
        <f>VLOOKUP($A909,Table1[],25,TRUE)</f>
        <v>0.91</v>
      </c>
    </row>
    <row r="910" spans="1:12" x14ac:dyDescent="0.25">
      <c r="A910" t="s">
        <v>1894</v>
      </c>
      <c r="B910" s="18" t="str">
        <f>VLOOKUP(A910,Table1[],3,TRUE)</f>
        <v>Kathy Reese</v>
      </c>
      <c r="C910" s="18" t="str">
        <f>VLOOKUP($A910,Table1[],5,TRUE)</f>
        <v>Female</v>
      </c>
      <c r="D910" s="3" t="str">
        <f>VLOOKUP($A910,Table1[],7,TRUE)</f>
        <v>59</v>
      </c>
      <c r="E910" s="3" t="str">
        <f>VLOOKUP($A910,Table1[],8,TRUE)</f>
        <v>Turkey</v>
      </c>
      <c r="F910" s="3" t="str">
        <f>VLOOKUP($A910,Table1[],9,TRUE)</f>
        <v>Turkish</v>
      </c>
      <c r="G910" s="3" t="str">
        <f>VLOOKUP($A910,Table1[],10,TRUE)</f>
        <v>Web Development</v>
      </c>
      <c r="H910" s="13" t="str">
        <f>VLOOKUP($A910,Table1[],12,TRUE)</f>
        <v>11</v>
      </c>
      <c r="I910" s="20">
        <v>75</v>
      </c>
      <c r="J910" s="15">
        <f>VLOOKUP($A910,Table1[],18,TRUE)</f>
        <v>2.2999999999999998</v>
      </c>
      <c r="K910" s="12" t="str">
        <f>VLOOKUP($A910,Table1[],22,TRUE)</f>
        <v>TRUE</v>
      </c>
      <c r="L910" s="13">
        <f>VLOOKUP($A910,Table1[],25,TRUE)</f>
        <v>0.8</v>
      </c>
    </row>
    <row r="911" spans="1:12" x14ac:dyDescent="0.25">
      <c r="A911" t="s">
        <v>1896</v>
      </c>
      <c r="B911" s="18" t="str">
        <f>VLOOKUP(A911,Table1[],3,TRUE)</f>
        <v>Steven Murphy</v>
      </c>
      <c r="C911" s="18" t="str">
        <f>VLOOKUP($A911,Table1[],5,TRUE)</f>
        <v>Male</v>
      </c>
      <c r="D911" s="3" t="str">
        <f>VLOOKUP($A911,Table1[],7,TRUE)</f>
        <v>59</v>
      </c>
      <c r="E911" s="3" t="str">
        <f>VLOOKUP($A911,Table1[],8,TRUE)</f>
        <v>France</v>
      </c>
      <c r="F911" s="3" t="str">
        <f>VLOOKUP($A911,Table1[],9,TRUE)</f>
        <v>French</v>
      </c>
      <c r="G911" s="3" t="str">
        <f>VLOOKUP($A911,Table1[],10,TRUE)</f>
        <v>Cybersecurity</v>
      </c>
      <c r="H911" s="13" t="str">
        <f>VLOOKUP($A911,Table1[],12,TRUE)</f>
        <v>17</v>
      </c>
      <c r="I911" s="20">
        <v>100</v>
      </c>
      <c r="J911" s="15">
        <f>VLOOKUP($A911,Table1[],18,TRUE)</f>
        <v>4</v>
      </c>
      <c r="K911" s="12" t="str">
        <f>VLOOKUP($A911,Table1[],22,TRUE)</f>
        <v>FALSE</v>
      </c>
      <c r="L911" s="13">
        <f>VLOOKUP($A911,Table1[],25,TRUE)</f>
        <v>0.72</v>
      </c>
    </row>
    <row r="912" spans="1:12" x14ac:dyDescent="0.25">
      <c r="A912" t="s">
        <v>1898</v>
      </c>
      <c r="B912" s="18" t="str">
        <f>VLOOKUP(A912,Table1[],3,TRUE)</f>
        <v>William Hartman</v>
      </c>
      <c r="C912" s="18" t="str">
        <f>VLOOKUP($A912,Table1[],5,TRUE)</f>
        <v>Male</v>
      </c>
      <c r="D912" s="3" t="str">
        <f>VLOOKUP($A912,Table1[],7,TRUE)</f>
        <v>47</v>
      </c>
      <c r="E912" s="3" t="str">
        <f>VLOOKUP($A912,Table1[],8,TRUE)</f>
        <v>India</v>
      </c>
      <c r="F912" s="3" t="str">
        <f>VLOOKUP($A912,Table1[],9,TRUE)</f>
        <v>Hindi</v>
      </c>
      <c r="G912" s="3" t="str">
        <f>VLOOKUP($A912,Table1[],10,TRUE)</f>
        <v>Blockchain Development</v>
      </c>
      <c r="H912" s="13" t="str">
        <f>VLOOKUP($A912,Table1[],12,TRUE)</f>
        <v>10</v>
      </c>
      <c r="I912" s="20">
        <v>75</v>
      </c>
      <c r="J912" s="15">
        <f>VLOOKUP($A912,Table1[],18,TRUE)</f>
        <v>1.9</v>
      </c>
      <c r="K912" s="12" t="str">
        <f>VLOOKUP($A912,Table1[],22,TRUE)</f>
        <v>TRUE</v>
      </c>
      <c r="L912" s="13">
        <f>VLOOKUP($A912,Table1[],25,TRUE)</f>
        <v>0.75</v>
      </c>
    </row>
    <row r="913" spans="1:12" x14ac:dyDescent="0.25">
      <c r="A913" t="s">
        <v>1900</v>
      </c>
      <c r="B913" s="18" t="str">
        <f>VLOOKUP(A913,Table1[],3,TRUE)</f>
        <v>Sonya Haley</v>
      </c>
      <c r="C913" s="18" t="str">
        <f>VLOOKUP($A913,Table1[],5,TRUE)</f>
        <v>Female</v>
      </c>
      <c r="D913" s="3" t="str">
        <f>VLOOKUP($A913,Table1[],7,TRUE)</f>
        <v>53</v>
      </c>
      <c r="E913" s="3" t="str">
        <f>VLOOKUP($A913,Table1[],8,TRUE)</f>
        <v>South Africa</v>
      </c>
      <c r="F913" s="3" t="str">
        <f>VLOOKUP($A913,Table1[],9,TRUE)</f>
        <v>Afrikaans</v>
      </c>
      <c r="G913" s="3" t="str">
        <f>VLOOKUP($A913,Table1[],10,TRUE)</f>
        <v>Machine Learning</v>
      </c>
      <c r="H913" s="13" t="str">
        <f>VLOOKUP($A913,Table1[],12,TRUE)</f>
        <v>26</v>
      </c>
      <c r="I913" s="20">
        <v>75</v>
      </c>
      <c r="J913" s="15">
        <f>VLOOKUP($A913,Table1[],18,TRUE)</f>
        <v>2.4</v>
      </c>
      <c r="K913" s="12" t="str">
        <f>VLOOKUP($A913,Table1[],22,TRUE)</f>
        <v>TRUE</v>
      </c>
      <c r="L913" s="13">
        <f>VLOOKUP($A913,Table1[],25,TRUE)</f>
        <v>0.75</v>
      </c>
    </row>
    <row r="914" spans="1:12" x14ac:dyDescent="0.25">
      <c r="A914" t="s">
        <v>1902</v>
      </c>
      <c r="B914" s="18" t="str">
        <f>VLOOKUP(A914,Table1[],3,TRUE)</f>
        <v>Robert Evans</v>
      </c>
      <c r="C914" s="18" t="str">
        <f>VLOOKUP($A914,Table1[],5,TRUE)</f>
        <v>Male</v>
      </c>
      <c r="D914" s="3" t="str">
        <f>VLOOKUP($A914,Table1[],7,TRUE)</f>
        <v>49</v>
      </c>
      <c r="E914" s="3" t="str">
        <f>VLOOKUP($A914,Table1[],8,TRUE)</f>
        <v>South Africa</v>
      </c>
      <c r="F914" s="3" t="str">
        <f>VLOOKUP($A914,Table1[],9,TRUE)</f>
        <v>Afrikaans</v>
      </c>
      <c r="G914" s="3" t="str">
        <f>VLOOKUP($A914,Table1[],10,TRUE)</f>
        <v>Data Analysis</v>
      </c>
      <c r="H914" s="13" t="str">
        <f>VLOOKUP($A914,Table1[],12,TRUE)</f>
        <v>Unknown</v>
      </c>
      <c r="I914" s="20">
        <v>30</v>
      </c>
      <c r="J914" s="15">
        <f>VLOOKUP($A914,Table1[],18,TRUE)</f>
        <v>2.6</v>
      </c>
      <c r="K914" s="12" t="str">
        <f>VLOOKUP($A914,Table1[],22,TRUE)</f>
        <v>TRUE</v>
      </c>
      <c r="L914" s="13">
        <f>VLOOKUP($A914,Table1[],25,TRUE)</f>
        <v>0.74</v>
      </c>
    </row>
    <row r="915" spans="1:12" x14ac:dyDescent="0.25">
      <c r="A915" t="s">
        <v>1903</v>
      </c>
      <c r="B915" s="18" t="str">
        <f>VLOOKUP(A915,Table1[],3,TRUE)</f>
        <v>Patricia Richardson</v>
      </c>
      <c r="C915" s="18" t="str">
        <f>VLOOKUP($A915,Table1[],5,TRUE)</f>
        <v>Female</v>
      </c>
      <c r="D915" s="3" t="str">
        <f>VLOOKUP($A915,Table1[],7,TRUE)</f>
        <v>50</v>
      </c>
      <c r="E915" s="3" t="str">
        <f>VLOOKUP($A915,Table1[],8,TRUE)</f>
        <v>South Africa</v>
      </c>
      <c r="F915" s="3" t="str">
        <f>VLOOKUP($A915,Table1[],9,TRUE)</f>
        <v>Afrikaans</v>
      </c>
      <c r="G915" s="3" t="str">
        <f>VLOOKUP($A915,Table1[],10,TRUE)</f>
        <v>Mobile Apps</v>
      </c>
      <c r="H915" s="13" t="str">
        <f>VLOOKUP($A915,Table1[],12,TRUE)</f>
        <v>8</v>
      </c>
      <c r="I915" s="20">
        <v>50</v>
      </c>
      <c r="J915" s="15">
        <f>VLOOKUP($A915,Table1[],18,TRUE)</f>
        <v>3.7</v>
      </c>
      <c r="K915" s="12" t="str">
        <f>VLOOKUP($A915,Table1[],22,TRUE)</f>
        <v>TRUE</v>
      </c>
      <c r="L915" s="13">
        <f>VLOOKUP($A915,Table1[],25,TRUE)</f>
        <v>0.82</v>
      </c>
    </row>
    <row r="916" spans="1:12" x14ac:dyDescent="0.25">
      <c r="A916" t="s">
        <v>1905</v>
      </c>
      <c r="B916" s="18" t="str">
        <f>VLOOKUP(A916,Table1[],3,TRUE)</f>
        <v>Carolyn Lopez</v>
      </c>
      <c r="C916" s="18" t="str">
        <f>VLOOKUP($A916,Table1[],5,TRUE)</f>
        <v>Female</v>
      </c>
      <c r="D916" s="3" t="str">
        <f>VLOOKUP($A916,Table1[],7,TRUE)</f>
        <v>59</v>
      </c>
      <c r="E916" s="3" t="str">
        <f>VLOOKUP($A916,Table1[],8,TRUE)</f>
        <v>South Korea</v>
      </c>
      <c r="F916" s="3" t="str">
        <f>VLOOKUP($A916,Table1[],9,TRUE)</f>
        <v>Korean</v>
      </c>
      <c r="G916" s="3" t="str">
        <f>VLOOKUP($A916,Table1[],10,TRUE)</f>
        <v>Machine Learning</v>
      </c>
      <c r="H916" s="13" t="str">
        <f>VLOOKUP($A916,Table1[],12,TRUE)</f>
        <v>22</v>
      </c>
      <c r="I916" s="20">
        <v>100</v>
      </c>
      <c r="J916" s="15">
        <f>VLOOKUP($A916,Table1[],18,TRUE)</f>
        <v>1.1000000000000001</v>
      </c>
      <c r="K916" s="12" t="str">
        <f>VLOOKUP($A916,Table1[],22,TRUE)</f>
        <v>FALSE</v>
      </c>
      <c r="L916" s="13">
        <f>VLOOKUP($A916,Table1[],25,TRUE)</f>
        <v>0.85</v>
      </c>
    </row>
    <row r="917" spans="1:12" x14ac:dyDescent="0.25">
      <c r="A917" t="s">
        <v>1907</v>
      </c>
      <c r="B917" s="18" t="str">
        <f>VLOOKUP(A917,Table1[],3,TRUE)</f>
        <v>Kyle Burns</v>
      </c>
      <c r="C917" s="18" t="str">
        <f>VLOOKUP($A917,Table1[],5,TRUE)</f>
        <v>Male</v>
      </c>
      <c r="D917" s="3" t="str">
        <f>VLOOKUP($A917,Table1[],7,TRUE)</f>
        <v>33</v>
      </c>
      <c r="E917" s="3" t="str">
        <f>VLOOKUP($A917,Table1[],8,TRUE)</f>
        <v>Turkey</v>
      </c>
      <c r="F917" s="3" t="str">
        <f>VLOOKUP($A917,Table1[],9,TRUE)</f>
        <v>Turkish</v>
      </c>
      <c r="G917" s="3" t="str">
        <f>VLOOKUP($A917,Table1[],10,TRUE)</f>
        <v>Data Analysis</v>
      </c>
      <c r="H917" s="13" t="str">
        <f>VLOOKUP($A917,Table1[],12,TRUE)</f>
        <v>8</v>
      </c>
      <c r="I917" s="20">
        <v>75</v>
      </c>
      <c r="J917" s="15">
        <f>VLOOKUP($A917,Table1[],18,TRUE)</f>
        <v>2.2999999999999998</v>
      </c>
      <c r="K917" s="12" t="str">
        <f>VLOOKUP($A917,Table1[],22,TRUE)</f>
        <v>TRUE</v>
      </c>
      <c r="L917" s="13">
        <f>VLOOKUP($A917,Table1[],25,TRUE)</f>
        <v>0.68</v>
      </c>
    </row>
    <row r="918" spans="1:12" x14ac:dyDescent="0.25">
      <c r="A918" t="s">
        <v>1909</v>
      </c>
      <c r="B918" s="18" t="str">
        <f>VLOOKUP(A918,Table1[],3,TRUE)</f>
        <v>Margaret Garcia</v>
      </c>
      <c r="C918" s="18" t="str">
        <f>VLOOKUP($A918,Table1[],5,TRUE)</f>
        <v>Female</v>
      </c>
      <c r="D918" s="3" t="str">
        <f>VLOOKUP($A918,Table1[],7,TRUE)</f>
        <v>45</v>
      </c>
      <c r="E918" s="3" t="str">
        <f>VLOOKUP($A918,Table1[],8,TRUE)</f>
        <v>Canada</v>
      </c>
      <c r="F918" s="3" t="str">
        <f>VLOOKUP($A918,Table1[],9,TRUE)</f>
        <v>English</v>
      </c>
      <c r="G918" s="3" t="str">
        <f>VLOOKUP($A918,Table1[],10,TRUE)</f>
        <v>Web Development</v>
      </c>
      <c r="H918" s="13" t="str">
        <f>VLOOKUP($A918,Table1[],12,TRUE)</f>
        <v>22</v>
      </c>
      <c r="I918" s="20">
        <v>40</v>
      </c>
      <c r="J918" s="15">
        <f>VLOOKUP($A918,Table1[],18,TRUE)</f>
        <v>3.7</v>
      </c>
      <c r="K918" s="12" t="str">
        <f>VLOOKUP($A918,Table1[],22,TRUE)</f>
        <v>TRUE</v>
      </c>
      <c r="L918" s="13">
        <f>VLOOKUP($A918,Table1[],25,TRUE)</f>
        <v>0.99</v>
      </c>
    </row>
    <row r="919" spans="1:12" x14ac:dyDescent="0.25">
      <c r="A919" t="s">
        <v>1911</v>
      </c>
      <c r="B919" s="18" t="str">
        <f>VLOOKUP(A919,Table1[],3,TRUE)</f>
        <v>Brittany Barker</v>
      </c>
      <c r="C919" s="18" t="str">
        <f>VLOOKUP($A919,Table1[],5,TRUE)</f>
        <v>Female</v>
      </c>
      <c r="D919" s="3" t="str">
        <f>VLOOKUP($A919,Table1[],7,TRUE)</f>
        <v>36</v>
      </c>
      <c r="E919" s="3" t="str">
        <f>VLOOKUP($A919,Table1[],8,TRUE)</f>
        <v>Italy</v>
      </c>
      <c r="F919" s="3" t="str">
        <f>VLOOKUP($A919,Table1[],9,TRUE)</f>
        <v>Italian</v>
      </c>
      <c r="G919" s="3" t="str">
        <f>VLOOKUP($A919,Table1[],10,TRUE)</f>
        <v>Graphic Design</v>
      </c>
      <c r="H919" s="13" t="str">
        <f>VLOOKUP($A919,Table1[],12,TRUE)</f>
        <v>14</v>
      </c>
      <c r="I919" s="20">
        <v>30</v>
      </c>
      <c r="J919" s="15">
        <f>VLOOKUP($A919,Table1[],18,TRUE)</f>
        <v>1.9</v>
      </c>
      <c r="K919" s="12" t="str">
        <f>VLOOKUP($A919,Table1[],22,TRUE)</f>
        <v>FALSE</v>
      </c>
      <c r="L919" s="13">
        <f>VLOOKUP($A919,Table1[],25,TRUE)</f>
        <v>0.62</v>
      </c>
    </row>
    <row r="920" spans="1:12" x14ac:dyDescent="0.25">
      <c r="A920" t="s">
        <v>1913</v>
      </c>
      <c r="B920" s="18" t="str">
        <f>VLOOKUP(A920,Table1[],3,TRUE)</f>
        <v>Paul Campbell</v>
      </c>
      <c r="C920" s="18" t="str">
        <f>VLOOKUP($A920,Table1[],5,TRUE)</f>
        <v>Male</v>
      </c>
      <c r="D920" s="3" t="str">
        <f>VLOOKUP($A920,Table1[],7,TRUE)</f>
        <v>46</v>
      </c>
      <c r="E920" s="3" t="str">
        <f>VLOOKUP($A920,Table1[],8,TRUE)</f>
        <v>South Africa</v>
      </c>
      <c r="F920" s="3" t="str">
        <f>VLOOKUP($A920,Table1[],9,TRUE)</f>
        <v>Afrikaans</v>
      </c>
      <c r="G920" s="3" t="str">
        <f>VLOOKUP($A920,Table1[],10,TRUE)</f>
        <v>UI/UX Design</v>
      </c>
      <c r="H920" s="13" t="str">
        <f>VLOOKUP($A920,Table1[],12,TRUE)</f>
        <v>6</v>
      </c>
      <c r="I920" s="20">
        <v>30</v>
      </c>
      <c r="J920" s="15">
        <f>VLOOKUP($A920,Table1[],18,TRUE)</f>
        <v>1.5</v>
      </c>
      <c r="K920" s="12" t="str">
        <f>VLOOKUP($A920,Table1[],22,TRUE)</f>
        <v>FALSE</v>
      </c>
      <c r="L920" s="13">
        <f>VLOOKUP($A920,Table1[],25,TRUE)</f>
        <v>0.75</v>
      </c>
    </row>
    <row r="921" spans="1:12" x14ac:dyDescent="0.25">
      <c r="A921" t="s">
        <v>1915</v>
      </c>
      <c r="B921" s="18" t="str">
        <f>VLOOKUP(A921,Table1[],3,TRUE)</f>
        <v>Amy Morrow</v>
      </c>
      <c r="C921" s="18" t="str">
        <f>VLOOKUP($A921,Table1[],5,TRUE)</f>
        <v>Female</v>
      </c>
      <c r="D921" s="3" t="str">
        <f>VLOOKUP($A921,Table1[],7,TRUE)</f>
        <v>53</v>
      </c>
      <c r="E921" s="3" t="str">
        <f>VLOOKUP($A921,Table1[],8,TRUE)</f>
        <v>Turkey</v>
      </c>
      <c r="F921" s="3" t="str">
        <f>VLOOKUP($A921,Table1[],9,TRUE)</f>
        <v>Turkish</v>
      </c>
      <c r="G921" s="3" t="str">
        <f>VLOOKUP($A921,Table1[],10,TRUE)</f>
        <v>Graphic Design</v>
      </c>
      <c r="H921" s="13" t="str">
        <f>VLOOKUP($A921,Table1[],12,TRUE)</f>
        <v>14</v>
      </c>
      <c r="I921" s="20">
        <v>30</v>
      </c>
      <c r="J921" s="15">
        <f>VLOOKUP($A921,Table1[],18,TRUE)</f>
        <v>0</v>
      </c>
      <c r="K921" s="12" t="str">
        <f>VLOOKUP($A921,Table1[],22,TRUE)</f>
        <v>TRUE</v>
      </c>
      <c r="L921" s="13">
        <f>VLOOKUP($A921,Table1[],25,TRUE)</f>
        <v>0.83</v>
      </c>
    </row>
    <row r="922" spans="1:12" x14ac:dyDescent="0.25">
      <c r="A922" t="s">
        <v>1917</v>
      </c>
      <c r="B922" s="18" t="str">
        <f>VLOOKUP(A922,Table1[],3,TRUE)</f>
        <v>Amy Fitzgerald</v>
      </c>
      <c r="C922" s="18" t="str">
        <f>VLOOKUP($A922,Table1[],5,TRUE)</f>
        <v>Female</v>
      </c>
      <c r="D922" s="3" t="str">
        <f>VLOOKUP($A922,Table1[],7,TRUE)</f>
        <v>24</v>
      </c>
      <c r="E922" s="3" t="str">
        <f>VLOOKUP($A922,Table1[],8,TRUE)</f>
        <v>United States</v>
      </c>
      <c r="F922" s="3" t="str">
        <f>VLOOKUP($A922,Table1[],9,TRUE)</f>
        <v>English</v>
      </c>
      <c r="G922" s="3" t="str">
        <f>VLOOKUP($A922,Table1[],10,TRUE)</f>
        <v>Web Development</v>
      </c>
      <c r="H922" s="13" t="str">
        <f>VLOOKUP($A922,Table1[],12,TRUE)</f>
        <v>2</v>
      </c>
      <c r="I922" s="20">
        <v>30</v>
      </c>
      <c r="J922" s="15">
        <f>VLOOKUP($A922,Table1[],18,TRUE)</f>
        <v>3.6</v>
      </c>
      <c r="K922" s="12" t="str">
        <f>VLOOKUP($A922,Table1[],22,TRUE)</f>
        <v>TRUE</v>
      </c>
      <c r="L922" s="13">
        <f>VLOOKUP($A922,Table1[],25,TRUE)</f>
        <v>0.92</v>
      </c>
    </row>
    <row r="923" spans="1:12" x14ac:dyDescent="0.25">
      <c r="A923" t="s">
        <v>1919</v>
      </c>
      <c r="B923" s="18" t="str">
        <f>VLOOKUP(A923,Table1[],3,TRUE)</f>
        <v>Anita Becker</v>
      </c>
      <c r="C923" s="18" t="str">
        <f>VLOOKUP($A923,Table1[],5,TRUE)</f>
        <v>Female</v>
      </c>
      <c r="D923" s="3" t="str">
        <f>VLOOKUP($A923,Table1[],7,TRUE)</f>
        <v>49</v>
      </c>
      <c r="E923" s="3" t="str">
        <f>VLOOKUP($A923,Table1[],8,TRUE)</f>
        <v>Spain</v>
      </c>
      <c r="F923" s="3" t="str">
        <f>VLOOKUP($A923,Table1[],9,TRUE)</f>
        <v>Spanish</v>
      </c>
      <c r="G923" s="3" t="str">
        <f>VLOOKUP($A923,Table1[],10,TRUE)</f>
        <v>DevOps</v>
      </c>
      <c r="H923" s="13" t="str">
        <f>VLOOKUP($A923,Table1[],12,TRUE)</f>
        <v>4</v>
      </c>
      <c r="I923" s="20">
        <v>75</v>
      </c>
      <c r="J923" s="15">
        <f>VLOOKUP($A923,Table1[],18,TRUE)</f>
        <v>2.1</v>
      </c>
      <c r="K923" s="12" t="str">
        <f>VLOOKUP($A923,Table1[],22,TRUE)</f>
        <v>TRUE</v>
      </c>
      <c r="L923" s="13">
        <f>VLOOKUP($A923,Table1[],25,TRUE)</f>
        <v>0.85</v>
      </c>
    </row>
    <row r="924" spans="1:12" x14ac:dyDescent="0.25">
      <c r="A924" t="s">
        <v>1921</v>
      </c>
      <c r="B924" s="18" t="str">
        <f>VLOOKUP(A924,Table1[],3,TRUE)</f>
        <v>Amy Brooks</v>
      </c>
      <c r="C924" s="18" t="str">
        <f>VLOOKUP($A924,Table1[],5,TRUE)</f>
        <v>Female</v>
      </c>
      <c r="D924" s="3" t="str">
        <f>VLOOKUP($A924,Table1[],7,TRUE)</f>
        <v>49</v>
      </c>
      <c r="E924" s="3" t="str">
        <f>VLOOKUP($A924,Table1[],8,TRUE)</f>
        <v>South Korea</v>
      </c>
      <c r="F924" s="3" t="str">
        <f>VLOOKUP($A924,Table1[],9,TRUE)</f>
        <v>Korean</v>
      </c>
      <c r="G924" s="3" t="str">
        <f>VLOOKUP($A924,Table1[],10,TRUE)</f>
        <v>AI</v>
      </c>
      <c r="H924" s="13" t="str">
        <f>VLOOKUP($A924,Table1[],12,TRUE)</f>
        <v>4</v>
      </c>
      <c r="I924" s="20">
        <v>75</v>
      </c>
      <c r="J924" s="15">
        <f>VLOOKUP($A924,Table1[],18,TRUE)</f>
        <v>2.9</v>
      </c>
      <c r="K924" s="12" t="str">
        <f>VLOOKUP($A924,Table1[],22,TRUE)</f>
        <v>FALSE</v>
      </c>
      <c r="L924" s="13">
        <f>VLOOKUP($A924,Table1[],25,TRUE)</f>
        <v>0.75</v>
      </c>
    </row>
    <row r="925" spans="1:12" x14ac:dyDescent="0.25">
      <c r="A925" t="s">
        <v>1923</v>
      </c>
      <c r="B925" s="18" t="str">
        <f>VLOOKUP(A925,Table1[],3,TRUE)</f>
        <v>Lori Marshall</v>
      </c>
      <c r="C925" s="18" t="str">
        <f>VLOOKUP($A925,Table1[],5,TRUE)</f>
        <v>Female</v>
      </c>
      <c r="D925" s="3" t="str">
        <f>VLOOKUP($A925,Table1[],7,TRUE)</f>
        <v>49</v>
      </c>
      <c r="E925" s="3" t="str">
        <f>VLOOKUP($A925,Table1[],8,TRUE)</f>
        <v>South Korea</v>
      </c>
      <c r="F925" s="3" t="str">
        <f>VLOOKUP($A925,Table1[],9,TRUE)</f>
        <v>Korean</v>
      </c>
      <c r="G925" s="3" t="str">
        <f>VLOOKUP($A925,Table1[],10,TRUE)</f>
        <v>Mobile Apps</v>
      </c>
      <c r="H925" s="13" t="str">
        <f>VLOOKUP($A925,Table1[],12,TRUE)</f>
        <v>24</v>
      </c>
      <c r="I925" s="20">
        <v>100</v>
      </c>
      <c r="J925" s="15">
        <f>VLOOKUP($A925,Table1[],18,TRUE)</f>
        <v>3.6</v>
      </c>
      <c r="K925" s="12" t="str">
        <f>VLOOKUP($A925,Table1[],22,TRUE)</f>
        <v>TRUE</v>
      </c>
      <c r="L925" s="13">
        <f>VLOOKUP($A925,Table1[],25,TRUE)</f>
        <v>0.75</v>
      </c>
    </row>
    <row r="926" spans="1:12" x14ac:dyDescent="0.25">
      <c r="A926" t="s">
        <v>1925</v>
      </c>
      <c r="B926" s="18" t="str">
        <f>VLOOKUP(A926,Table1[],3,TRUE)</f>
        <v>Jennifer Miller</v>
      </c>
      <c r="C926" s="18" t="str">
        <f>VLOOKUP($A926,Table1[],5,TRUE)</f>
        <v>Female</v>
      </c>
      <c r="D926" s="3" t="str">
        <f>VLOOKUP($A926,Table1[],7,TRUE)</f>
        <v>58</v>
      </c>
      <c r="E926" s="3" t="str">
        <f>VLOOKUP($A926,Table1[],8,TRUE)</f>
        <v>Brazil</v>
      </c>
      <c r="F926" s="3" t="str">
        <f>VLOOKUP($A926,Table1[],9,TRUE)</f>
        <v>Portuguese</v>
      </c>
      <c r="G926" s="3" t="str">
        <f>VLOOKUP($A926,Table1[],10,TRUE)</f>
        <v>Blockchain Development</v>
      </c>
      <c r="H926" s="13" t="str">
        <f>VLOOKUP($A926,Table1[],12,TRUE)</f>
        <v>29</v>
      </c>
      <c r="I926" s="20">
        <v>30</v>
      </c>
      <c r="J926" s="15">
        <f>VLOOKUP($A926,Table1[],18,TRUE)</f>
        <v>3.3</v>
      </c>
      <c r="K926" s="12" t="str">
        <f>VLOOKUP($A926,Table1[],22,TRUE)</f>
        <v>TRUE</v>
      </c>
      <c r="L926" s="13">
        <f>VLOOKUP($A926,Table1[],25,TRUE)</f>
        <v>0.89</v>
      </c>
    </row>
    <row r="927" spans="1:12" x14ac:dyDescent="0.25">
      <c r="A927" t="s">
        <v>1927</v>
      </c>
      <c r="B927" s="18" t="str">
        <f>VLOOKUP(A927,Table1[],3,TRUE)</f>
        <v>Thomas Young</v>
      </c>
      <c r="C927" s="18" t="str">
        <f>VLOOKUP($A927,Table1[],5,TRUE)</f>
        <v>Male</v>
      </c>
      <c r="D927" s="3" t="str">
        <f>VLOOKUP($A927,Table1[],7,TRUE)</f>
        <v>50</v>
      </c>
      <c r="E927" s="3" t="str">
        <f>VLOOKUP($A927,Table1[],8,TRUE)</f>
        <v>South Africa</v>
      </c>
      <c r="F927" s="3" t="str">
        <f>VLOOKUP($A927,Table1[],9,TRUE)</f>
        <v>Afrikaans</v>
      </c>
      <c r="G927" s="3" t="str">
        <f>VLOOKUP($A927,Table1[],10,TRUE)</f>
        <v>UI/UX Design</v>
      </c>
      <c r="H927" s="13" t="str">
        <f>VLOOKUP($A927,Table1[],12,TRUE)</f>
        <v>13</v>
      </c>
      <c r="I927" s="20">
        <v>50</v>
      </c>
      <c r="J927" s="15">
        <f>VLOOKUP($A927,Table1[],18,TRUE)</f>
        <v>2.5</v>
      </c>
      <c r="K927" s="12" t="str">
        <f>VLOOKUP($A927,Table1[],22,TRUE)</f>
        <v>TRUE</v>
      </c>
      <c r="L927" s="13">
        <f>VLOOKUP($A927,Table1[],25,TRUE)</f>
        <v>0.81</v>
      </c>
    </row>
    <row r="928" spans="1:12" x14ac:dyDescent="0.25">
      <c r="A928" t="s">
        <v>1929</v>
      </c>
      <c r="B928" s="18" t="str">
        <f>VLOOKUP(A928,Table1[],3,TRUE)</f>
        <v>Zachary Larsen</v>
      </c>
      <c r="C928" s="18" t="str">
        <f>VLOOKUP($A928,Table1[],5,TRUE)</f>
        <v>Male</v>
      </c>
      <c r="D928" s="3" t="str">
        <f>VLOOKUP($A928,Table1[],7,TRUE)</f>
        <v>27</v>
      </c>
      <c r="E928" s="3" t="str">
        <f>VLOOKUP($A928,Table1[],8,TRUE)</f>
        <v>South Africa</v>
      </c>
      <c r="F928" s="3" t="str">
        <f>VLOOKUP($A928,Table1[],9,TRUE)</f>
        <v>Afrikaans</v>
      </c>
      <c r="G928" s="3" t="str">
        <f>VLOOKUP($A928,Table1[],10,TRUE)</f>
        <v>DevOps</v>
      </c>
      <c r="H928" s="13" t="str">
        <f>VLOOKUP($A928,Table1[],12,TRUE)</f>
        <v>1</v>
      </c>
      <c r="I928" s="20">
        <v>100</v>
      </c>
      <c r="J928" s="15">
        <f>VLOOKUP($A928,Table1[],18,TRUE)</f>
        <v>3.7</v>
      </c>
      <c r="K928" s="12" t="str">
        <f>VLOOKUP($A928,Table1[],22,TRUE)</f>
        <v>TRUE</v>
      </c>
      <c r="L928" s="13">
        <f>VLOOKUP($A928,Table1[],25,TRUE)</f>
        <v>0.61</v>
      </c>
    </row>
    <row r="929" spans="1:12" x14ac:dyDescent="0.25">
      <c r="A929" t="s">
        <v>1931</v>
      </c>
      <c r="B929" s="18" t="str">
        <f>VLOOKUP(A929,Table1[],3,TRUE)</f>
        <v>Valerie Gutierrez</v>
      </c>
      <c r="C929" s="18" t="str">
        <f>VLOOKUP($A929,Table1[],5,TRUE)</f>
        <v>Female</v>
      </c>
      <c r="D929" s="3" t="str">
        <f>VLOOKUP($A929,Table1[],7,TRUE)</f>
        <v>20</v>
      </c>
      <c r="E929" s="3" t="str">
        <f>VLOOKUP($A929,Table1[],8,TRUE)</f>
        <v>South Korea</v>
      </c>
      <c r="F929" s="3" t="str">
        <f>VLOOKUP($A929,Table1[],9,TRUE)</f>
        <v>Korean</v>
      </c>
      <c r="G929" s="3" t="str">
        <f>VLOOKUP($A929,Table1[],10,TRUE)</f>
        <v>Machine Learning</v>
      </c>
      <c r="H929" s="13" t="str">
        <f>VLOOKUP($A929,Table1[],12,TRUE)</f>
        <v>Unknown</v>
      </c>
      <c r="I929" s="20">
        <v>30</v>
      </c>
      <c r="J929" s="15">
        <f>VLOOKUP($A929,Table1[],18,TRUE)</f>
        <v>4.5999999999999996</v>
      </c>
      <c r="K929" s="12" t="str">
        <f>VLOOKUP($A929,Table1[],22,TRUE)</f>
        <v>TRUE</v>
      </c>
      <c r="L929" s="13">
        <f>VLOOKUP($A929,Table1[],25,TRUE)</f>
        <v>0.75</v>
      </c>
    </row>
    <row r="930" spans="1:12" x14ac:dyDescent="0.25">
      <c r="A930" t="s">
        <v>1933</v>
      </c>
      <c r="B930" s="18" t="str">
        <f>VLOOKUP(A930,Table1[],3,TRUE)</f>
        <v>Daniel Parker</v>
      </c>
      <c r="C930" s="18" t="str">
        <f>VLOOKUP($A930,Table1[],5,TRUE)</f>
        <v>Male</v>
      </c>
      <c r="D930" s="3" t="str">
        <f>VLOOKUP($A930,Table1[],7,TRUE)</f>
        <v>52</v>
      </c>
      <c r="E930" s="3" t="str">
        <f>VLOOKUP($A930,Table1[],8,TRUE)</f>
        <v>Russia</v>
      </c>
      <c r="F930" s="3" t="str">
        <f>VLOOKUP($A930,Table1[],9,TRUE)</f>
        <v>Russian</v>
      </c>
      <c r="G930" s="3" t="str">
        <f>VLOOKUP($A930,Table1[],10,TRUE)</f>
        <v>Blockchain Development</v>
      </c>
      <c r="H930" s="13" t="str">
        <f>VLOOKUP($A930,Table1[],12,TRUE)</f>
        <v>15</v>
      </c>
      <c r="I930" s="20">
        <v>40</v>
      </c>
      <c r="J930" s="15">
        <f>VLOOKUP($A930,Table1[],18,TRUE)</f>
        <v>0</v>
      </c>
      <c r="K930" s="12" t="str">
        <f>VLOOKUP($A930,Table1[],22,TRUE)</f>
        <v>TRUE</v>
      </c>
      <c r="L930" s="13">
        <f>VLOOKUP($A930,Table1[],25,TRUE)</f>
        <v>0.92</v>
      </c>
    </row>
    <row r="931" spans="1:12" x14ac:dyDescent="0.25">
      <c r="A931" t="s">
        <v>1935</v>
      </c>
      <c r="B931" s="18" t="str">
        <f>VLOOKUP(A931,Table1[],3,TRUE)</f>
        <v>Nicole Bennett</v>
      </c>
      <c r="C931" s="18" t="str">
        <f>VLOOKUP($A931,Table1[],5,TRUE)</f>
        <v>Female</v>
      </c>
      <c r="D931" s="3" t="str">
        <f>VLOOKUP($A931,Table1[],7,TRUE)</f>
        <v>22</v>
      </c>
      <c r="E931" s="3" t="str">
        <f>VLOOKUP($A931,Table1[],8,TRUE)</f>
        <v>France</v>
      </c>
      <c r="F931" s="3" t="str">
        <f>VLOOKUP($A931,Table1[],9,TRUE)</f>
        <v>French</v>
      </c>
      <c r="G931" s="3" t="str">
        <f>VLOOKUP($A931,Table1[],10,TRUE)</f>
        <v>Machine Learning</v>
      </c>
      <c r="H931" s="13" t="str">
        <f>VLOOKUP($A931,Table1[],12,TRUE)</f>
        <v>2</v>
      </c>
      <c r="I931" s="20">
        <v>30</v>
      </c>
      <c r="J931" s="15">
        <f>VLOOKUP($A931,Table1[],18,TRUE)</f>
        <v>2</v>
      </c>
      <c r="K931" s="12" t="str">
        <f>VLOOKUP($A931,Table1[],22,TRUE)</f>
        <v>FALSE</v>
      </c>
      <c r="L931" s="13">
        <f>VLOOKUP($A931,Table1[],25,TRUE)</f>
        <v>0.96</v>
      </c>
    </row>
    <row r="932" spans="1:12" x14ac:dyDescent="0.25">
      <c r="A932" t="s">
        <v>1937</v>
      </c>
      <c r="B932" s="18" t="str">
        <f>VLOOKUP(A932,Table1[],3,TRUE)</f>
        <v>Lauren Lowery</v>
      </c>
      <c r="C932" s="18" t="str">
        <f>VLOOKUP($A932,Table1[],5,TRUE)</f>
        <v>Female</v>
      </c>
      <c r="D932" s="3" t="str">
        <f>VLOOKUP($A932,Table1[],7,TRUE)</f>
        <v>38</v>
      </c>
      <c r="E932" s="3" t="str">
        <f>VLOOKUP($A932,Table1[],8,TRUE)</f>
        <v>Turkey</v>
      </c>
      <c r="F932" s="3" t="str">
        <f>VLOOKUP($A932,Table1[],9,TRUE)</f>
        <v>Turkish</v>
      </c>
      <c r="G932" s="3" t="str">
        <f>VLOOKUP($A932,Table1[],10,TRUE)</f>
        <v>Web Development</v>
      </c>
      <c r="H932" s="13" t="str">
        <f>VLOOKUP($A932,Table1[],12,TRUE)</f>
        <v>14</v>
      </c>
      <c r="I932" s="20">
        <v>100</v>
      </c>
      <c r="J932" s="15">
        <f>VLOOKUP($A932,Table1[],18,TRUE)</f>
        <v>1.7</v>
      </c>
      <c r="K932" s="12" t="str">
        <f>VLOOKUP($A932,Table1[],22,TRUE)</f>
        <v>TRUE</v>
      </c>
      <c r="L932" s="13">
        <f>VLOOKUP($A932,Table1[],25,TRUE)</f>
        <v>0.66</v>
      </c>
    </row>
    <row r="933" spans="1:12" x14ac:dyDescent="0.25">
      <c r="A933" t="s">
        <v>1939</v>
      </c>
      <c r="B933" s="18" t="str">
        <f>VLOOKUP(A933,Table1[],3,TRUE)</f>
        <v>Alexander Woodward</v>
      </c>
      <c r="C933" s="18" t="str">
        <f>VLOOKUP($A933,Table1[],5,TRUE)</f>
        <v>Male</v>
      </c>
      <c r="D933" s="3" t="str">
        <f>VLOOKUP($A933,Table1[],7,TRUE)</f>
        <v>21</v>
      </c>
      <c r="E933" s="3" t="str">
        <f>VLOOKUP($A933,Table1[],8,TRUE)</f>
        <v>Canada</v>
      </c>
      <c r="F933" s="3" t="str">
        <f>VLOOKUP($A933,Table1[],9,TRUE)</f>
        <v>English</v>
      </c>
      <c r="G933" s="3" t="str">
        <f>VLOOKUP($A933,Table1[],10,TRUE)</f>
        <v>Graphic Design</v>
      </c>
      <c r="H933" s="13" t="str">
        <f>VLOOKUP($A933,Table1[],12,TRUE)</f>
        <v>0</v>
      </c>
      <c r="I933" s="20">
        <v>100</v>
      </c>
      <c r="J933" s="15">
        <f>VLOOKUP($A933,Table1[],18,TRUE)</f>
        <v>3</v>
      </c>
      <c r="K933" s="12" t="str">
        <f>VLOOKUP($A933,Table1[],22,TRUE)</f>
        <v>FALSE</v>
      </c>
      <c r="L933" s="13">
        <f>VLOOKUP($A933,Table1[],25,TRUE)</f>
        <v>0.64</v>
      </c>
    </row>
    <row r="934" spans="1:12" x14ac:dyDescent="0.25">
      <c r="A934" t="s">
        <v>1941</v>
      </c>
      <c r="B934" s="18" t="str">
        <f>VLOOKUP(A934,Table1[],3,TRUE)</f>
        <v>Anthony Walter</v>
      </c>
      <c r="C934" s="18" t="str">
        <f>VLOOKUP($A934,Table1[],5,TRUE)</f>
        <v>Male</v>
      </c>
      <c r="D934" s="3" t="str">
        <f>VLOOKUP($A934,Table1[],7,TRUE)</f>
        <v>41</v>
      </c>
      <c r="E934" s="3" t="str">
        <f>VLOOKUP($A934,Table1[],8,TRUE)</f>
        <v>Australia</v>
      </c>
      <c r="F934" s="3" t="str">
        <f>VLOOKUP($A934,Table1[],9,TRUE)</f>
        <v>English</v>
      </c>
      <c r="G934" s="3" t="str">
        <f>VLOOKUP($A934,Table1[],10,TRUE)</f>
        <v>AI</v>
      </c>
      <c r="H934" s="13" t="str">
        <f>VLOOKUP($A934,Table1[],12,TRUE)</f>
        <v>15</v>
      </c>
      <c r="I934" s="20">
        <v>40</v>
      </c>
      <c r="J934" s="15">
        <f>VLOOKUP($A934,Table1[],18,TRUE)</f>
        <v>3.4</v>
      </c>
      <c r="K934" s="12" t="str">
        <f>VLOOKUP($A934,Table1[],22,TRUE)</f>
        <v>TRUE</v>
      </c>
      <c r="L934" s="13">
        <f>VLOOKUP($A934,Table1[],25,TRUE)</f>
        <v>1</v>
      </c>
    </row>
    <row r="935" spans="1:12" x14ac:dyDescent="0.25">
      <c r="A935" t="s">
        <v>1943</v>
      </c>
      <c r="B935" s="18" t="str">
        <f>VLOOKUP(A935,Table1[],3,TRUE)</f>
        <v>Valerie Finley</v>
      </c>
      <c r="C935" s="18" t="str">
        <f>VLOOKUP($A935,Table1[],5,TRUE)</f>
        <v>Female</v>
      </c>
      <c r="D935" s="3" t="str">
        <f>VLOOKUP($A935,Table1[],7,TRUE)</f>
        <v>33</v>
      </c>
      <c r="E935" s="3" t="str">
        <f>VLOOKUP($A935,Table1[],8,TRUE)</f>
        <v>Indonesia</v>
      </c>
      <c r="F935" s="3" t="str">
        <f>VLOOKUP($A935,Table1[],9,TRUE)</f>
        <v>Indonesian</v>
      </c>
      <c r="G935" s="3" t="str">
        <f>VLOOKUP($A935,Table1[],10,TRUE)</f>
        <v>Blockchain Development</v>
      </c>
      <c r="H935" s="13" t="str">
        <f>VLOOKUP($A935,Table1[],12,TRUE)</f>
        <v>6</v>
      </c>
      <c r="I935" s="20">
        <v>40</v>
      </c>
      <c r="J935" s="15">
        <f>VLOOKUP($A935,Table1[],18,TRUE)</f>
        <v>3.2</v>
      </c>
      <c r="K935" s="12" t="str">
        <f>VLOOKUP($A935,Table1[],22,TRUE)</f>
        <v>TRUE</v>
      </c>
      <c r="L935" s="13">
        <f>VLOOKUP($A935,Table1[],25,TRUE)</f>
        <v>0.95</v>
      </c>
    </row>
    <row r="936" spans="1:12" x14ac:dyDescent="0.25">
      <c r="A936" t="s">
        <v>1945</v>
      </c>
      <c r="B936" s="18" t="str">
        <f>VLOOKUP(A936,Table1[],3,TRUE)</f>
        <v>Deborah Kelley</v>
      </c>
      <c r="C936" s="18" t="str">
        <f>VLOOKUP($A936,Table1[],5,TRUE)</f>
        <v>Female</v>
      </c>
      <c r="D936" s="3" t="str">
        <f>VLOOKUP($A936,Table1[],7,TRUE)</f>
        <v>38</v>
      </c>
      <c r="E936" s="3" t="str">
        <f>VLOOKUP($A936,Table1[],8,TRUE)</f>
        <v>Mexico</v>
      </c>
      <c r="F936" s="3" t="str">
        <f>VLOOKUP($A936,Table1[],9,TRUE)</f>
        <v>Spanish</v>
      </c>
      <c r="G936" s="3" t="str">
        <f>VLOOKUP($A936,Table1[],10,TRUE)</f>
        <v>Mobile Apps</v>
      </c>
      <c r="H936" s="13" t="str">
        <f>VLOOKUP($A936,Table1[],12,TRUE)</f>
        <v>11</v>
      </c>
      <c r="I936" s="20">
        <v>50</v>
      </c>
      <c r="J936" s="15">
        <f>VLOOKUP($A936,Table1[],18,TRUE)</f>
        <v>2.8</v>
      </c>
      <c r="K936" s="12" t="str">
        <f>VLOOKUP($A936,Table1[],22,TRUE)</f>
        <v>TRUE</v>
      </c>
      <c r="L936" s="13">
        <f>VLOOKUP($A936,Table1[],25,TRUE)</f>
        <v>0.91</v>
      </c>
    </row>
    <row r="937" spans="1:12" x14ac:dyDescent="0.25">
      <c r="A937" t="s">
        <v>1947</v>
      </c>
      <c r="B937" s="18" t="str">
        <f>VLOOKUP(A937,Table1[],3,TRUE)</f>
        <v>Kristina Miller</v>
      </c>
      <c r="C937" s="18" t="str">
        <f>VLOOKUP($A937,Table1[],5,TRUE)</f>
        <v>Female</v>
      </c>
      <c r="D937" s="3" t="str">
        <f>VLOOKUP($A937,Table1[],7,TRUE)</f>
        <v>26</v>
      </c>
      <c r="E937" s="3" t="str">
        <f>VLOOKUP($A937,Table1[],8,TRUE)</f>
        <v>Russia</v>
      </c>
      <c r="F937" s="3" t="str">
        <f>VLOOKUP($A937,Table1[],9,TRUE)</f>
        <v>Russian</v>
      </c>
      <c r="G937" s="3" t="str">
        <f>VLOOKUP($A937,Table1[],10,TRUE)</f>
        <v>DevOps</v>
      </c>
      <c r="H937" s="13" t="str">
        <f>VLOOKUP($A937,Table1[],12,TRUE)</f>
        <v>8</v>
      </c>
      <c r="I937" s="20">
        <v>20</v>
      </c>
      <c r="J937" s="15">
        <f>VLOOKUP($A937,Table1[],18,TRUE)</f>
        <v>4.0999999999999996</v>
      </c>
      <c r="K937" s="12" t="str">
        <f>VLOOKUP($A937,Table1[],22,TRUE)</f>
        <v>TRUE</v>
      </c>
      <c r="L937" s="13">
        <f>VLOOKUP($A937,Table1[],25,TRUE)</f>
        <v>0.82</v>
      </c>
    </row>
    <row r="938" spans="1:12" x14ac:dyDescent="0.25">
      <c r="A938" t="s">
        <v>1949</v>
      </c>
      <c r="B938" s="18" t="str">
        <f>VLOOKUP(A938,Table1[],3,TRUE)</f>
        <v>Anne Hampton</v>
      </c>
      <c r="C938" s="18" t="str">
        <f>VLOOKUP($A938,Table1[],5,TRUE)</f>
        <v>Female</v>
      </c>
      <c r="D938" s="3" t="str">
        <f>VLOOKUP($A938,Table1[],7,TRUE)</f>
        <v>43</v>
      </c>
      <c r="E938" s="3" t="str">
        <f>VLOOKUP($A938,Table1[],8,TRUE)</f>
        <v>Netherlands</v>
      </c>
      <c r="F938" s="3" t="str">
        <f>VLOOKUP($A938,Table1[],9,TRUE)</f>
        <v>Dutch</v>
      </c>
      <c r="G938" s="3" t="str">
        <f>VLOOKUP($A938,Table1[],10,TRUE)</f>
        <v>AI</v>
      </c>
      <c r="H938" s="13" t="str">
        <f>VLOOKUP($A938,Table1[],12,TRUE)</f>
        <v>3</v>
      </c>
      <c r="I938" s="20">
        <v>20</v>
      </c>
      <c r="J938" s="15">
        <f>VLOOKUP($A938,Table1[],18,TRUE)</f>
        <v>0</v>
      </c>
      <c r="K938" s="12" t="str">
        <f>VLOOKUP($A938,Table1[],22,TRUE)</f>
        <v>TRUE</v>
      </c>
      <c r="L938" s="13">
        <f>VLOOKUP($A938,Table1[],25,TRUE)</f>
        <v>0.95</v>
      </c>
    </row>
    <row r="939" spans="1:12" x14ac:dyDescent="0.25">
      <c r="A939" t="s">
        <v>1951</v>
      </c>
      <c r="B939" s="18" t="str">
        <f>VLOOKUP(A939,Table1[],3,TRUE)</f>
        <v>Sandra Henry</v>
      </c>
      <c r="C939" s="18" t="str">
        <f>VLOOKUP($A939,Table1[],5,TRUE)</f>
        <v>Female</v>
      </c>
      <c r="D939" s="3" t="str">
        <f>VLOOKUP($A939,Table1[],7,TRUE)</f>
        <v>21</v>
      </c>
      <c r="E939" s="3" t="str">
        <f>VLOOKUP($A939,Table1[],8,TRUE)</f>
        <v>Italy</v>
      </c>
      <c r="F939" s="3" t="str">
        <f>VLOOKUP($A939,Table1[],9,TRUE)</f>
        <v>Italian</v>
      </c>
      <c r="G939" s="3" t="str">
        <f>VLOOKUP($A939,Table1[],10,TRUE)</f>
        <v>Cybersecurity</v>
      </c>
      <c r="H939" s="13" t="str">
        <f>VLOOKUP($A939,Table1[],12,TRUE)</f>
        <v>0</v>
      </c>
      <c r="I939" s="20">
        <v>50</v>
      </c>
      <c r="J939" s="15">
        <f>VLOOKUP($A939,Table1[],18,TRUE)</f>
        <v>0</v>
      </c>
      <c r="K939" s="12" t="str">
        <f>VLOOKUP($A939,Table1[],22,TRUE)</f>
        <v>TRUE</v>
      </c>
      <c r="L939" s="13">
        <f>VLOOKUP($A939,Table1[],25,TRUE)</f>
        <v>0.95</v>
      </c>
    </row>
    <row r="940" spans="1:12" x14ac:dyDescent="0.25">
      <c r="A940" t="s">
        <v>1953</v>
      </c>
      <c r="B940" s="18" t="str">
        <f>VLOOKUP(A940,Table1[],3,TRUE)</f>
        <v>Tony Hester</v>
      </c>
      <c r="C940" s="18" t="str">
        <f>VLOOKUP($A940,Table1[],5,TRUE)</f>
        <v>Male</v>
      </c>
      <c r="D940" s="3" t="str">
        <f>VLOOKUP($A940,Table1[],7,TRUE)</f>
        <v>47</v>
      </c>
      <c r="E940" s="3" t="str">
        <f>VLOOKUP($A940,Table1[],8,TRUE)</f>
        <v>South Korea</v>
      </c>
      <c r="F940" s="3" t="str">
        <f>VLOOKUP($A940,Table1[],9,TRUE)</f>
        <v>Korean</v>
      </c>
      <c r="G940" s="3" t="str">
        <f>VLOOKUP($A940,Table1[],10,TRUE)</f>
        <v>Mobile Apps</v>
      </c>
      <c r="H940" s="13" t="str">
        <f>VLOOKUP($A940,Table1[],12,TRUE)</f>
        <v>7</v>
      </c>
      <c r="I940" s="20">
        <v>30</v>
      </c>
      <c r="J940" s="15">
        <f>VLOOKUP($A940,Table1[],18,TRUE)</f>
        <v>2.6</v>
      </c>
      <c r="K940" s="12" t="str">
        <f>VLOOKUP($A940,Table1[],22,TRUE)</f>
        <v>TRUE</v>
      </c>
      <c r="L940" s="13">
        <f>VLOOKUP($A940,Table1[],25,TRUE)</f>
        <v>0.69</v>
      </c>
    </row>
    <row r="941" spans="1:12" x14ac:dyDescent="0.25">
      <c r="A941" t="s">
        <v>1955</v>
      </c>
      <c r="B941" s="18" t="str">
        <f>VLOOKUP(A941,Table1[],3,TRUE)</f>
        <v>Nathan Davis</v>
      </c>
      <c r="C941" s="18" t="str">
        <f>VLOOKUP($A941,Table1[],5,TRUE)</f>
        <v>Male</v>
      </c>
      <c r="D941" s="3" t="str">
        <f>VLOOKUP($A941,Table1[],7,TRUE)</f>
        <v>35</v>
      </c>
      <c r="E941" s="3" t="str">
        <f>VLOOKUP($A941,Table1[],8,TRUE)</f>
        <v>Spain</v>
      </c>
      <c r="F941" s="3" t="str">
        <f>VLOOKUP($A941,Table1[],9,TRUE)</f>
        <v>Spanish</v>
      </c>
      <c r="G941" s="3" t="str">
        <f>VLOOKUP($A941,Table1[],10,TRUE)</f>
        <v>Graphic Design</v>
      </c>
      <c r="H941" s="13" t="str">
        <f>VLOOKUP($A941,Table1[],12,TRUE)</f>
        <v>6</v>
      </c>
      <c r="I941" s="20">
        <v>40</v>
      </c>
      <c r="J941" s="15">
        <f>VLOOKUP($A941,Table1[],18,TRUE)</f>
        <v>2.6</v>
      </c>
      <c r="K941" s="12" t="str">
        <f>VLOOKUP($A941,Table1[],22,TRUE)</f>
        <v>TRUE</v>
      </c>
      <c r="L941" s="13">
        <f>VLOOKUP($A941,Table1[],25,TRUE)</f>
        <v>0.91</v>
      </c>
    </row>
    <row r="942" spans="1:12" x14ac:dyDescent="0.25">
      <c r="A942" t="s">
        <v>1957</v>
      </c>
      <c r="B942" s="18" t="str">
        <f>VLOOKUP(A942,Table1[],3,TRUE)</f>
        <v>Erica Jackson</v>
      </c>
      <c r="C942" s="18" t="str">
        <f>VLOOKUP($A942,Table1[],5,TRUE)</f>
        <v>Female</v>
      </c>
      <c r="D942" s="3" t="str">
        <f>VLOOKUP($A942,Table1[],7,TRUE)</f>
        <v>37</v>
      </c>
      <c r="E942" s="3" t="str">
        <f>VLOOKUP($A942,Table1[],8,TRUE)</f>
        <v>Indonesia</v>
      </c>
      <c r="F942" s="3" t="str">
        <f>VLOOKUP($A942,Table1[],9,TRUE)</f>
        <v>Indonesian</v>
      </c>
      <c r="G942" s="3" t="str">
        <f>VLOOKUP($A942,Table1[],10,TRUE)</f>
        <v>Mobile Apps</v>
      </c>
      <c r="H942" s="13" t="str">
        <f>VLOOKUP($A942,Table1[],12,TRUE)</f>
        <v>9</v>
      </c>
      <c r="I942" s="20">
        <v>30</v>
      </c>
      <c r="J942" s="15">
        <f>VLOOKUP($A942,Table1[],18,TRUE)</f>
        <v>2.7</v>
      </c>
      <c r="K942" s="12" t="str">
        <f>VLOOKUP($A942,Table1[],22,TRUE)</f>
        <v>TRUE</v>
      </c>
      <c r="L942" s="13">
        <f>VLOOKUP($A942,Table1[],25,TRUE)</f>
        <v>0.75</v>
      </c>
    </row>
    <row r="943" spans="1:12" x14ac:dyDescent="0.25">
      <c r="A943" t="s">
        <v>1959</v>
      </c>
      <c r="B943" s="18" t="str">
        <f>VLOOKUP(A943,Table1[],3,TRUE)</f>
        <v>Nancy Glover</v>
      </c>
      <c r="C943" s="18" t="str">
        <f>VLOOKUP($A943,Table1[],5,TRUE)</f>
        <v>Female</v>
      </c>
      <c r="D943" s="3" t="str">
        <f>VLOOKUP($A943,Table1[],7,TRUE)</f>
        <v>38</v>
      </c>
      <c r="E943" s="3" t="str">
        <f>VLOOKUP($A943,Table1[],8,TRUE)</f>
        <v>Brazil</v>
      </c>
      <c r="F943" s="3" t="str">
        <f>VLOOKUP($A943,Table1[],9,TRUE)</f>
        <v>Portuguese</v>
      </c>
      <c r="G943" s="3" t="str">
        <f>VLOOKUP($A943,Table1[],10,TRUE)</f>
        <v>AI</v>
      </c>
      <c r="H943" s="13" t="str">
        <f>VLOOKUP($A943,Table1[],12,TRUE)</f>
        <v>15</v>
      </c>
      <c r="I943" s="20">
        <v>40</v>
      </c>
      <c r="J943" s="15">
        <f>VLOOKUP($A943,Table1[],18,TRUE)</f>
        <v>4</v>
      </c>
      <c r="K943" s="12" t="str">
        <f>VLOOKUP($A943,Table1[],22,TRUE)</f>
        <v>TRUE</v>
      </c>
      <c r="L943" s="13">
        <f>VLOOKUP($A943,Table1[],25,TRUE)</f>
        <v>0.62</v>
      </c>
    </row>
    <row r="944" spans="1:12" x14ac:dyDescent="0.25">
      <c r="A944" t="s">
        <v>1961</v>
      </c>
      <c r="B944" s="18" t="str">
        <f>VLOOKUP(A944,Table1[],3,TRUE)</f>
        <v>Richard Sanchez</v>
      </c>
      <c r="C944" s="18" t="str">
        <f>VLOOKUP($A944,Table1[],5,TRUE)</f>
        <v>Male</v>
      </c>
      <c r="D944" s="3" t="str">
        <f>VLOOKUP($A944,Table1[],7,TRUE)</f>
        <v>40</v>
      </c>
      <c r="E944" s="3" t="str">
        <f>VLOOKUP($A944,Table1[],8,TRUE)</f>
        <v>Canada</v>
      </c>
      <c r="F944" s="3" t="str">
        <f>VLOOKUP($A944,Table1[],9,TRUE)</f>
        <v>English</v>
      </c>
      <c r="G944" s="3" t="str">
        <f>VLOOKUP($A944,Table1[],10,TRUE)</f>
        <v>Data Analysis</v>
      </c>
      <c r="H944" s="13" t="str">
        <f>VLOOKUP($A944,Table1[],12,TRUE)</f>
        <v>20</v>
      </c>
      <c r="I944" s="20">
        <v>20</v>
      </c>
      <c r="J944" s="15">
        <f>VLOOKUP($A944,Table1[],18,TRUE)</f>
        <v>2.5</v>
      </c>
      <c r="K944" s="12" t="str">
        <f>VLOOKUP($A944,Table1[],22,TRUE)</f>
        <v>FALSE</v>
      </c>
      <c r="L944" s="13">
        <f>VLOOKUP($A944,Table1[],25,TRUE)</f>
        <v>0.81</v>
      </c>
    </row>
    <row r="945" spans="1:12" x14ac:dyDescent="0.25">
      <c r="A945" t="s">
        <v>1963</v>
      </c>
      <c r="B945" s="18" t="str">
        <f>VLOOKUP(A945,Table1[],3,TRUE)</f>
        <v>Savannah Reid</v>
      </c>
      <c r="C945" s="18" t="str">
        <f>VLOOKUP($A945,Table1[],5,TRUE)</f>
        <v>Female</v>
      </c>
      <c r="D945" s="3" t="str">
        <f>VLOOKUP($A945,Table1[],7,TRUE)</f>
        <v>46</v>
      </c>
      <c r="E945" s="3" t="str">
        <f>VLOOKUP($A945,Table1[],8,TRUE)</f>
        <v>Brazil</v>
      </c>
      <c r="F945" s="3" t="str">
        <f>VLOOKUP($A945,Table1[],9,TRUE)</f>
        <v>Portuguese</v>
      </c>
      <c r="G945" s="3" t="str">
        <f>VLOOKUP($A945,Table1[],10,TRUE)</f>
        <v>Data Analysis</v>
      </c>
      <c r="H945" s="13" t="str">
        <f>VLOOKUP($A945,Table1[],12,TRUE)</f>
        <v>16</v>
      </c>
      <c r="I945" s="20">
        <v>75</v>
      </c>
      <c r="J945" s="15">
        <f>VLOOKUP($A945,Table1[],18,TRUE)</f>
        <v>0</v>
      </c>
      <c r="K945" s="12" t="str">
        <f>VLOOKUP($A945,Table1[],22,TRUE)</f>
        <v>FALSE</v>
      </c>
      <c r="L945" s="13">
        <f>VLOOKUP($A945,Table1[],25,TRUE)</f>
        <v>0.94</v>
      </c>
    </row>
    <row r="946" spans="1:12" x14ac:dyDescent="0.25">
      <c r="A946" t="s">
        <v>1965</v>
      </c>
      <c r="B946" s="18" t="str">
        <f>VLOOKUP(A946,Table1[],3,TRUE)</f>
        <v>Robert Salazar</v>
      </c>
      <c r="C946" s="18" t="str">
        <f>VLOOKUP($A946,Table1[],5,TRUE)</f>
        <v>Male</v>
      </c>
      <c r="D946" s="3" t="str">
        <f>VLOOKUP($A946,Table1[],7,TRUE)</f>
        <v>56</v>
      </c>
      <c r="E946" s="3" t="str">
        <f>VLOOKUP($A946,Table1[],8,TRUE)</f>
        <v>Egypt</v>
      </c>
      <c r="F946" s="3" t="str">
        <f>VLOOKUP($A946,Table1[],9,TRUE)</f>
        <v>Arabic</v>
      </c>
      <c r="G946" s="3" t="str">
        <f>VLOOKUP($A946,Table1[],10,TRUE)</f>
        <v>DevOps</v>
      </c>
      <c r="H946" s="13" t="str">
        <f>VLOOKUP($A946,Table1[],12,TRUE)</f>
        <v>22</v>
      </c>
      <c r="I946" s="20">
        <v>30</v>
      </c>
      <c r="J946" s="15">
        <f>VLOOKUP($A946,Table1[],18,TRUE)</f>
        <v>2.6</v>
      </c>
      <c r="K946" s="12" t="str">
        <f>VLOOKUP($A946,Table1[],22,TRUE)</f>
        <v>FALSE</v>
      </c>
      <c r="L946" s="13">
        <f>VLOOKUP($A946,Table1[],25,TRUE)</f>
        <v>0.95</v>
      </c>
    </row>
    <row r="947" spans="1:12" x14ac:dyDescent="0.25">
      <c r="A947" t="s">
        <v>1967</v>
      </c>
      <c r="B947" s="18" t="str">
        <f>VLOOKUP(A947,Table1[],3,TRUE)</f>
        <v>Hector Greer</v>
      </c>
      <c r="C947" s="18" t="str">
        <f>VLOOKUP($A947,Table1[],5,TRUE)</f>
        <v>Male</v>
      </c>
      <c r="D947" s="3" t="str">
        <f>VLOOKUP($A947,Table1[],7,TRUE)</f>
        <v>24</v>
      </c>
      <c r="E947" s="3" t="str">
        <f>VLOOKUP($A947,Table1[],8,TRUE)</f>
        <v>Turkey</v>
      </c>
      <c r="F947" s="3" t="str">
        <f>VLOOKUP($A947,Table1[],9,TRUE)</f>
        <v>Turkish</v>
      </c>
      <c r="G947" s="3" t="str">
        <f>VLOOKUP($A947,Table1[],10,TRUE)</f>
        <v>Graphic Design</v>
      </c>
      <c r="H947" s="13" t="str">
        <f>VLOOKUP($A947,Table1[],12,TRUE)</f>
        <v>2</v>
      </c>
      <c r="I947" s="20">
        <v>50</v>
      </c>
      <c r="J947" s="15">
        <f>VLOOKUP($A947,Table1[],18,TRUE)</f>
        <v>1.6</v>
      </c>
      <c r="K947" s="12" t="str">
        <f>VLOOKUP($A947,Table1[],22,TRUE)</f>
        <v>FALSE</v>
      </c>
      <c r="L947" s="13">
        <f>VLOOKUP($A947,Table1[],25,TRUE)</f>
        <v>1</v>
      </c>
    </row>
    <row r="948" spans="1:12" x14ac:dyDescent="0.25">
      <c r="A948" t="s">
        <v>1969</v>
      </c>
      <c r="B948" s="18" t="str">
        <f>VLOOKUP(A948,Table1[],3,TRUE)</f>
        <v>Thomas Jackson</v>
      </c>
      <c r="C948" s="18" t="str">
        <f>VLOOKUP($A948,Table1[],5,TRUE)</f>
        <v>Male</v>
      </c>
      <c r="D948" s="3" t="str">
        <f>VLOOKUP($A948,Table1[],7,TRUE)</f>
        <v>Unknown</v>
      </c>
      <c r="E948" s="3" t="str">
        <f>VLOOKUP($A948,Table1[],8,TRUE)</f>
        <v>Mexico</v>
      </c>
      <c r="F948" s="3" t="str">
        <f>VLOOKUP($A948,Table1[],9,TRUE)</f>
        <v>Spanish</v>
      </c>
      <c r="G948" s="3" t="str">
        <f>VLOOKUP($A948,Table1[],10,TRUE)</f>
        <v>AI</v>
      </c>
      <c r="H948" s="13" t="str">
        <f>VLOOKUP($A948,Table1[],12,TRUE)</f>
        <v>1</v>
      </c>
      <c r="I948" s="20">
        <v>75</v>
      </c>
      <c r="J948" s="15">
        <f>VLOOKUP($A948,Table1[],18,TRUE)</f>
        <v>0</v>
      </c>
      <c r="K948" s="12" t="str">
        <f>VLOOKUP($A948,Table1[],22,TRUE)</f>
        <v>TRUE</v>
      </c>
      <c r="L948" s="13">
        <f>VLOOKUP($A948,Table1[],25,TRUE)</f>
        <v>0.94</v>
      </c>
    </row>
    <row r="949" spans="1:12" x14ac:dyDescent="0.25">
      <c r="A949" t="s">
        <v>1971</v>
      </c>
      <c r="B949" s="18" t="str">
        <f>VLOOKUP(A949,Table1[],3,TRUE)</f>
        <v>Tina Clark</v>
      </c>
      <c r="C949" s="18" t="str">
        <f>VLOOKUP($A949,Table1[],5,TRUE)</f>
        <v>Female</v>
      </c>
      <c r="D949" s="3" t="str">
        <f>VLOOKUP($A949,Table1[],7,TRUE)</f>
        <v>38</v>
      </c>
      <c r="E949" s="3" t="str">
        <f>VLOOKUP($A949,Table1[],8,TRUE)</f>
        <v>Turkey</v>
      </c>
      <c r="F949" s="3" t="str">
        <f>VLOOKUP($A949,Table1[],9,TRUE)</f>
        <v>Turkish</v>
      </c>
      <c r="G949" s="3" t="str">
        <f>VLOOKUP($A949,Table1[],10,TRUE)</f>
        <v>Mobile Apps</v>
      </c>
      <c r="H949" s="13" t="str">
        <f>VLOOKUP($A949,Table1[],12,TRUE)</f>
        <v>8</v>
      </c>
      <c r="I949" s="20">
        <v>30</v>
      </c>
      <c r="J949" s="15">
        <f>VLOOKUP($A949,Table1[],18,TRUE)</f>
        <v>4</v>
      </c>
      <c r="K949" s="12" t="str">
        <f>VLOOKUP($A949,Table1[],22,TRUE)</f>
        <v>TRUE</v>
      </c>
      <c r="L949" s="13">
        <f>VLOOKUP($A949,Table1[],25,TRUE)</f>
        <v>0.92</v>
      </c>
    </row>
    <row r="950" spans="1:12" x14ac:dyDescent="0.25">
      <c r="A950" t="s">
        <v>1973</v>
      </c>
      <c r="B950" s="18" t="str">
        <f>VLOOKUP(A950,Table1[],3,TRUE)</f>
        <v>Heather Brown</v>
      </c>
      <c r="C950" s="18" t="str">
        <f>VLOOKUP($A950,Table1[],5,TRUE)</f>
        <v>Female</v>
      </c>
      <c r="D950" s="3" t="str">
        <f>VLOOKUP($A950,Table1[],7,TRUE)</f>
        <v>28</v>
      </c>
      <c r="E950" s="3" t="str">
        <f>VLOOKUP($A950,Table1[],8,TRUE)</f>
        <v>France</v>
      </c>
      <c r="F950" s="3" t="str">
        <f>VLOOKUP($A950,Table1[],9,TRUE)</f>
        <v>French</v>
      </c>
      <c r="G950" s="3" t="str">
        <f>VLOOKUP($A950,Table1[],10,TRUE)</f>
        <v>DevOps</v>
      </c>
      <c r="H950" s="13" t="str">
        <f>VLOOKUP($A950,Table1[],12,TRUE)</f>
        <v>8</v>
      </c>
      <c r="I950" s="20">
        <v>50</v>
      </c>
      <c r="J950" s="15">
        <f>VLOOKUP($A950,Table1[],18,TRUE)</f>
        <v>2.5</v>
      </c>
      <c r="K950" s="12" t="str">
        <f>VLOOKUP($A950,Table1[],22,TRUE)</f>
        <v>TRUE</v>
      </c>
      <c r="L950" s="13">
        <f>VLOOKUP($A950,Table1[],25,TRUE)</f>
        <v>0.95</v>
      </c>
    </row>
    <row r="951" spans="1:12" x14ac:dyDescent="0.25">
      <c r="A951" t="s">
        <v>1975</v>
      </c>
      <c r="B951" s="18" t="str">
        <f>VLOOKUP(A951,Table1[],3,TRUE)</f>
        <v>John Weaver</v>
      </c>
      <c r="C951" s="18" t="str">
        <f>VLOOKUP($A951,Table1[],5,TRUE)</f>
        <v>Male</v>
      </c>
      <c r="D951" s="3" t="str">
        <f>VLOOKUP($A951,Table1[],7,TRUE)</f>
        <v>25</v>
      </c>
      <c r="E951" s="3" t="str">
        <f>VLOOKUP($A951,Table1[],8,TRUE)</f>
        <v>Brazil</v>
      </c>
      <c r="F951" s="3" t="str">
        <f>VLOOKUP($A951,Table1[],9,TRUE)</f>
        <v>Portuguese</v>
      </c>
      <c r="G951" s="3" t="str">
        <f>VLOOKUP($A951,Table1[],10,TRUE)</f>
        <v>DevOps</v>
      </c>
      <c r="H951" s="13" t="str">
        <f>VLOOKUP($A951,Table1[],12,TRUE)</f>
        <v>7</v>
      </c>
      <c r="I951" s="20">
        <v>20</v>
      </c>
      <c r="J951" s="15">
        <f>VLOOKUP($A951,Table1[],18,TRUE)</f>
        <v>3.8</v>
      </c>
      <c r="K951" s="12" t="str">
        <f>VLOOKUP($A951,Table1[],22,TRUE)</f>
        <v>TRUE</v>
      </c>
      <c r="L951" s="13">
        <f>VLOOKUP($A951,Table1[],25,TRUE)</f>
        <v>0.97</v>
      </c>
    </row>
    <row r="952" spans="1:12" x14ac:dyDescent="0.25">
      <c r="A952" t="s">
        <v>1977</v>
      </c>
      <c r="B952" s="18" t="str">
        <f>VLOOKUP(A952,Table1[],3,TRUE)</f>
        <v>Bradley Harris</v>
      </c>
      <c r="C952" s="18" t="str">
        <f>VLOOKUP($A952,Table1[],5,TRUE)</f>
        <v>Male</v>
      </c>
      <c r="D952" s="3" t="str">
        <f>VLOOKUP($A952,Table1[],7,TRUE)</f>
        <v>41</v>
      </c>
      <c r="E952" s="3" t="str">
        <f>VLOOKUP($A952,Table1[],8,TRUE)</f>
        <v>United Kingdom</v>
      </c>
      <c r="F952" s="3" t="str">
        <f>VLOOKUP($A952,Table1[],9,TRUE)</f>
        <v>English</v>
      </c>
      <c r="G952" s="3" t="str">
        <f>VLOOKUP($A952,Table1[],10,TRUE)</f>
        <v>DevOps</v>
      </c>
      <c r="H952" s="13" t="str">
        <f>VLOOKUP($A952,Table1[],12,TRUE)</f>
        <v>8</v>
      </c>
      <c r="I952" s="20">
        <v>50</v>
      </c>
      <c r="J952" s="15">
        <f>VLOOKUP($A952,Table1[],18,TRUE)</f>
        <v>4.8</v>
      </c>
      <c r="K952" s="12" t="str">
        <f>VLOOKUP($A952,Table1[],22,TRUE)</f>
        <v>FALSE</v>
      </c>
      <c r="L952" s="13">
        <f>VLOOKUP($A952,Table1[],25,TRUE)</f>
        <v>0.75</v>
      </c>
    </row>
    <row r="953" spans="1:12" x14ac:dyDescent="0.25">
      <c r="A953" t="s">
        <v>1979</v>
      </c>
      <c r="B953" s="18" t="str">
        <f>VLOOKUP(A953,Table1[],3,TRUE)</f>
        <v>Cassandra Macdonald</v>
      </c>
      <c r="C953" s="18" t="str">
        <f>VLOOKUP($A953,Table1[],5,TRUE)</f>
        <v>Female</v>
      </c>
      <c r="D953" s="3" t="str">
        <f>VLOOKUP($A953,Table1[],7,TRUE)</f>
        <v>45</v>
      </c>
      <c r="E953" s="3" t="str">
        <f>VLOOKUP($A953,Table1[],8,TRUE)</f>
        <v>Mexico</v>
      </c>
      <c r="F953" s="3" t="str">
        <f>VLOOKUP($A953,Table1[],9,TRUE)</f>
        <v>Spanish</v>
      </c>
      <c r="G953" s="3" t="str">
        <f>VLOOKUP($A953,Table1[],10,TRUE)</f>
        <v>Data Analysis</v>
      </c>
      <c r="H953" s="13" t="str">
        <f>VLOOKUP($A953,Table1[],12,TRUE)</f>
        <v>6</v>
      </c>
      <c r="I953" s="20">
        <v>40</v>
      </c>
      <c r="J953" s="15">
        <f>VLOOKUP($A953,Table1[],18,TRUE)</f>
        <v>2</v>
      </c>
      <c r="K953" s="12" t="str">
        <f>VLOOKUP($A953,Table1[],22,TRUE)</f>
        <v>TRUE</v>
      </c>
      <c r="L953" s="13">
        <f>VLOOKUP($A953,Table1[],25,TRUE)</f>
        <v>0.78</v>
      </c>
    </row>
    <row r="954" spans="1:12" x14ac:dyDescent="0.25">
      <c r="A954" t="s">
        <v>1981</v>
      </c>
      <c r="B954" s="18" t="str">
        <f>VLOOKUP(A954,Table1[],3,TRUE)</f>
        <v>Matthew White</v>
      </c>
      <c r="C954" s="18" t="str">
        <f>VLOOKUP($A954,Table1[],5,TRUE)</f>
        <v>Male</v>
      </c>
      <c r="D954" s="3" t="str">
        <f>VLOOKUP($A954,Table1[],7,TRUE)</f>
        <v>47</v>
      </c>
      <c r="E954" s="3" t="str">
        <f>VLOOKUP($A954,Table1[],8,TRUE)</f>
        <v>Turkey</v>
      </c>
      <c r="F954" s="3" t="str">
        <f>VLOOKUP($A954,Table1[],9,TRUE)</f>
        <v>Turkish</v>
      </c>
      <c r="G954" s="3" t="str">
        <f>VLOOKUP($A954,Table1[],10,TRUE)</f>
        <v>DevOps</v>
      </c>
      <c r="H954" s="13" t="str">
        <f>VLOOKUP($A954,Table1[],12,TRUE)</f>
        <v>16</v>
      </c>
      <c r="I954" s="20">
        <v>100</v>
      </c>
      <c r="J954" s="15">
        <f>VLOOKUP($A954,Table1[],18,TRUE)</f>
        <v>3.3</v>
      </c>
      <c r="K954" s="12" t="str">
        <f>VLOOKUP($A954,Table1[],22,TRUE)</f>
        <v>FALSE</v>
      </c>
      <c r="L954" s="13">
        <f>VLOOKUP($A954,Table1[],25,TRUE)</f>
        <v>0.65</v>
      </c>
    </row>
    <row r="955" spans="1:12" x14ac:dyDescent="0.25">
      <c r="A955" t="s">
        <v>1983</v>
      </c>
      <c r="B955" s="18" t="str">
        <f>VLOOKUP(A955,Table1[],3,TRUE)</f>
        <v>Miss Kimberly Marshall</v>
      </c>
      <c r="C955" s="18" t="str">
        <f>VLOOKUP($A955,Table1[],5,TRUE)</f>
        <v>Female</v>
      </c>
      <c r="D955" s="3" t="str">
        <f>VLOOKUP($A955,Table1[],7,TRUE)</f>
        <v>59</v>
      </c>
      <c r="E955" s="3" t="str">
        <f>VLOOKUP($A955,Table1[],8,TRUE)</f>
        <v>United Kingdom</v>
      </c>
      <c r="F955" s="3" t="str">
        <f>VLOOKUP($A955,Table1[],9,TRUE)</f>
        <v>English</v>
      </c>
      <c r="G955" s="3" t="str">
        <f>VLOOKUP($A955,Table1[],10,TRUE)</f>
        <v>Data Analysis</v>
      </c>
      <c r="H955" s="13" t="str">
        <f>VLOOKUP($A955,Table1[],12,TRUE)</f>
        <v>40</v>
      </c>
      <c r="I955" s="20">
        <v>40</v>
      </c>
      <c r="J955" s="15">
        <f>VLOOKUP($A955,Table1[],18,TRUE)</f>
        <v>2.5</v>
      </c>
      <c r="K955" s="12" t="str">
        <f>VLOOKUP($A955,Table1[],22,TRUE)</f>
        <v>TRUE</v>
      </c>
      <c r="L955" s="13">
        <f>VLOOKUP($A955,Table1[],25,TRUE)</f>
        <v>0.7</v>
      </c>
    </row>
    <row r="956" spans="1:12" x14ac:dyDescent="0.25">
      <c r="A956" t="s">
        <v>1985</v>
      </c>
      <c r="B956" s="18" t="str">
        <f>VLOOKUP(A956,Table1[],3,TRUE)</f>
        <v>Laura Thompson</v>
      </c>
      <c r="C956" s="18" t="str">
        <f>VLOOKUP($A956,Table1[],5,TRUE)</f>
        <v>Female</v>
      </c>
      <c r="D956" s="3" t="str">
        <f>VLOOKUP($A956,Table1[],7,TRUE)</f>
        <v>25</v>
      </c>
      <c r="E956" s="3" t="str">
        <f>VLOOKUP($A956,Table1[],8,TRUE)</f>
        <v>Canada</v>
      </c>
      <c r="F956" s="3" t="str">
        <f>VLOOKUP($A956,Table1[],9,TRUE)</f>
        <v>English</v>
      </c>
      <c r="G956" s="3" t="str">
        <f>VLOOKUP($A956,Table1[],10,TRUE)</f>
        <v>Blockchain Development</v>
      </c>
      <c r="H956" s="13" t="str">
        <f>VLOOKUP($A956,Table1[],12,TRUE)</f>
        <v>6</v>
      </c>
      <c r="I956" s="20">
        <v>100</v>
      </c>
      <c r="J956" s="15">
        <f>VLOOKUP($A956,Table1[],18,TRUE)</f>
        <v>2.6</v>
      </c>
      <c r="K956" s="12" t="str">
        <f>VLOOKUP($A956,Table1[],22,TRUE)</f>
        <v>TRUE</v>
      </c>
      <c r="L956" s="13">
        <f>VLOOKUP($A956,Table1[],25,TRUE)</f>
        <v>0.78</v>
      </c>
    </row>
    <row r="957" spans="1:12" x14ac:dyDescent="0.25">
      <c r="A957" t="s">
        <v>1987</v>
      </c>
      <c r="B957" s="18" t="str">
        <f>VLOOKUP(A957,Table1[],3,TRUE)</f>
        <v>Nathan Soto</v>
      </c>
      <c r="C957" s="18" t="str">
        <f>VLOOKUP($A957,Table1[],5,TRUE)</f>
        <v>Male</v>
      </c>
      <c r="D957" s="3" t="str">
        <f>VLOOKUP($A957,Table1[],7,TRUE)</f>
        <v>27</v>
      </c>
      <c r="E957" s="3" t="str">
        <f>VLOOKUP($A957,Table1[],8,TRUE)</f>
        <v>Australia</v>
      </c>
      <c r="F957" s="3" t="str">
        <f>VLOOKUP($A957,Table1[],9,TRUE)</f>
        <v>English</v>
      </c>
      <c r="G957" s="3" t="str">
        <f>VLOOKUP($A957,Table1[],10,TRUE)</f>
        <v>Web Development</v>
      </c>
      <c r="H957" s="13" t="str">
        <f>VLOOKUP($A957,Table1[],12,TRUE)</f>
        <v>3</v>
      </c>
      <c r="I957" s="20">
        <v>50</v>
      </c>
      <c r="J957" s="15">
        <f>VLOOKUP($A957,Table1[],18,TRUE)</f>
        <v>2.6</v>
      </c>
      <c r="K957" s="12" t="str">
        <f>VLOOKUP($A957,Table1[],22,TRUE)</f>
        <v>TRUE</v>
      </c>
      <c r="L957" s="13">
        <f>VLOOKUP($A957,Table1[],25,TRUE)</f>
        <v>0.96</v>
      </c>
    </row>
    <row r="958" spans="1:12" x14ac:dyDescent="0.25">
      <c r="A958" t="s">
        <v>1989</v>
      </c>
      <c r="B958" s="18" t="str">
        <f>VLOOKUP(A958,Table1[],3,TRUE)</f>
        <v>Rhonda Hines</v>
      </c>
      <c r="C958" s="18" t="str">
        <f>VLOOKUP($A958,Table1[],5,TRUE)</f>
        <v>Female</v>
      </c>
      <c r="D958" s="3" t="str">
        <f>VLOOKUP($A958,Table1[],7,TRUE)</f>
        <v>57</v>
      </c>
      <c r="E958" s="3" t="str">
        <f>VLOOKUP($A958,Table1[],8,TRUE)</f>
        <v>Australia</v>
      </c>
      <c r="F958" s="3" t="str">
        <f>VLOOKUP($A958,Table1[],9,TRUE)</f>
        <v>English</v>
      </c>
      <c r="G958" s="3" t="str">
        <f>VLOOKUP($A958,Table1[],10,TRUE)</f>
        <v>AI</v>
      </c>
      <c r="H958" s="13" t="str">
        <f>VLOOKUP($A958,Table1[],12,TRUE)</f>
        <v>5</v>
      </c>
      <c r="I958" s="20">
        <v>100</v>
      </c>
      <c r="J958" s="15">
        <f>VLOOKUP($A958,Table1[],18,TRUE)</f>
        <v>0</v>
      </c>
      <c r="K958" s="12" t="str">
        <f>VLOOKUP($A958,Table1[],22,TRUE)</f>
        <v>TRUE</v>
      </c>
      <c r="L958" s="13">
        <f>VLOOKUP($A958,Table1[],25,TRUE)</f>
        <v>0.8</v>
      </c>
    </row>
    <row r="959" spans="1:12" x14ac:dyDescent="0.25">
      <c r="A959" t="s">
        <v>1991</v>
      </c>
      <c r="B959" s="18" t="str">
        <f>VLOOKUP(A959,Table1[],3,TRUE)</f>
        <v>Gabrielle Bowman</v>
      </c>
      <c r="C959" s="18" t="str">
        <f>VLOOKUP($A959,Table1[],5,TRUE)</f>
        <v>Female</v>
      </c>
      <c r="D959" s="3" t="str">
        <f>VLOOKUP($A959,Table1[],7,TRUE)</f>
        <v>34</v>
      </c>
      <c r="E959" s="3" t="str">
        <f>VLOOKUP($A959,Table1[],8,TRUE)</f>
        <v>Turkey</v>
      </c>
      <c r="F959" s="3" t="str">
        <f>VLOOKUP($A959,Table1[],9,TRUE)</f>
        <v>Turkish</v>
      </c>
      <c r="G959" s="3" t="str">
        <f>VLOOKUP($A959,Table1[],10,TRUE)</f>
        <v>UI/UX Design</v>
      </c>
      <c r="H959" s="13" t="str">
        <f>VLOOKUP($A959,Table1[],12,TRUE)</f>
        <v>12</v>
      </c>
      <c r="I959" s="20">
        <v>20</v>
      </c>
      <c r="J959" s="15">
        <f>VLOOKUP($A959,Table1[],18,TRUE)</f>
        <v>1.6</v>
      </c>
      <c r="K959" s="12" t="str">
        <f>VLOOKUP($A959,Table1[],22,TRUE)</f>
        <v>TRUE</v>
      </c>
      <c r="L959" s="13">
        <f>VLOOKUP($A959,Table1[],25,TRUE)</f>
        <v>0.64</v>
      </c>
    </row>
    <row r="960" spans="1:12" x14ac:dyDescent="0.25">
      <c r="A960" t="s">
        <v>1993</v>
      </c>
      <c r="B960" s="18" t="str">
        <f>VLOOKUP(A960,Table1[],3,TRUE)</f>
        <v>Julian Edwards</v>
      </c>
      <c r="C960" s="18" t="str">
        <f>VLOOKUP($A960,Table1[],5,TRUE)</f>
        <v>Male</v>
      </c>
      <c r="D960" s="3" t="str">
        <f>VLOOKUP($A960,Table1[],7,TRUE)</f>
        <v>55</v>
      </c>
      <c r="E960" s="3" t="str">
        <f>VLOOKUP($A960,Table1[],8,TRUE)</f>
        <v>France</v>
      </c>
      <c r="F960" s="3" t="str">
        <f>VLOOKUP($A960,Table1[],9,TRUE)</f>
        <v>French</v>
      </c>
      <c r="G960" s="3" t="str">
        <f>VLOOKUP($A960,Table1[],10,TRUE)</f>
        <v>UI/UX Design</v>
      </c>
      <c r="H960" s="13" t="str">
        <f>VLOOKUP($A960,Table1[],12,TRUE)</f>
        <v>33</v>
      </c>
      <c r="I960" s="20">
        <v>50</v>
      </c>
      <c r="J960" s="15">
        <f>VLOOKUP($A960,Table1[],18,TRUE)</f>
        <v>0</v>
      </c>
      <c r="K960" s="12" t="str">
        <f>VLOOKUP($A960,Table1[],22,TRUE)</f>
        <v>TRUE</v>
      </c>
      <c r="L960" s="13">
        <f>VLOOKUP($A960,Table1[],25,TRUE)</f>
        <v>0.92</v>
      </c>
    </row>
    <row r="961" spans="1:12" x14ac:dyDescent="0.25">
      <c r="A961" t="s">
        <v>1995</v>
      </c>
      <c r="B961" s="18" t="str">
        <f>VLOOKUP(A961,Table1[],3,TRUE)</f>
        <v>Nicholas Scott</v>
      </c>
      <c r="C961" s="18" t="str">
        <f>VLOOKUP($A961,Table1[],5,TRUE)</f>
        <v>Male</v>
      </c>
      <c r="D961" s="3" t="str">
        <f>VLOOKUP($A961,Table1[],7,TRUE)</f>
        <v>21</v>
      </c>
      <c r="E961" s="3" t="str">
        <f>VLOOKUP($A961,Table1[],8,TRUE)</f>
        <v>Egypt</v>
      </c>
      <c r="F961" s="3" t="str">
        <f>VLOOKUP($A961,Table1[],9,TRUE)</f>
        <v>Arabic</v>
      </c>
      <c r="G961" s="3" t="str">
        <f>VLOOKUP($A961,Table1[],10,TRUE)</f>
        <v>Blockchain Development</v>
      </c>
      <c r="H961" s="13" t="str">
        <f>VLOOKUP($A961,Table1[],12,TRUE)</f>
        <v>1</v>
      </c>
      <c r="I961" s="20">
        <v>100</v>
      </c>
      <c r="J961" s="15">
        <f>VLOOKUP($A961,Table1[],18,TRUE)</f>
        <v>0</v>
      </c>
      <c r="K961" s="12" t="str">
        <f>VLOOKUP($A961,Table1[],22,TRUE)</f>
        <v>TRUE</v>
      </c>
      <c r="L961" s="13">
        <f>VLOOKUP($A961,Table1[],25,TRUE)</f>
        <v>0.75</v>
      </c>
    </row>
    <row r="962" spans="1:12" x14ac:dyDescent="0.25">
      <c r="A962" t="s">
        <v>1997</v>
      </c>
      <c r="B962" s="18" t="str">
        <f>VLOOKUP(A962,Table1[],3,TRUE)</f>
        <v>Daniel Green</v>
      </c>
      <c r="C962" s="18" t="str">
        <f>VLOOKUP($A962,Table1[],5,TRUE)</f>
        <v>Male</v>
      </c>
      <c r="D962" s="3" t="str">
        <f>VLOOKUP($A962,Table1[],7,TRUE)</f>
        <v>53</v>
      </c>
      <c r="E962" s="3" t="str">
        <f>VLOOKUP($A962,Table1[],8,TRUE)</f>
        <v>Netherlands</v>
      </c>
      <c r="F962" s="3" t="str">
        <f>VLOOKUP($A962,Table1[],9,TRUE)</f>
        <v>Dutch</v>
      </c>
      <c r="G962" s="3" t="str">
        <f>VLOOKUP($A962,Table1[],10,TRUE)</f>
        <v>DevOps</v>
      </c>
      <c r="H962" s="13" t="str">
        <f>VLOOKUP($A962,Table1[],12,TRUE)</f>
        <v>27</v>
      </c>
      <c r="I962" s="20">
        <v>20</v>
      </c>
      <c r="J962" s="15">
        <f>VLOOKUP($A962,Table1[],18,TRUE)</f>
        <v>4.7</v>
      </c>
      <c r="K962" s="12" t="str">
        <f>VLOOKUP($A962,Table1[],22,TRUE)</f>
        <v>TRUE</v>
      </c>
      <c r="L962" s="13">
        <f>VLOOKUP($A962,Table1[],25,TRUE)</f>
        <v>0.71</v>
      </c>
    </row>
    <row r="963" spans="1:12" x14ac:dyDescent="0.25">
      <c r="A963" t="s">
        <v>1999</v>
      </c>
      <c r="B963" s="18" t="str">
        <f>VLOOKUP(A963,Table1[],3,TRUE)</f>
        <v>Catherine Johnston</v>
      </c>
      <c r="C963" s="18" t="str">
        <f>VLOOKUP($A963,Table1[],5,TRUE)</f>
        <v>Female</v>
      </c>
      <c r="D963" s="3" t="str">
        <f>VLOOKUP($A963,Table1[],7,TRUE)</f>
        <v>21</v>
      </c>
      <c r="E963" s="3" t="str">
        <f>VLOOKUP($A963,Table1[],8,TRUE)</f>
        <v>Germany</v>
      </c>
      <c r="F963" s="3" t="str">
        <f>VLOOKUP($A963,Table1[],9,TRUE)</f>
        <v>German</v>
      </c>
      <c r="G963" s="3" t="str">
        <f>VLOOKUP($A963,Table1[],10,TRUE)</f>
        <v>UI/UX Design</v>
      </c>
      <c r="H963" s="13" t="str">
        <f>VLOOKUP($A963,Table1[],12,TRUE)</f>
        <v>1</v>
      </c>
      <c r="I963" s="20">
        <v>100</v>
      </c>
      <c r="J963" s="15">
        <f>VLOOKUP($A963,Table1[],18,TRUE)</f>
        <v>0</v>
      </c>
      <c r="K963" s="12" t="str">
        <f>VLOOKUP($A963,Table1[],22,TRUE)</f>
        <v>TRUE</v>
      </c>
      <c r="L963" s="13">
        <f>VLOOKUP($A963,Table1[],25,TRUE)</f>
        <v>0.95</v>
      </c>
    </row>
    <row r="964" spans="1:12" x14ac:dyDescent="0.25">
      <c r="A964" t="s">
        <v>2001</v>
      </c>
      <c r="B964" s="18" t="str">
        <f>VLOOKUP(A964,Table1[],3,TRUE)</f>
        <v>Brenda Koch</v>
      </c>
      <c r="C964" s="18" t="str">
        <f>VLOOKUP($A964,Table1[],5,TRUE)</f>
        <v>Female</v>
      </c>
      <c r="D964" s="3" t="str">
        <f>VLOOKUP($A964,Table1[],7,TRUE)</f>
        <v>36</v>
      </c>
      <c r="E964" s="3" t="str">
        <f>VLOOKUP($A964,Table1[],8,TRUE)</f>
        <v>Brazil</v>
      </c>
      <c r="F964" s="3" t="str">
        <f>VLOOKUP($A964,Table1[],9,TRUE)</f>
        <v>Portuguese</v>
      </c>
      <c r="G964" s="3" t="str">
        <f>VLOOKUP($A964,Table1[],10,TRUE)</f>
        <v>Web Development</v>
      </c>
      <c r="H964" s="13" t="str">
        <f>VLOOKUP($A964,Table1[],12,TRUE)</f>
        <v>Unknown</v>
      </c>
      <c r="I964" s="20">
        <v>20</v>
      </c>
      <c r="J964" s="15">
        <f>VLOOKUP($A964,Table1[],18,TRUE)</f>
        <v>4.0999999999999996</v>
      </c>
      <c r="K964" s="12" t="str">
        <f>VLOOKUP($A964,Table1[],22,TRUE)</f>
        <v>FALSE</v>
      </c>
      <c r="L964" s="13">
        <f>VLOOKUP($A964,Table1[],25,TRUE)</f>
        <v>0.86</v>
      </c>
    </row>
    <row r="965" spans="1:12" x14ac:dyDescent="0.25">
      <c r="A965" t="s">
        <v>2003</v>
      </c>
      <c r="B965" s="18" t="str">
        <f>VLOOKUP(A965,Table1[],3,TRUE)</f>
        <v>Robert Meza</v>
      </c>
      <c r="C965" s="18" t="str">
        <f>VLOOKUP($A965,Table1[],5,TRUE)</f>
        <v>Male</v>
      </c>
      <c r="D965" s="3" t="str">
        <f>VLOOKUP($A965,Table1[],7,TRUE)</f>
        <v>40</v>
      </c>
      <c r="E965" s="3" t="str">
        <f>VLOOKUP($A965,Table1[],8,TRUE)</f>
        <v>Germany</v>
      </c>
      <c r="F965" s="3" t="str">
        <f>VLOOKUP($A965,Table1[],9,TRUE)</f>
        <v>German</v>
      </c>
      <c r="G965" s="3" t="str">
        <f>VLOOKUP($A965,Table1[],10,TRUE)</f>
        <v>AI</v>
      </c>
      <c r="H965" s="13" t="str">
        <f>VLOOKUP($A965,Table1[],12,TRUE)</f>
        <v>2</v>
      </c>
      <c r="I965" s="20">
        <v>30</v>
      </c>
      <c r="J965" s="15">
        <f>VLOOKUP($A965,Table1[],18,TRUE)</f>
        <v>1.3</v>
      </c>
      <c r="K965" s="12" t="str">
        <f>VLOOKUP($A965,Table1[],22,TRUE)</f>
        <v>TRUE</v>
      </c>
      <c r="L965" s="13">
        <f>VLOOKUP($A965,Table1[],25,TRUE)</f>
        <v>0.77</v>
      </c>
    </row>
    <row r="966" spans="1:12" x14ac:dyDescent="0.25">
      <c r="A966" t="s">
        <v>2005</v>
      </c>
      <c r="B966" s="18" t="str">
        <f>VLOOKUP(A966,Table1[],3,TRUE)</f>
        <v>Latoya Brown</v>
      </c>
      <c r="C966" s="18" t="str">
        <f>VLOOKUP($A966,Table1[],5,TRUE)</f>
        <v>Female</v>
      </c>
      <c r="D966" s="3" t="str">
        <f>VLOOKUP($A966,Table1[],7,TRUE)</f>
        <v>59</v>
      </c>
      <c r="E966" s="3" t="str">
        <f>VLOOKUP($A966,Table1[],8,TRUE)</f>
        <v>United Kingdom</v>
      </c>
      <c r="F966" s="3" t="str">
        <f>VLOOKUP($A966,Table1[],9,TRUE)</f>
        <v>English</v>
      </c>
      <c r="G966" s="3" t="str">
        <f>VLOOKUP($A966,Table1[],10,TRUE)</f>
        <v>UI/UX Design</v>
      </c>
      <c r="H966" s="13" t="str">
        <f>VLOOKUP($A966,Table1[],12,TRUE)</f>
        <v>40</v>
      </c>
      <c r="I966" s="20">
        <v>100</v>
      </c>
      <c r="J966" s="15">
        <f>VLOOKUP($A966,Table1[],18,TRUE)</f>
        <v>2.6</v>
      </c>
      <c r="K966" s="12" t="str">
        <f>VLOOKUP($A966,Table1[],22,TRUE)</f>
        <v>TRUE</v>
      </c>
      <c r="L966" s="13">
        <f>VLOOKUP($A966,Table1[],25,TRUE)</f>
        <v>0.75</v>
      </c>
    </row>
    <row r="967" spans="1:12" x14ac:dyDescent="0.25">
      <c r="A967" t="s">
        <v>2007</v>
      </c>
      <c r="B967" s="18" t="str">
        <f>VLOOKUP(A967,Table1[],3,TRUE)</f>
        <v>David Osborne Iii</v>
      </c>
      <c r="C967" s="18" t="str">
        <f>VLOOKUP($A967,Table1[],5,TRUE)</f>
        <v>Male</v>
      </c>
      <c r="D967" s="3" t="str">
        <f>VLOOKUP($A967,Table1[],7,TRUE)</f>
        <v>45</v>
      </c>
      <c r="E967" s="3" t="str">
        <f>VLOOKUP($A967,Table1[],8,TRUE)</f>
        <v>Netherlands</v>
      </c>
      <c r="F967" s="3" t="str">
        <f>VLOOKUP($A967,Table1[],9,TRUE)</f>
        <v>Dutch</v>
      </c>
      <c r="G967" s="3" t="str">
        <f>VLOOKUP($A967,Table1[],10,TRUE)</f>
        <v>Cybersecurity</v>
      </c>
      <c r="H967" s="13" t="str">
        <f>VLOOKUP($A967,Table1[],12,TRUE)</f>
        <v>4</v>
      </c>
      <c r="I967" s="20">
        <v>20</v>
      </c>
      <c r="J967" s="15">
        <f>VLOOKUP($A967,Table1[],18,TRUE)</f>
        <v>2.7</v>
      </c>
      <c r="K967" s="12" t="str">
        <f>VLOOKUP($A967,Table1[],22,TRUE)</f>
        <v>TRUE</v>
      </c>
      <c r="L967" s="13">
        <f>VLOOKUP($A967,Table1[],25,TRUE)</f>
        <v>0.72</v>
      </c>
    </row>
    <row r="968" spans="1:12" x14ac:dyDescent="0.25">
      <c r="A968" t="s">
        <v>2009</v>
      </c>
      <c r="B968" s="18" t="str">
        <f>VLOOKUP(A968,Table1[],3,TRUE)</f>
        <v>David Hooper</v>
      </c>
      <c r="C968" s="18" t="str">
        <f>VLOOKUP($A968,Table1[],5,TRUE)</f>
        <v>Male</v>
      </c>
      <c r="D968" s="3" t="str">
        <f>VLOOKUP($A968,Table1[],7,TRUE)</f>
        <v>44</v>
      </c>
      <c r="E968" s="3" t="str">
        <f>VLOOKUP($A968,Table1[],8,TRUE)</f>
        <v>South Korea</v>
      </c>
      <c r="F968" s="3" t="str">
        <f>VLOOKUP($A968,Table1[],9,TRUE)</f>
        <v>Korean</v>
      </c>
      <c r="G968" s="3" t="str">
        <f>VLOOKUP($A968,Table1[],10,TRUE)</f>
        <v>Machine Learning</v>
      </c>
      <c r="H968" s="13" t="str">
        <f>VLOOKUP($A968,Table1[],12,TRUE)</f>
        <v>9</v>
      </c>
      <c r="I968" s="20">
        <v>40</v>
      </c>
      <c r="J968" s="15">
        <f>VLOOKUP($A968,Table1[],18,TRUE)</f>
        <v>2.6</v>
      </c>
      <c r="K968" s="12" t="str">
        <f>VLOOKUP($A968,Table1[],22,TRUE)</f>
        <v>FALSE</v>
      </c>
      <c r="L968" s="13">
        <f>VLOOKUP($A968,Table1[],25,TRUE)</f>
        <v>0.7</v>
      </c>
    </row>
    <row r="969" spans="1:12" x14ac:dyDescent="0.25">
      <c r="A969" t="s">
        <v>2011</v>
      </c>
      <c r="B969" s="18" t="str">
        <f>VLOOKUP(A969,Table1[],3,TRUE)</f>
        <v>Sarah Miller</v>
      </c>
      <c r="C969" s="18" t="str">
        <f>VLOOKUP($A969,Table1[],5,TRUE)</f>
        <v>Female</v>
      </c>
      <c r="D969" s="3" t="str">
        <f>VLOOKUP($A969,Table1[],7,TRUE)</f>
        <v>36</v>
      </c>
      <c r="E969" s="3" t="str">
        <f>VLOOKUP($A969,Table1[],8,TRUE)</f>
        <v>United Kingdom</v>
      </c>
      <c r="F969" s="3" t="str">
        <f>VLOOKUP($A969,Table1[],9,TRUE)</f>
        <v>English</v>
      </c>
      <c r="G969" s="3" t="str">
        <f>VLOOKUP($A969,Table1[],10,TRUE)</f>
        <v>Cybersecurity</v>
      </c>
      <c r="H969" s="13" t="str">
        <f>VLOOKUP($A969,Table1[],12,TRUE)</f>
        <v>13</v>
      </c>
      <c r="I969" s="20">
        <v>30</v>
      </c>
      <c r="J969" s="15">
        <f>VLOOKUP($A969,Table1[],18,TRUE)</f>
        <v>3.6</v>
      </c>
      <c r="K969" s="12" t="str">
        <f>VLOOKUP($A969,Table1[],22,TRUE)</f>
        <v>FALSE</v>
      </c>
      <c r="L969" s="13">
        <f>VLOOKUP($A969,Table1[],25,TRUE)</f>
        <v>0.86</v>
      </c>
    </row>
    <row r="970" spans="1:12" x14ac:dyDescent="0.25">
      <c r="A970" t="s">
        <v>2013</v>
      </c>
      <c r="B970" s="18" t="str">
        <f>VLOOKUP(A970,Table1[],3,TRUE)</f>
        <v>Lisa Werner Md</v>
      </c>
      <c r="C970" s="18" t="str">
        <f>VLOOKUP($A970,Table1[],5,TRUE)</f>
        <v>Female</v>
      </c>
      <c r="D970" s="3" t="str">
        <f>VLOOKUP($A970,Table1[],7,TRUE)</f>
        <v>26</v>
      </c>
      <c r="E970" s="3" t="str">
        <f>VLOOKUP($A970,Table1[],8,TRUE)</f>
        <v>India</v>
      </c>
      <c r="F970" s="3" t="str">
        <f>VLOOKUP($A970,Table1[],9,TRUE)</f>
        <v>Hindi</v>
      </c>
      <c r="G970" s="3" t="str">
        <f>VLOOKUP($A970,Table1[],10,TRUE)</f>
        <v>Graphic Design</v>
      </c>
      <c r="H970" s="13" t="str">
        <f>VLOOKUP($A970,Table1[],12,TRUE)</f>
        <v>1</v>
      </c>
      <c r="I970" s="20">
        <v>75</v>
      </c>
      <c r="J970" s="15">
        <f>VLOOKUP($A970,Table1[],18,TRUE)</f>
        <v>3</v>
      </c>
      <c r="K970" s="12" t="str">
        <f>VLOOKUP($A970,Table1[],22,TRUE)</f>
        <v>TRUE</v>
      </c>
      <c r="L970" s="13">
        <f>VLOOKUP($A970,Table1[],25,TRUE)</f>
        <v>0.75</v>
      </c>
    </row>
    <row r="971" spans="1:12" x14ac:dyDescent="0.25">
      <c r="A971" t="s">
        <v>2015</v>
      </c>
      <c r="B971" s="18" t="str">
        <f>VLOOKUP(A971,Table1[],3,TRUE)</f>
        <v>Eric Jimenez</v>
      </c>
      <c r="C971" s="18" t="str">
        <f>VLOOKUP($A971,Table1[],5,TRUE)</f>
        <v>Male</v>
      </c>
      <c r="D971" s="3" t="str">
        <f>VLOOKUP($A971,Table1[],7,TRUE)</f>
        <v>49</v>
      </c>
      <c r="E971" s="3" t="str">
        <f>VLOOKUP($A971,Table1[],8,TRUE)</f>
        <v>India</v>
      </c>
      <c r="F971" s="3" t="str">
        <f>VLOOKUP($A971,Table1[],9,TRUE)</f>
        <v>Hindi</v>
      </c>
      <c r="G971" s="3" t="str">
        <f>VLOOKUP($A971,Table1[],10,TRUE)</f>
        <v>Web Development</v>
      </c>
      <c r="H971" s="13" t="str">
        <f>VLOOKUP($A971,Table1[],12,TRUE)</f>
        <v>1</v>
      </c>
      <c r="I971" s="20">
        <v>50</v>
      </c>
      <c r="J971" s="15">
        <f>VLOOKUP($A971,Table1[],18,TRUE)</f>
        <v>0</v>
      </c>
      <c r="K971" s="12" t="str">
        <f>VLOOKUP($A971,Table1[],22,TRUE)</f>
        <v>FALSE</v>
      </c>
      <c r="L971" s="13">
        <f>VLOOKUP($A971,Table1[],25,TRUE)</f>
        <v>0.82</v>
      </c>
    </row>
    <row r="972" spans="1:12" x14ac:dyDescent="0.25">
      <c r="A972" t="s">
        <v>2017</v>
      </c>
      <c r="B972" s="18" t="str">
        <f>VLOOKUP(A972,Table1[],3,TRUE)</f>
        <v>Jay Bush</v>
      </c>
      <c r="C972" s="18" t="str">
        <f>VLOOKUP($A972,Table1[],5,TRUE)</f>
        <v>Male</v>
      </c>
      <c r="D972" s="3" t="str">
        <f>VLOOKUP($A972,Table1[],7,TRUE)</f>
        <v>29</v>
      </c>
      <c r="E972" s="3" t="str">
        <f>VLOOKUP($A972,Table1[],8,TRUE)</f>
        <v>France</v>
      </c>
      <c r="F972" s="3" t="str">
        <f>VLOOKUP($A972,Table1[],9,TRUE)</f>
        <v>French</v>
      </c>
      <c r="G972" s="3" t="str">
        <f>VLOOKUP($A972,Table1[],10,TRUE)</f>
        <v>Mobile Apps</v>
      </c>
      <c r="H972" s="13" t="str">
        <f>VLOOKUP($A972,Table1[],12,TRUE)</f>
        <v>3</v>
      </c>
      <c r="I972" s="20">
        <v>40</v>
      </c>
      <c r="J972" s="15">
        <f>VLOOKUP($A972,Table1[],18,TRUE)</f>
        <v>0</v>
      </c>
      <c r="K972" s="12" t="str">
        <f>VLOOKUP($A972,Table1[],22,TRUE)</f>
        <v>TRUE</v>
      </c>
      <c r="L972" s="13">
        <f>VLOOKUP($A972,Table1[],25,TRUE)</f>
        <v>0.81</v>
      </c>
    </row>
    <row r="973" spans="1:12" x14ac:dyDescent="0.25">
      <c r="A973" t="s">
        <v>2019</v>
      </c>
      <c r="B973" s="18" t="str">
        <f>VLOOKUP(A973,Table1[],3,TRUE)</f>
        <v>Johnny Rice</v>
      </c>
      <c r="C973" s="18" t="str">
        <f>VLOOKUP($A973,Table1[],5,TRUE)</f>
        <v>Male</v>
      </c>
      <c r="D973" s="3" t="str">
        <f>VLOOKUP($A973,Table1[],7,TRUE)</f>
        <v>32</v>
      </c>
      <c r="E973" s="3" t="str">
        <f>VLOOKUP($A973,Table1[],8,TRUE)</f>
        <v>France</v>
      </c>
      <c r="F973" s="3" t="str">
        <f>VLOOKUP($A973,Table1[],9,TRUE)</f>
        <v>French</v>
      </c>
      <c r="G973" s="3" t="str">
        <f>VLOOKUP($A973,Table1[],10,TRUE)</f>
        <v>Graphic Design</v>
      </c>
      <c r="H973" s="13" t="str">
        <f>VLOOKUP($A973,Table1[],12,TRUE)</f>
        <v>1</v>
      </c>
      <c r="I973" s="20">
        <v>40</v>
      </c>
      <c r="J973" s="15">
        <f>VLOOKUP($A973,Table1[],18,TRUE)</f>
        <v>3.1</v>
      </c>
      <c r="K973" s="12" t="str">
        <f>VLOOKUP($A973,Table1[],22,TRUE)</f>
        <v>TRUE</v>
      </c>
      <c r="L973" s="13">
        <f>VLOOKUP($A973,Table1[],25,TRUE)</f>
        <v>0.76</v>
      </c>
    </row>
    <row r="974" spans="1:12" x14ac:dyDescent="0.25">
      <c r="A974" t="s">
        <v>2021</v>
      </c>
      <c r="B974" s="18" t="str">
        <f>VLOOKUP(A974,Table1[],3,TRUE)</f>
        <v>Matthew Strong</v>
      </c>
      <c r="C974" s="18" t="str">
        <f>VLOOKUP($A974,Table1[],5,TRUE)</f>
        <v>Male</v>
      </c>
      <c r="D974" s="3" t="str">
        <f>VLOOKUP($A974,Table1[],7,TRUE)</f>
        <v>24</v>
      </c>
      <c r="E974" s="3" t="str">
        <f>VLOOKUP($A974,Table1[],8,TRUE)</f>
        <v>Indonesia</v>
      </c>
      <c r="F974" s="3" t="str">
        <f>VLOOKUP($A974,Table1[],9,TRUE)</f>
        <v>Indonesian</v>
      </c>
      <c r="G974" s="3" t="str">
        <f>VLOOKUP($A974,Table1[],10,TRUE)</f>
        <v>Blockchain Development</v>
      </c>
      <c r="H974" s="13" t="str">
        <f>VLOOKUP($A974,Table1[],12,TRUE)</f>
        <v>3</v>
      </c>
      <c r="I974" s="20">
        <v>30</v>
      </c>
      <c r="J974" s="15">
        <f>VLOOKUP($A974,Table1[],18,TRUE)</f>
        <v>3.9</v>
      </c>
      <c r="K974" s="12" t="str">
        <f>VLOOKUP($A974,Table1[],22,TRUE)</f>
        <v>FALSE</v>
      </c>
      <c r="L974" s="13">
        <f>VLOOKUP($A974,Table1[],25,TRUE)</f>
        <v>0.9</v>
      </c>
    </row>
    <row r="975" spans="1:12" x14ac:dyDescent="0.25">
      <c r="A975" t="s">
        <v>2023</v>
      </c>
      <c r="B975" s="18" t="str">
        <f>VLOOKUP(A975,Table1[],3,TRUE)</f>
        <v>Mark Chandler</v>
      </c>
      <c r="C975" s="18" t="str">
        <f>VLOOKUP($A975,Table1[],5,TRUE)</f>
        <v>Male</v>
      </c>
      <c r="D975" s="3" t="str">
        <f>VLOOKUP($A975,Table1[],7,TRUE)</f>
        <v>35</v>
      </c>
      <c r="E975" s="3" t="str">
        <f>VLOOKUP($A975,Table1[],8,TRUE)</f>
        <v>South Korea</v>
      </c>
      <c r="F975" s="3" t="str">
        <f>VLOOKUP($A975,Table1[],9,TRUE)</f>
        <v>Korean</v>
      </c>
      <c r="G975" s="3" t="str">
        <f>VLOOKUP($A975,Table1[],10,TRUE)</f>
        <v>DevOps</v>
      </c>
      <c r="H975" s="13" t="str">
        <f>VLOOKUP($A975,Table1[],12,TRUE)</f>
        <v>14</v>
      </c>
      <c r="I975" s="20">
        <v>30</v>
      </c>
      <c r="J975" s="15">
        <f>VLOOKUP($A975,Table1[],18,TRUE)</f>
        <v>1.6</v>
      </c>
      <c r="K975" s="12" t="str">
        <f>VLOOKUP($A975,Table1[],22,TRUE)</f>
        <v>TRUE</v>
      </c>
      <c r="L975" s="13">
        <f>VLOOKUP($A975,Table1[],25,TRUE)</f>
        <v>0.67</v>
      </c>
    </row>
    <row r="976" spans="1:12" x14ac:dyDescent="0.25">
      <c r="A976" t="s">
        <v>2025</v>
      </c>
      <c r="B976" s="18" t="str">
        <f>VLOOKUP(A976,Table1[],3,TRUE)</f>
        <v>Crystal Brown</v>
      </c>
      <c r="C976" s="18" t="str">
        <f>VLOOKUP($A976,Table1[],5,TRUE)</f>
        <v>Female</v>
      </c>
      <c r="D976" s="3" t="str">
        <f>VLOOKUP($A976,Table1[],7,TRUE)</f>
        <v>43</v>
      </c>
      <c r="E976" s="3" t="str">
        <f>VLOOKUP($A976,Table1[],8,TRUE)</f>
        <v>Spain</v>
      </c>
      <c r="F976" s="3" t="str">
        <f>VLOOKUP($A976,Table1[],9,TRUE)</f>
        <v>Spanish</v>
      </c>
      <c r="G976" s="3" t="str">
        <f>VLOOKUP($A976,Table1[],10,TRUE)</f>
        <v>Blockchain Development</v>
      </c>
      <c r="H976" s="13" t="str">
        <f>VLOOKUP($A976,Table1[],12,TRUE)</f>
        <v>2</v>
      </c>
      <c r="I976" s="20">
        <v>50</v>
      </c>
      <c r="J976" s="15">
        <f>VLOOKUP($A976,Table1[],18,TRUE)</f>
        <v>1.8</v>
      </c>
      <c r="K976" s="12" t="str">
        <f>VLOOKUP($A976,Table1[],22,TRUE)</f>
        <v>FALSE</v>
      </c>
      <c r="L976" s="13">
        <f>VLOOKUP($A976,Table1[],25,TRUE)</f>
        <v>0.61</v>
      </c>
    </row>
    <row r="977" spans="1:12" x14ac:dyDescent="0.25">
      <c r="A977" t="s">
        <v>2027</v>
      </c>
      <c r="B977" s="18" t="str">
        <f>VLOOKUP(A977,Table1[],3,TRUE)</f>
        <v>Timothy Barton</v>
      </c>
      <c r="C977" s="18" t="str">
        <f>VLOOKUP($A977,Table1[],5,TRUE)</f>
        <v>Male</v>
      </c>
      <c r="D977" s="3" t="str">
        <f>VLOOKUP($A977,Table1[],7,TRUE)</f>
        <v>53</v>
      </c>
      <c r="E977" s="3" t="str">
        <f>VLOOKUP($A977,Table1[],8,TRUE)</f>
        <v>South Korea</v>
      </c>
      <c r="F977" s="3" t="str">
        <f>VLOOKUP($A977,Table1[],9,TRUE)</f>
        <v>Korean</v>
      </c>
      <c r="G977" s="3" t="str">
        <f>VLOOKUP($A977,Table1[],10,TRUE)</f>
        <v>Machine Learning</v>
      </c>
      <c r="H977" s="13" t="str">
        <f>VLOOKUP($A977,Table1[],12,TRUE)</f>
        <v>27</v>
      </c>
      <c r="I977" s="20">
        <v>100</v>
      </c>
      <c r="J977" s="15">
        <f>VLOOKUP($A977,Table1[],18,TRUE)</f>
        <v>3.7</v>
      </c>
      <c r="K977" s="12" t="str">
        <f>VLOOKUP($A977,Table1[],22,TRUE)</f>
        <v>FALSE</v>
      </c>
      <c r="L977" s="13">
        <f>VLOOKUP($A977,Table1[],25,TRUE)</f>
        <v>0.73</v>
      </c>
    </row>
    <row r="978" spans="1:12" x14ac:dyDescent="0.25">
      <c r="A978" t="s">
        <v>2029</v>
      </c>
      <c r="B978" s="18" t="str">
        <f>VLOOKUP(A978,Table1[],3,TRUE)</f>
        <v>Lisa Hickman</v>
      </c>
      <c r="C978" s="18" t="str">
        <f>VLOOKUP($A978,Table1[],5,TRUE)</f>
        <v>Female</v>
      </c>
      <c r="D978" s="3" t="str">
        <f>VLOOKUP($A978,Table1[],7,TRUE)</f>
        <v>38</v>
      </c>
      <c r="E978" s="3" t="str">
        <f>VLOOKUP($A978,Table1[],8,TRUE)</f>
        <v>Russia</v>
      </c>
      <c r="F978" s="3" t="str">
        <f>VLOOKUP($A978,Table1[],9,TRUE)</f>
        <v>Russian</v>
      </c>
      <c r="G978" s="3" t="str">
        <f>VLOOKUP($A978,Table1[],10,TRUE)</f>
        <v>DevOps</v>
      </c>
      <c r="H978" s="13" t="str">
        <f>VLOOKUP($A978,Table1[],12,TRUE)</f>
        <v>7</v>
      </c>
      <c r="I978" s="20">
        <v>75</v>
      </c>
      <c r="J978" s="15">
        <f>VLOOKUP($A978,Table1[],18,TRUE)</f>
        <v>2.6</v>
      </c>
      <c r="K978" s="12" t="str">
        <f>VLOOKUP($A978,Table1[],22,TRUE)</f>
        <v>FALSE</v>
      </c>
      <c r="L978" s="13">
        <f>VLOOKUP($A978,Table1[],25,TRUE)</f>
        <v>0.75</v>
      </c>
    </row>
    <row r="979" spans="1:12" x14ac:dyDescent="0.25">
      <c r="A979" t="s">
        <v>2031</v>
      </c>
      <c r="B979" s="18" t="str">
        <f>VLOOKUP(A979,Table1[],3,TRUE)</f>
        <v>Alan Mendoza</v>
      </c>
      <c r="C979" s="18" t="str">
        <f>VLOOKUP($A979,Table1[],5,TRUE)</f>
        <v>Male</v>
      </c>
      <c r="D979" s="3" t="str">
        <f>VLOOKUP($A979,Table1[],7,TRUE)</f>
        <v>57</v>
      </c>
      <c r="E979" s="3" t="str">
        <f>VLOOKUP($A979,Table1[],8,TRUE)</f>
        <v>United Kingdom</v>
      </c>
      <c r="F979" s="3" t="str">
        <f>VLOOKUP($A979,Table1[],9,TRUE)</f>
        <v>English</v>
      </c>
      <c r="G979" s="3" t="str">
        <f>VLOOKUP($A979,Table1[],10,TRUE)</f>
        <v>Cybersecurity</v>
      </c>
      <c r="H979" s="13" t="str">
        <f>VLOOKUP($A979,Table1[],12,TRUE)</f>
        <v>29</v>
      </c>
      <c r="I979" s="20">
        <v>75</v>
      </c>
      <c r="J979" s="15">
        <f>VLOOKUP($A979,Table1[],18,TRUE)</f>
        <v>4.0999999999999996</v>
      </c>
      <c r="K979" s="12" t="str">
        <f>VLOOKUP($A979,Table1[],22,TRUE)</f>
        <v>FALSE</v>
      </c>
      <c r="L979" s="13">
        <f>VLOOKUP($A979,Table1[],25,TRUE)</f>
        <v>0.9</v>
      </c>
    </row>
    <row r="980" spans="1:12" x14ac:dyDescent="0.25">
      <c r="A980" t="s">
        <v>2033</v>
      </c>
      <c r="B980" s="18" t="str">
        <f>VLOOKUP(A980,Table1[],3,TRUE)</f>
        <v>Jason Sanders</v>
      </c>
      <c r="C980" s="18" t="str">
        <f>VLOOKUP($A980,Table1[],5,TRUE)</f>
        <v>Male</v>
      </c>
      <c r="D980" s="3" t="str">
        <f>VLOOKUP($A980,Table1[],7,TRUE)</f>
        <v>27</v>
      </c>
      <c r="E980" s="3" t="str">
        <f>VLOOKUP($A980,Table1[],8,TRUE)</f>
        <v>China</v>
      </c>
      <c r="F980" s="3" t="str">
        <f>VLOOKUP($A980,Table1[],9,TRUE)</f>
        <v>Mandarin</v>
      </c>
      <c r="G980" s="3" t="str">
        <f>VLOOKUP($A980,Table1[],10,TRUE)</f>
        <v>Blockchain Development</v>
      </c>
      <c r="H980" s="13" t="str">
        <f>VLOOKUP($A980,Table1[],12,TRUE)</f>
        <v>5</v>
      </c>
      <c r="I980" s="20">
        <v>75</v>
      </c>
      <c r="J980" s="15">
        <f>VLOOKUP($A980,Table1[],18,TRUE)</f>
        <v>1.4</v>
      </c>
      <c r="K980" s="12" t="str">
        <f>VLOOKUP($A980,Table1[],22,TRUE)</f>
        <v>TRUE</v>
      </c>
      <c r="L980" s="13">
        <f>VLOOKUP($A980,Table1[],25,TRUE)</f>
        <v>0.64</v>
      </c>
    </row>
    <row r="981" spans="1:12" x14ac:dyDescent="0.25">
      <c r="A981" t="s">
        <v>2035</v>
      </c>
      <c r="B981" s="18" t="str">
        <f>VLOOKUP(A981,Table1[],3,TRUE)</f>
        <v>Charles Dean</v>
      </c>
      <c r="C981" s="18" t="str">
        <f>VLOOKUP($A981,Table1[],5,TRUE)</f>
        <v>Male</v>
      </c>
      <c r="D981" s="3" t="str">
        <f>VLOOKUP($A981,Table1[],7,TRUE)</f>
        <v>43</v>
      </c>
      <c r="E981" s="3" t="str">
        <f>VLOOKUP($A981,Table1[],8,TRUE)</f>
        <v>Argentina</v>
      </c>
      <c r="F981" s="3" t="str">
        <f>VLOOKUP($A981,Table1[],9,TRUE)</f>
        <v>Spanish</v>
      </c>
      <c r="G981" s="3" t="str">
        <f>VLOOKUP($A981,Table1[],10,TRUE)</f>
        <v>Web Development</v>
      </c>
      <c r="H981" s="13" t="str">
        <f>VLOOKUP($A981,Table1[],12,TRUE)</f>
        <v>2</v>
      </c>
      <c r="I981" s="20">
        <v>100</v>
      </c>
      <c r="J981" s="15">
        <f>VLOOKUP($A981,Table1[],18,TRUE)</f>
        <v>1.1000000000000001</v>
      </c>
      <c r="K981" s="12" t="str">
        <f>VLOOKUP($A981,Table1[],22,TRUE)</f>
        <v>TRUE</v>
      </c>
      <c r="L981" s="13">
        <f>VLOOKUP($A981,Table1[],25,TRUE)</f>
        <v>0.63</v>
      </c>
    </row>
    <row r="982" spans="1:12" x14ac:dyDescent="0.25">
      <c r="A982" t="s">
        <v>2037</v>
      </c>
      <c r="B982" s="18" t="str">
        <f>VLOOKUP(A982,Table1[],3,TRUE)</f>
        <v>Blake Newton</v>
      </c>
      <c r="C982" s="18" t="str">
        <f>VLOOKUP($A982,Table1[],5,TRUE)</f>
        <v>Male</v>
      </c>
      <c r="D982" s="3" t="str">
        <f>VLOOKUP($A982,Table1[],7,TRUE)</f>
        <v>48</v>
      </c>
      <c r="E982" s="3" t="str">
        <f>VLOOKUP($A982,Table1[],8,TRUE)</f>
        <v>Canada</v>
      </c>
      <c r="F982" s="3" t="str">
        <f>VLOOKUP($A982,Table1[],9,TRUE)</f>
        <v>English</v>
      </c>
      <c r="G982" s="3" t="str">
        <f>VLOOKUP($A982,Table1[],10,TRUE)</f>
        <v>Data Analysis</v>
      </c>
      <c r="H982" s="13" t="str">
        <f>VLOOKUP($A982,Table1[],12,TRUE)</f>
        <v>18</v>
      </c>
      <c r="I982" s="20">
        <v>40</v>
      </c>
      <c r="J982" s="15">
        <f>VLOOKUP($A982,Table1[],18,TRUE)</f>
        <v>3.9</v>
      </c>
      <c r="K982" s="12" t="str">
        <f>VLOOKUP($A982,Table1[],22,TRUE)</f>
        <v>TRUE</v>
      </c>
      <c r="L982" s="13">
        <f>VLOOKUP($A982,Table1[],25,TRUE)</f>
        <v>0.75</v>
      </c>
    </row>
    <row r="983" spans="1:12" x14ac:dyDescent="0.25">
      <c r="A983" t="s">
        <v>2039</v>
      </c>
      <c r="B983" s="18" t="str">
        <f>VLOOKUP(A983,Table1[],3,TRUE)</f>
        <v>David Gonzalez</v>
      </c>
      <c r="C983" s="18" t="str">
        <f>VLOOKUP($A983,Table1[],5,TRUE)</f>
        <v>Male</v>
      </c>
      <c r="D983" s="3" t="str">
        <f>VLOOKUP($A983,Table1[],7,TRUE)</f>
        <v>26</v>
      </c>
      <c r="E983" s="3" t="str">
        <f>VLOOKUP($A983,Table1[],8,TRUE)</f>
        <v>Brazil</v>
      </c>
      <c r="F983" s="3" t="str">
        <f>VLOOKUP($A983,Table1[],9,TRUE)</f>
        <v>Portuguese</v>
      </c>
      <c r="G983" s="3" t="str">
        <f>VLOOKUP($A983,Table1[],10,TRUE)</f>
        <v>Cybersecurity</v>
      </c>
      <c r="H983" s="13" t="str">
        <f>VLOOKUP($A983,Table1[],12,TRUE)</f>
        <v>8</v>
      </c>
      <c r="I983" s="20">
        <v>20</v>
      </c>
      <c r="J983" s="15">
        <f>VLOOKUP($A983,Table1[],18,TRUE)</f>
        <v>3.6</v>
      </c>
      <c r="K983" s="12" t="str">
        <f>VLOOKUP($A983,Table1[],22,TRUE)</f>
        <v>FALSE</v>
      </c>
      <c r="L983" s="13">
        <f>VLOOKUP($A983,Table1[],25,TRUE)</f>
        <v>0.67</v>
      </c>
    </row>
    <row r="984" spans="1:12" x14ac:dyDescent="0.25">
      <c r="A984" t="s">
        <v>2041</v>
      </c>
      <c r="B984" s="18" t="str">
        <f>VLOOKUP(A984,Table1[],3,TRUE)</f>
        <v>Cindy Williams</v>
      </c>
      <c r="C984" s="18" t="str">
        <f>VLOOKUP($A984,Table1[],5,TRUE)</f>
        <v>Female</v>
      </c>
      <c r="D984" s="3" t="str">
        <f>VLOOKUP($A984,Table1[],7,TRUE)</f>
        <v>Unknown</v>
      </c>
      <c r="E984" s="3" t="str">
        <f>VLOOKUP($A984,Table1[],8,TRUE)</f>
        <v>South Africa</v>
      </c>
      <c r="F984" s="3" t="str">
        <f>VLOOKUP($A984,Table1[],9,TRUE)</f>
        <v>Afrikaans</v>
      </c>
      <c r="G984" s="3" t="str">
        <f>VLOOKUP($A984,Table1[],10,TRUE)</f>
        <v>Graphic Design</v>
      </c>
      <c r="H984" s="13" t="str">
        <f>VLOOKUP($A984,Table1[],12,TRUE)</f>
        <v>0</v>
      </c>
      <c r="I984" s="20">
        <v>40</v>
      </c>
      <c r="J984" s="15">
        <f>VLOOKUP($A984,Table1[],18,TRUE)</f>
        <v>0</v>
      </c>
      <c r="K984" s="12" t="str">
        <f>VLOOKUP($A984,Table1[],22,TRUE)</f>
        <v>FALSE</v>
      </c>
      <c r="L984" s="13">
        <f>VLOOKUP($A984,Table1[],25,TRUE)</f>
        <v>0.97</v>
      </c>
    </row>
    <row r="985" spans="1:12" x14ac:dyDescent="0.25">
      <c r="A985" t="s">
        <v>2043</v>
      </c>
      <c r="B985" s="18" t="str">
        <f>VLOOKUP(A985,Table1[],3,TRUE)</f>
        <v>Laura Wong Dds</v>
      </c>
      <c r="C985" s="18" t="str">
        <f>VLOOKUP($A985,Table1[],5,TRUE)</f>
        <v>Female</v>
      </c>
      <c r="D985" s="3" t="str">
        <f>VLOOKUP($A985,Table1[],7,TRUE)</f>
        <v>50</v>
      </c>
      <c r="E985" s="3" t="str">
        <f>VLOOKUP($A985,Table1[],8,TRUE)</f>
        <v>Italy</v>
      </c>
      <c r="F985" s="3" t="str">
        <f>VLOOKUP($A985,Table1[],9,TRUE)</f>
        <v>Italian</v>
      </c>
      <c r="G985" s="3" t="str">
        <f>VLOOKUP($A985,Table1[],10,TRUE)</f>
        <v>Data Analysis</v>
      </c>
      <c r="H985" s="13" t="str">
        <f>VLOOKUP($A985,Table1[],12,TRUE)</f>
        <v>16</v>
      </c>
      <c r="I985" s="20">
        <v>75</v>
      </c>
      <c r="J985" s="15">
        <f>VLOOKUP($A985,Table1[],18,TRUE)</f>
        <v>4.5</v>
      </c>
      <c r="K985" s="12" t="str">
        <f>VLOOKUP($A985,Table1[],22,TRUE)</f>
        <v>FALSE</v>
      </c>
      <c r="L985" s="13">
        <f>VLOOKUP($A985,Table1[],25,TRUE)</f>
        <v>0.69</v>
      </c>
    </row>
    <row r="986" spans="1:12" x14ac:dyDescent="0.25">
      <c r="A986" t="s">
        <v>2045</v>
      </c>
      <c r="B986" s="18" t="str">
        <f>VLOOKUP(A986,Table1[],3,TRUE)</f>
        <v>Robert Moran</v>
      </c>
      <c r="C986" s="18" t="str">
        <f>VLOOKUP($A986,Table1[],5,TRUE)</f>
        <v>Male</v>
      </c>
      <c r="D986" s="3" t="str">
        <f>VLOOKUP($A986,Table1[],7,TRUE)</f>
        <v>48</v>
      </c>
      <c r="E986" s="3" t="str">
        <f>VLOOKUP($A986,Table1[],8,TRUE)</f>
        <v>South Africa</v>
      </c>
      <c r="F986" s="3" t="str">
        <f>VLOOKUP($A986,Table1[],9,TRUE)</f>
        <v>Afrikaans</v>
      </c>
      <c r="G986" s="3" t="str">
        <f>VLOOKUP($A986,Table1[],10,TRUE)</f>
        <v>Web Development</v>
      </c>
      <c r="H986" s="13" t="str">
        <f>VLOOKUP($A986,Table1[],12,TRUE)</f>
        <v>8</v>
      </c>
      <c r="I986" s="20">
        <v>50</v>
      </c>
      <c r="J986" s="15">
        <f>VLOOKUP($A986,Table1[],18,TRUE)</f>
        <v>2.6</v>
      </c>
      <c r="K986" s="12" t="str">
        <f>VLOOKUP($A986,Table1[],22,TRUE)</f>
        <v>TRUE</v>
      </c>
      <c r="L986" s="13">
        <f>VLOOKUP($A986,Table1[],25,TRUE)</f>
        <v>0.73</v>
      </c>
    </row>
    <row r="987" spans="1:12" x14ac:dyDescent="0.25">
      <c r="A987" t="s">
        <v>2047</v>
      </c>
      <c r="B987" s="18" t="str">
        <f>VLOOKUP(A987,Table1[],3,TRUE)</f>
        <v>Bradley Wu</v>
      </c>
      <c r="C987" s="18" t="str">
        <f>VLOOKUP($A987,Table1[],5,TRUE)</f>
        <v>Male</v>
      </c>
      <c r="D987" s="3" t="str">
        <f>VLOOKUP($A987,Table1[],7,TRUE)</f>
        <v>60</v>
      </c>
      <c r="E987" s="3" t="str">
        <f>VLOOKUP($A987,Table1[],8,TRUE)</f>
        <v>Spain</v>
      </c>
      <c r="F987" s="3" t="str">
        <f>VLOOKUP($A987,Table1[],9,TRUE)</f>
        <v>Spanish</v>
      </c>
      <c r="G987" s="3" t="str">
        <f>VLOOKUP($A987,Table1[],10,TRUE)</f>
        <v>Blockchain Development</v>
      </c>
      <c r="H987" s="13" t="str">
        <f>VLOOKUP($A987,Table1[],12,TRUE)</f>
        <v>39</v>
      </c>
      <c r="I987" s="20">
        <v>20</v>
      </c>
      <c r="J987" s="15">
        <f>VLOOKUP($A987,Table1[],18,TRUE)</f>
        <v>1.4</v>
      </c>
      <c r="K987" s="12" t="str">
        <f>VLOOKUP($A987,Table1[],22,TRUE)</f>
        <v>TRUE</v>
      </c>
      <c r="L987" s="13">
        <f>VLOOKUP($A987,Table1[],25,TRUE)</f>
        <v>0.86</v>
      </c>
    </row>
    <row r="988" spans="1:12" x14ac:dyDescent="0.25">
      <c r="A988" t="s">
        <v>2049</v>
      </c>
      <c r="B988" s="18" t="str">
        <f>VLOOKUP(A988,Table1[],3,TRUE)</f>
        <v>Daniel Thomas</v>
      </c>
      <c r="C988" s="18" t="str">
        <f>VLOOKUP($A988,Table1[],5,TRUE)</f>
        <v>Male</v>
      </c>
      <c r="D988" s="3" t="str">
        <f>VLOOKUP($A988,Table1[],7,TRUE)</f>
        <v>26</v>
      </c>
      <c r="E988" s="3" t="str">
        <f>VLOOKUP($A988,Table1[],8,TRUE)</f>
        <v>Egypt</v>
      </c>
      <c r="F988" s="3" t="str">
        <f>VLOOKUP($A988,Table1[],9,TRUE)</f>
        <v>Arabic</v>
      </c>
      <c r="G988" s="3" t="str">
        <f>VLOOKUP($A988,Table1[],10,TRUE)</f>
        <v>Machine Learning</v>
      </c>
      <c r="H988" s="13" t="str">
        <f>VLOOKUP($A988,Table1[],12,TRUE)</f>
        <v>Unknown</v>
      </c>
      <c r="I988" s="20">
        <v>50</v>
      </c>
      <c r="J988" s="15">
        <f>VLOOKUP($A988,Table1[],18,TRUE)</f>
        <v>0</v>
      </c>
      <c r="K988" s="12" t="str">
        <f>VLOOKUP($A988,Table1[],22,TRUE)</f>
        <v>TRUE</v>
      </c>
      <c r="L988" s="13">
        <f>VLOOKUP($A988,Table1[],25,TRUE)</f>
        <v>0.81</v>
      </c>
    </row>
    <row r="989" spans="1:12" x14ac:dyDescent="0.25">
      <c r="A989" t="s">
        <v>2051</v>
      </c>
      <c r="B989" s="18" t="str">
        <f>VLOOKUP(A989,Table1[],3,TRUE)</f>
        <v>Michelle Peterson</v>
      </c>
      <c r="C989" s="18" t="str">
        <f>VLOOKUP($A989,Table1[],5,TRUE)</f>
        <v>Female</v>
      </c>
      <c r="D989" s="3" t="str">
        <f>VLOOKUP($A989,Table1[],7,TRUE)</f>
        <v>35</v>
      </c>
      <c r="E989" s="3" t="str">
        <f>VLOOKUP($A989,Table1[],8,TRUE)</f>
        <v>South Korea</v>
      </c>
      <c r="F989" s="3" t="str">
        <f>VLOOKUP($A989,Table1[],9,TRUE)</f>
        <v>Korean</v>
      </c>
      <c r="G989" s="3" t="str">
        <f>VLOOKUP($A989,Table1[],10,TRUE)</f>
        <v>Graphic Design</v>
      </c>
      <c r="H989" s="13" t="str">
        <f>VLOOKUP($A989,Table1[],12,TRUE)</f>
        <v>16</v>
      </c>
      <c r="I989" s="20">
        <v>100</v>
      </c>
      <c r="J989" s="15">
        <f>VLOOKUP($A989,Table1[],18,TRUE)</f>
        <v>4.3</v>
      </c>
      <c r="K989" s="12" t="str">
        <f>VLOOKUP($A989,Table1[],22,TRUE)</f>
        <v>TRUE</v>
      </c>
      <c r="L989" s="13">
        <f>VLOOKUP($A989,Table1[],25,TRUE)</f>
        <v>0.74</v>
      </c>
    </row>
    <row r="990" spans="1:12" x14ac:dyDescent="0.25">
      <c r="A990" t="s">
        <v>2053</v>
      </c>
      <c r="B990" s="18" t="str">
        <f>VLOOKUP(A990,Table1[],3,TRUE)</f>
        <v>Seth Thomas</v>
      </c>
      <c r="C990" s="18" t="str">
        <f>VLOOKUP($A990,Table1[],5,TRUE)</f>
        <v>Male</v>
      </c>
      <c r="D990" s="3" t="str">
        <f>VLOOKUP($A990,Table1[],7,TRUE)</f>
        <v>23</v>
      </c>
      <c r="E990" s="3" t="str">
        <f>VLOOKUP($A990,Table1[],8,TRUE)</f>
        <v>United States</v>
      </c>
      <c r="F990" s="3" t="str">
        <f>VLOOKUP($A990,Table1[],9,TRUE)</f>
        <v>English</v>
      </c>
      <c r="G990" s="3" t="str">
        <f>VLOOKUP($A990,Table1[],10,TRUE)</f>
        <v>Blockchain Development</v>
      </c>
      <c r="H990" s="13" t="str">
        <f>VLOOKUP($A990,Table1[],12,TRUE)</f>
        <v>4</v>
      </c>
      <c r="I990" s="20">
        <v>100</v>
      </c>
      <c r="J990" s="15">
        <f>VLOOKUP($A990,Table1[],18,TRUE)</f>
        <v>2.2000000000000002</v>
      </c>
      <c r="K990" s="12" t="str">
        <f>VLOOKUP($A990,Table1[],22,TRUE)</f>
        <v>TRUE</v>
      </c>
      <c r="L990" s="13">
        <f>VLOOKUP($A990,Table1[],25,TRUE)</f>
        <v>0.64</v>
      </c>
    </row>
    <row r="991" spans="1:12" x14ac:dyDescent="0.25">
      <c r="A991" t="s">
        <v>2055</v>
      </c>
      <c r="B991" s="18" t="str">
        <f>VLOOKUP(A991,Table1[],3,TRUE)</f>
        <v>Evan Ramos</v>
      </c>
      <c r="C991" s="18" t="str">
        <f>VLOOKUP($A991,Table1[],5,TRUE)</f>
        <v>Male</v>
      </c>
      <c r="D991" s="3" t="str">
        <f>VLOOKUP($A991,Table1[],7,TRUE)</f>
        <v>37</v>
      </c>
      <c r="E991" s="3" t="str">
        <f>VLOOKUP($A991,Table1[],8,TRUE)</f>
        <v>Australia</v>
      </c>
      <c r="F991" s="3" t="str">
        <f>VLOOKUP($A991,Table1[],9,TRUE)</f>
        <v>English</v>
      </c>
      <c r="G991" s="3" t="str">
        <f>VLOOKUP($A991,Table1[],10,TRUE)</f>
        <v>Graphic Design</v>
      </c>
      <c r="H991" s="13" t="str">
        <f>VLOOKUP($A991,Table1[],12,TRUE)</f>
        <v>4</v>
      </c>
      <c r="I991" s="20">
        <v>75</v>
      </c>
      <c r="J991" s="15">
        <f>VLOOKUP($A991,Table1[],18,TRUE)</f>
        <v>3.2</v>
      </c>
      <c r="K991" s="12" t="str">
        <f>VLOOKUP($A991,Table1[],22,TRUE)</f>
        <v>TRUE</v>
      </c>
      <c r="L991" s="13">
        <f>VLOOKUP($A991,Table1[],25,TRUE)</f>
        <v>0.76</v>
      </c>
    </row>
    <row r="992" spans="1:12" x14ac:dyDescent="0.25">
      <c r="A992" t="s">
        <v>2057</v>
      </c>
      <c r="B992" s="18" t="str">
        <f>VLOOKUP(A992,Table1[],3,TRUE)</f>
        <v>Michelle Solis</v>
      </c>
      <c r="C992" s="18" t="str">
        <f>VLOOKUP($A992,Table1[],5,TRUE)</f>
        <v>Female</v>
      </c>
      <c r="D992" s="3" t="str">
        <f>VLOOKUP($A992,Table1[],7,TRUE)</f>
        <v>21</v>
      </c>
      <c r="E992" s="3" t="str">
        <f>VLOOKUP($A992,Table1[],8,TRUE)</f>
        <v>Argentina</v>
      </c>
      <c r="F992" s="3" t="str">
        <f>VLOOKUP($A992,Table1[],9,TRUE)</f>
        <v>Spanish</v>
      </c>
      <c r="G992" s="3" t="str">
        <f>VLOOKUP($A992,Table1[],10,TRUE)</f>
        <v>AI</v>
      </c>
      <c r="H992" s="13" t="str">
        <f>VLOOKUP($A992,Table1[],12,TRUE)</f>
        <v>2</v>
      </c>
      <c r="I992" s="20">
        <v>100</v>
      </c>
      <c r="J992" s="15">
        <f>VLOOKUP($A992,Table1[],18,TRUE)</f>
        <v>3.7</v>
      </c>
      <c r="K992" s="12" t="str">
        <f>VLOOKUP($A992,Table1[],22,TRUE)</f>
        <v>TRUE</v>
      </c>
      <c r="L992" s="13">
        <f>VLOOKUP($A992,Table1[],25,TRUE)</f>
        <v>0.73</v>
      </c>
    </row>
    <row r="993" spans="1:12" x14ac:dyDescent="0.25">
      <c r="A993" t="s">
        <v>2059</v>
      </c>
      <c r="B993" s="18" t="str">
        <f>VLOOKUP(A993,Table1[],3,TRUE)</f>
        <v>Charlotte Taylor</v>
      </c>
      <c r="C993" s="18" t="str">
        <f>VLOOKUP($A993,Table1[],5,TRUE)</f>
        <v>Female</v>
      </c>
      <c r="D993" s="3" t="str">
        <f>VLOOKUP($A993,Table1[],7,TRUE)</f>
        <v>58</v>
      </c>
      <c r="E993" s="3" t="str">
        <f>VLOOKUP($A993,Table1[],8,TRUE)</f>
        <v>Germany</v>
      </c>
      <c r="F993" s="3" t="str">
        <f>VLOOKUP($A993,Table1[],9,TRUE)</f>
        <v>German</v>
      </c>
      <c r="G993" s="3" t="str">
        <f>VLOOKUP($A993,Table1[],10,TRUE)</f>
        <v>UI/UX Design</v>
      </c>
      <c r="H993" s="13" t="str">
        <f>VLOOKUP($A993,Table1[],12,TRUE)</f>
        <v>37</v>
      </c>
      <c r="I993" s="20">
        <v>50</v>
      </c>
      <c r="J993" s="15">
        <f>VLOOKUP($A993,Table1[],18,TRUE)</f>
        <v>4.9000000000000004</v>
      </c>
      <c r="K993" s="12" t="str">
        <f>VLOOKUP($A993,Table1[],22,TRUE)</f>
        <v>TRUE</v>
      </c>
      <c r="L993" s="13">
        <f>VLOOKUP($A993,Table1[],25,TRUE)</f>
        <v>0.69</v>
      </c>
    </row>
    <row r="994" spans="1:12" x14ac:dyDescent="0.25">
      <c r="A994" t="s">
        <v>2061</v>
      </c>
      <c r="B994" s="18" t="str">
        <f>VLOOKUP(A994,Table1[],3,TRUE)</f>
        <v>Sandra Preston</v>
      </c>
      <c r="C994" s="18" t="str">
        <f>VLOOKUP($A994,Table1[],5,TRUE)</f>
        <v>Female</v>
      </c>
      <c r="D994" s="3" t="str">
        <f>VLOOKUP($A994,Table1[],7,TRUE)</f>
        <v>52</v>
      </c>
      <c r="E994" s="3" t="str">
        <f>VLOOKUP($A994,Table1[],8,TRUE)</f>
        <v>Indonesia</v>
      </c>
      <c r="F994" s="3" t="str">
        <f>VLOOKUP($A994,Table1[],9,TRUE)</f>
        <v>Indonesian</v>
      </c>
      <c r="G994" s="3" t="str">
        <f>VLOOKUP($A994,Table1[],10,TRUE)</f>
        <v>Mobile Apps</v>
      </c>
      <c r="H994" s="13" t="str">
        <f>VLOOKUP($A994,Table1[],12,TRUE)</f>
        <v>32</v>
      </c>
      <c r="I994" s="20">
        <v>75</v>
      </c>
      <c r="J994" s="15">
        <f>VLOOKUP($A994,Table1[],18,TRUE)</f>
        <v>3.2</v>
      </c>
      <c r="K994" s="12" t="str">
        <f>VLOOKUP($A994,Table1[],22,TRUE)</f>
        <v>FALSE</v>
      </c>
      <c r="L994" s="13">
        <f>VLOOKUP($A994,Table1[],25,TRUE)</f>
        <v>0.79</v>
      </c>
    </row>
    <row r="995" spans="1:12" x14ac:dyDescent="0.25">
      <c r="A995" t="s">
        <v>2063</v>
      </c>
      <c r="B995" s="18" t="str">
        <f>VLOOKUP(A995,Table1[],3,TRUE)</f>
        <v>Jim Weiss</v>
      </c>
      <c r="C995" s="18" t="str">
        <f>VLOOKUP($A995,Table1[],5,TRUE)</f>
        <v>Male</v>
      </c>
      <c r="D995" s="3" t="str">
        <f>VLOOKUP($A995,Table1[],7,TRUE)</f>
        <v>46</v>
      </c>
      <c r="E995" s="3" t="str">
        <f>VLOOKUP($A995,Table1[],8,TRUE)</f>
        <v>Russia</v>
      </c>
      <c r="F995" s="3" t="str">
        <f>VLOOKUP($A995,Table1[],9,TRUE)</f>
        <v>Russian</v>
      </c>
      <c r="G995" s="3" t="str">
        <f>VLOOKUP($A995,Table1[],10,TRUE)</f>
        <v>Mobile Apps</v>
      </c>
      <c r="H995" s="13" t="str">
        <f>VLOOKUP($A995,Table1[],12,TRUE)</f>
        <v>8</v>
      </c>
      <c r="I995" s="20">
        <v>20</v>
      </c>
      <c r="J995" s="15">
        <f>VLOOKUP($A995,Table1[],18,TRUE)</f>
        <v>2.2000000000000002</v>
      </c>
      <c r="K995" s="12" t="str">
        <f>VLOOKUP($A995,Table1[],22,TRUE)</f>
        <v>TRUE</v>
      </c>
      <c r="L995" s="13">
        <f>VLOOKUP($A995,Table1[],25,TRUE)</f>
        <v>0.89</v>
      </c>
    </row>
    <row r="996" spans="1:12" x14ac:dyDescent="0.25">
      <c r="A996" t="s">
        <v>2065</v>
      </c>
      <c r="B996" s="18" t="str">
        <f>VLOOKUP(A996,Table1[],3,TRUE)</f>
        <v>Jennifer Hinton</v>
      </c>
      <c r="C996" s="18" t="str">
        <f>VLOOKUP($A996,Table1[],5,TRUE)</f>
        <v>Female</v>
      </c>
      <c r="D996" s="3" t="str">
        <f>VLOOKUP($A996,Table1[],7,TRUE)</f>
        <v>34</v>
      </c>
      <c r="E996" s="3" t="str">
        <f>VLOOKUP($A996,Table1[],8,TRUE)</f>
        <v>South Africa</v>
      </c>
      <c r="F996" s="3" t="str">
        <f>VLOOKUP($A996,Table1[],9,TRUE)</f>
        <v>Afrikaans</v>
      </c>
      <c r="G996" s="3" t="str">
        <f>VLOOKUP($A996,Table1[],10,TRUE)</f>
        <v>DevOps</v>
      </c>
      <c r="H996" s="13" t="str">
        <f>VLOOKUP($A996,Table1[],12,TRUE)</f>
        <v>8</v>
      </c>
      <c r="I996" s="20">
        <v>30</v>
      </c>
      <c r="J996" s="15">
        <f>VLOOKUP($A996,Table1[],18,TRUE)</f>
        <v>3.9</v>
      </c>
      <c r="K996" s="12" t="str">
        <f>VLOOKUP($A996,Table1[],22,TRUE)</f>
        <v>TRUE</v>
      </c>
      <c r="L996" s="13">
        <f>VLOOKUP($A996,Table1[],25,TRUE)</f>
        <v>0.95</v>
      </c>
    </row>
    <row r="997" spans="1:12" x14ac:dyDescent="0.25">
      <c r="A997" t="s">
        <v>2067</v>
      </c>
      <c r="B997" s="18" t="str">
        <f>VLOOKUP(A997,Table1[],3,TRUE)</f>
        <v>Albert Wilcox</v>
      </c>
      <c r="C997" s="18" t="str">
        <f>VLOOKUP($A997,Table1[],5,TRUE)</f>
        <v>Male</v>
      </c>
      <c r="D997" s="3" t="str">
        <f>VLOOKUP($A997,Table1[],7,TRUE)</f>
        <v>56</v>
      </c>
      <c r="E997" s="3" t="str">
        <f>VLOOKUP($A997,Table1[],8,TRUE)</f>
        <v>Turkey</v>
      </c>
      <c r="F997" s="3" t="str">
        <f>VLOOKUP($A997,Table1[],9,TRUE)</f>
        <v>Turkish</v>
      </c>
      <c r="G997" s="3" t="str">
        <f>VLOOKUP($A997,Table1[],10,TRUE)</f>
        <v>DevOps</v>
      </c>
      <c r="H997" s="13" t="str">
        <f>VLOOKUP($A997,Table1[],12,TRUE)</f>
        <v>13</v>
      </c>
      <c r="I997" s="20">
        <v>100</v>
      </c>
      <c r="J997" s="15">
        <f>VLOOKUP($A997,Table1[],18,TRUE)</f>
        <v>0</v>
      </c>
      <c r="K997" s="12" t="str">
        <f>VLOOKUP($A997,Table1[],22,TRUE)</f>
        <v>FALSE</v>
      </c>
      <c r="L997" s="13">
        <f>VLOOKUP($A997,Table1[],25,TRUE)</f>
        <v>0.68</v>
      </c>
    </row>
    <row r="998" spans="1:12" x14ac:dyDescent="0.25">
      <c r="A998" t="s">
        <v>2069</v>
      </c>
      <c r="B998" s="18" t="str">
        <f>VLOOKUP(A998,Table1[],3,TRUE)</f>
        <v>Cheryl Norris</v>
      </c>
      <c r="C998" s="18" t="str">
        <f>VLOOKUP($A998,Table1[],5,TRUE)</f>
        <v>Female</v>
      </c>
      <c r="D998" s="3" t="str">
        <f>VLOOKUP($A998,Table1[],7,TRUE)</f>
        <v>26</v>
      </c>
      <c r="E998" s="3" t="str">
        <f>VLOOKUP($A998,Table1[],8,TRUE)</f>
        <v>Germany</v>
      </c>
      <c r="F998" s="3" t="str">
        <f>VLOOKUP($A998,Table1[],9,TRUE)</f>
        <v>German</v>
      </c>
      <c r="G998" s="3" t="str">
        <f>VLOOKUP($A998,Table1[],10,TRUE)</f>
        <v>Blockchain Development</v>
      </c>
      <c r="H998" s="13" t="str">
        <f>VLOOKUP($A998,Table1[],12,TRUE)</f>
        <v>6</v>
      </c>
      <c r="I998" s="20">
        <v>40</v>
      </c>
      <c r="J998" s="15">
        <f>VLOOKUP($A998,Table1[],18,TRUE)</f>
        <v>2.8</v>
      </c>
      <c r="K998" s="12" t="str">
        <f>VLOOKUP($A998,Table1[],22,TRUE)</f>
        <v>FALSE</v>
      </c>
      <c r="L998" s="13">
        <f>VLOOKUP($A998,Table1[],25,TRUE)</f>
        <v>0.82</v>
      </c>
    </row>
    <row r="999" spans="1:12" x14ac:dyDescent="0.25">
      <c r="A999" t="s">
        <v>2071</v>
      </c>
      <c r="B999" s="18" t="str">
        <f>VLOOKUP(A999,Table1[],3,TRUE)</f>
        <v>Kathy Watkins</v>
      </c>
      <c r="C999" s="18" t="str">
        <f>VLOOKUP($A999,Table1[],5,TRUE)</f>
        <v>Female</v>
      </c>
      <c r="D999" s="3" t="str">
        <f>VLOOKUP($A999,Table1[],7,TRUE)</f>
        <v>37</v>
      </c>
      <c r="E999" s="3" t="str">
        <f>VLOOKUP($A999,Table1[],8,TRUE)</f>
        <v>Japan</v>
      </c>
      <c r="F999" s="3" t="str">
        <f>VLOOKUP($A999,Table1[],9,TRUE)</f>
        <v>Japanese</v>
      </c>
      <c r="G999" s="3" t="str">
        <f>VLOOKUP($A999,Table1[],10,TRUE)</f>
        <v>Data Analysis</v>
      </c>
      <c r="H999" s="13" t="str">
        <f>VLOOKUP($A999,Table1[],12,TRUE)</f>
        <v>15</v>
      </c>
      <c r="I999" s="20">
        <v>75</v>
      </c>
      <c r="J999" s="15">
        <f>VLOOKUP($A999,Table1[],18,TRUE)</f>
        <v>2.6</v>
      </c>
      <c r="K999" s="12" t="str">
        <f>VLOOKUP($A999,Table1[],22,TRUE)</f>
        <v>TRUE</v>
      </c>
      <c r="L999" s="13">
        <f>VLOOKUP($A999,Table1[],25,TRUE)</f>
        <v>0.94</v>
      </c>
    </row>
    <row r="1000" spans="1:12" x14ac:dyDescent="0.25">
      <c r="A1000" t="s">
        <v>2073</v>
      </c>
      <c r="B1000" s="18" t="str">
        <f>VLOOKUP(A1000,Table1[],3,TRUE)</f>
        <v>John Obrien</v>
      </c>
      <c r="C1000" s="18" t="str">
        <f>VLOOKUP($A1000,Table1[],5,TRUE)</f>
        <v>Male</v>
      </c>
      <c r="D1000" s="3" t="str">
        <f>VLOOKUP($A1000,Table1[],7,TRUE)</f>
        <v>46</v>
      </c>
      <c r="E1000" s="3" t="str">
        <f>VLOOKUP($A1000,Table1[],8,TRUE)</f>
        <v>Russia</v>
      </c>
      <c r="F1000" s="3" t="str">
        <f>VLOOKUP($A1000,Table1[],9,TRUE)</f>
        <v>Russian</v>
      </c>
      <c r="G1000" s="3" t="str">
        <f>VLOOKUP($A1000,Table1[],10,TRUE)</f>
        <v>Machine Learning</v>
      </c>
      <c r="H1000" s="13" t="str">
        <f>VLOOKUP($A1000,Table1[],12,TRUE)</f>
        <v>22</v>
      </c>
      <c r="I1000" s="20">
        <v>100</v>
      </c>
      <c r="J1000" s="15">
        <f>VLOOKUP($A1000,Table1[],18,TRUE)</f>
        <v>2.8</v>
      </c>
      <c r="K1000" s="12" t="str">
        <f>VLOOKUP($A1000,Table1[],22,TRUE)</f>
        <v>TRUE</v>
      </c>
      <c r="L1000" s="13">
        <f>VLOOKUP($A1000,Table1[],25,TRUE)</f>
        <v>0.97</v>
      </c>
    </row>
    <row r="1001" spans="1:12" x14ac:dyDescent="0.25">
      <c r="A1001" t="s">
        <v>2075</v>
      </c>
      <c r="B1001" s="18" t="str">
        <f>VLOOKUP(A1001,Table1[],3,TRUE)</f>
        <v>Dawn Green</v>
      </c>
      <c r="C1001" s="18" t="str">
        <f>VLOOKUP($A1001,Table1[],5,TRUE)</f>
        <v>Female</v>
      </c>
      <c r="D1001" s="3" t="str">
        <f>VLOOKUP($A1001,Table1[],7,TRUE)</f>
        <v>36</v>
      </c>
      <c r="E1001" s="3" t="str">
        <f>VLOOKUP($A1001,Table1[],8,TRUE)</f>
        <v>Mexico</v>
      </c>
      <c r="F1001" s="3" t="str">
        <f>VLOOKUP($A1001,Table1[],9,TRUE)</f>
        <v>Spanish</v>
      </c>
      <c r="G1001" s="3" t="str">
        <f>VLOOKUP($A1001,Table1[],10,TRUE)</f>
        <v>UI/UX Design</v>
      </c>
      <c r="H1001" s="13" t="str">
        <f>VLOOKUP($A1001,Table1[],12,TRUE)</f>
        <v>18</v>
      </c>
      <c r="I1001" s="20">
        <v>20</v>
      </c>
      <c r="J1001" s="15">
        <f>VLOOKUP($A1001,Table1[],18,TRUE)</f>
        <v>1.7</v>
      </c>
      <c r="K1001" s="12" t="str">
        <f>VLOOKUP($A1001,Table1[],22,TRUE)</f>
        <v>TRUE</v>
      </c>
      <c r="L1001" s="13">
        <f>VLOOKUP($A1001,Table1[],25,TRUE)</f>
        <v>0.72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85"/>
  <sheetViews>
    <sheetView tabSelected="1" zoomScale="85" zoomScaleNormal="85" workbookViewId="0">
      <selection activeCell="D4" sqref="D4"/>
    </sheetView>
  </sheetViews>
  <sheetFormatPr defaultRowHeight="15" x14ac:dyDescent="0.25"/>
  <cols>
    <col min="2" max="2" width="15.42578125" bestFit="1" customWidth="1"/>
    <col min="3" max="3" width="17.28515625" style="16" customWidth="1"/>
    <col min="5" max="5" width="16.28515625" bestFit="1" customWidth="1"/>
    <col min="6" max="6" width="24.5703125" style="16" customWidth="1"/>
    <col min="7" max="7" width="16" style="16" customWidth="1"/>
    <col min="9" max="9" width="18.5703125" customWidth="1"/>
    <col min="10" max="10" width="19" customWidth="1"/>
    <col min="12" max="12" width="17.42578125" customWidth="1"/>
    <col min="13" max="13" width="13.5703125" style="16" customWidth="1"/>
  </cols>
  <sheetData>
    <row r="2" spans="2:13" ht="21" x14ac:dyDescent="0.35">
      <c r="E2" s="27" t="s">
        <v>2112</v>
      </c>
      <c r="F2" s="27"/>
      <c r="G2" s="27"/>
    </row>
    <row r="3" spans="2:13" x14ac:dyDescent="0.25">
      <c r="E3" s="28"/>
      <c r="F3" s="24"/>
      <c r="G3" s="24"/>
    </row>
    <row r="4" spans="2:13" ht="34.5" customHeight="1" x14ac:dyDescent="0.25">
      <c r="B4" s="26" t="s">
        <v>2109</v>
      </c>
      <c r="C4" s="24"/>
      <c r="D4" s="25"/>
      <c r="E4" s="26" t="s">
        <v>2106</v>
      </c>
      <c r="F4" s="24"/>
      <c r="G4" s="24"/>
      <c r="I4" s="29" t="s">
        <v>2114</v>
      </c>
      <c r="J4" s="29"/>
      <c r="K4" s="28"/>
      <c r="L4" s="30" t="s">
        <v>2111</v>
      </c>
      <c r="M4" s="30"/>
    </row>
    <row r="5" spans="2:13" x14ac:dyDescent="0.25">
      <c r="J5" s="16"/>
    </row>
    <row r="6" spans="2:13" ht="38.25" customHeight="1" x14ac:dyDescent="0.25">
      <c r="B6" s="2" t="s">
        <v>2095</v>
      </c>
      <c r="C6" s="2" t="s">
        <v>2110</v>
      </c>
      <c r="E6" s="2" t="s">
        <v>2095</v>
      </c>
      <c r="F6" s="2" t="s">
        <v>2107</v>
      </c>
      <c r="G6" s="2" t="s">
        <v>2108</v>
      </c>
      <c r="I6" s="23" t="s">
        <v>2098</v>
      </c>
      <c r="J6" t="s">
        <v>2113</v>
      </c>
      <c r="L6" s="2" t="s">
        <v>2095</v>
      </c>
      <c r="M6" s="2" t="s">
        <v>2097</v>
      </c>
    </row>
    <row r="7" spans="2:13" x14ac:dyDescent="0.25">
      <c r="B7" s="9" t="s">
        <v>71</v>
      </c>
      <c r="C7" s="16">
        <v>47</v>
      </c>
      <c r="E7" s="9" t="s">
        <v>717</v>
      </c>
      <c r="F7" s="16">
        <v>5</v>
      </c>
      <c r="G7" s="16">
        <v>0.75</v>
      </c>
      <c r="I7" s="9" t="s">
        <v>77</v>
      </c>
      <c r="J7" s="22">
        <v>52.806122448979593</v>
      </c>
      <c r="L7" s="9" t="s">
        <v>154</v>
      </c>
      <c r="M7" s="16">
        <v>44</v>
      </c>
    </row>
    <row r="8" spans="2:13" x14ac:dyDescent="0.25">
      <c r="B8" s="9" t="s">
        <v>21</v>
      </c>
      <c r="C8" s="16">
        <v>51</v>
      </c>
      <c r="E8" s="9" t="s">
        <v>954</v>
      </c>
      <c r="F8" s="16">
        <v>5</v>
      </c>
      <c r="G8" s="16">
        <v>0.92</v>
      </c>
      <c r="I8" s="9" t="s">
        <v>97</v>
      </c>
      <c r="J8" s="22">
        <v>51.676470588235297</v>
      </c>
      <c r="L8" s="9" t="s">
        <v>140</v>
      </c>
      <c r="M8" s="16">
        <v>42</v>
      </c>
    </row>
    <row r="9" spans="2:13" x14ac:dyDescent="0.25">
      <c r="B9" s="9" t="s">
        <v>107</v>
      </c>
      <c r="C9" s="16">
        <v>31</v>
      </c>
      <c r="E9" s="9" t="s">
        <v>277</v>
      </c>
      <c r="F9" s="16">
        <v>5</v>
      </c>
      <c r="G9" s="16">
        <v>0.77</v>
      </c>
      <c r="I9" s="9" t="s">
        <v>2096</v>
      </c>
      <c r="J9" s="22">
        <v>52.23</v>
      </c>
      <c r="L9" s="9" t="s">
        <v>43</v>
      </c>
      <c r="M9" s="16">
        <v>51</v>
      </c>
    </row>
    <row r="10" spans="2:13" x14ac:dyDescent="0.25">
      <c r="B10" s="9" t="s">
        <v>128</v>
      </c>
      <c r="C10" s="16">
        <v>65</v>
      </c>
      <c r="E10" s="9" t="s">
        <v>559</v>
      </c>
      <c r="F10" s="16">
        <v>5</v>
      </c>
      <c r="G10" s="16">
        <v>0.88</v>
      </c>
      <c r="L10" s="9" t="s">
        <v>22</v>
      </c>
      <c r="M10" s="16">
        <v>215</v>
      </c>
    </row>
    <row r="11" spans="2:13" ht="14.25" customHeight="1" x14ac:dyDescent="0.25">
      <c r="B11" s="9" t="s">
        <v>175</v>
      </c>
      <c r="C11" s="16">
        <v>49</v>
      </c>
      <c r="E11" s="9" t="s">
        <v>1207</v>
      </c>
      <c r="F11" s="16">
        <v>5</v>
      </c>
      <c r="G11" s="16">
        <v>0.69</v>
      </c>
      <c r="I11" s="31" t="s">
        <v>2105</v>
      </c>
      <c r="J11" s="31"/>
      <c r="L11" s="9" t="s">
        <v>136</v>
      </c>
      <c r="M11" s="16">
        <v>44</v>
      </c>
    </row>
    <row r="12" spans="2:13" x14ac:dyDescent="0.25">
      <c r="B12" s="9" t="s">
        <v>139</v>
      </c>
      <c r="C12" s="16">
        <v>42</v>
      </c>
      <c r="E12" s="9" t="s">
        <v>1692</v>
      </c>
      <c r="F12" s="16">
        <v>5</v>
      </c>
      <c r="G12" s="16">
        <v>0.75</v>
      </c>
      <c r="I12" s="8"/>
      <c r="J12" s="16"/>
      <c r="L12" s="9" t="s">
        <v>29</v>
      </c>
      <c r="M12" s="16">
        <v>52</v>
      </c>
    </row>
    <row r="13" spans="2:13" ht="31.5" customHeight="1" x14ac:dyDescent="0.25">
      <c r="B13" s="9" t="s">
        <v>135</v>
      </c>
      <c r="C13" s="16">
        <v>44</v>
      </c>
      <c r="E13" s="9" t="s">
        <v>336</v>
      </c>
      <c r="F13" s="16">
        <v>5</v>
      </c>
      <c r="G13" s="16">
        <v>0.83</v>
      </c>
      <c r="I13" s="21" t="s">
        <v>2095</v>
      </c>
      <c r="J13" s="2" t="s">
        <v>2097</v>
      </c>
      <c r="L13" s="9" t="s">
        <v>94</v>
      </c>
      <c r="M13" s="16">
        <v>45</v>
      </c>
    </row>
    <row r="14" spans="2:13" x14ac:dyDescent="0.25">
      <c r="B14" s="9" t="s">
        <v>28</v>
      </c>
      <c r="C14" s="16">
        <v>52</v>
      </c>
      <c r="E14" s="9" t="s">
        <v>1004</v>
      </c>
      <c r="F14" s="16">
        <v>5</v>
      </c>
      <c r="G14" s="16">
        <v>0.62</v>
      </c>
      <c r="I14" s="9" t="s">
        <v>77</v>
      </c>
      <c r="J14" s="16">
        <v>490</v>
      </c>
      <c r="L14" s="9" t="s">
        <v>50</v>
      </c>
      <c r="M14" s="16">
        <v>46</v>
      </c>
    </row>
    <row r="15" spans="2:13" x14ac:dyDescent="0.25">
      <c r="B15" s="9" t="s">
        <v>93</v>
      </c>
      <c r="C15" s="16">
        <v>45</v>
      </c>
      <c r="E15" s="9" t="s">
        <v>1654</v>
      </c>
      <c r="F15" s="16">
        <v>5</v>
      </c>
      <c r="G15" s="16">
        <v>0.97</v>
      </c>
      <c r="I15" s="9" t="s">
        <v>97</v>
      </c>
      <c r="J15" s="16">
        <v>510</v>
      </c>
      <c r="L15" s="9" t="s">
        <v>16</v>
      </c>
      <c r="M15" s="16">
        <v>42</v>
      </c>
    </row>
    <row r="16" spans="2:13" x14ac:dyDescent="0.25">
      <c r="B16" s="9" t="s">
        <v>49</v>
      </c>
      <c r="C16" s="16">
        <v>46</v>
      </c>
      <c r="E16" s="9" t="s">
        <v>593</v>
      </c>
      <c r="F16" s="16">
        <v>5</v>
      </c>
      <c r="G16" s="16">
        <v>0.99</v>
      </c>
      <c r="I16" s="9" t="s">
        <v>2096</v>
      </c>
      <c r="J16" s="16">
        <v>1000</v>
      </c>
      <c r="L16" s="9" t="s">
        <v>86</v>
      </c>
      <c r="M16" s="16">
        <v>37</v>
      </c>
    </row>
    <row r="17" spans="2:13" x14ac:dyDescent="0.25">
      <c r="B17" s="9" t="s">
        <v>15</v>
      </c>
      <c r="C17" s="16">
        <v>42</v>
      </c>
      <c r="E17" s="9" t="s">
        <v>2096</v>
      </c>
      <c r="F17" s="16">
        <v>5</v>
      </c>
      <c r="G17" s="16">
        <v>0.99</v>
      </c>
      <c r="L17" s="9" t="s">
        <v>113</v>
      </c>
      <c r="M17" s="16">
        <v>68</v>
      </c>
    </row>
    <row r="18" spans="2:13" x14ac:dyDescent="0.25">
      <c r="B18" s="9" t="s">
        <v>85</v>
      </c>
      <c r="C18" s="16">
        <v>37</v>
      </c>
      <c r="L18" s="9" t="s">
        <v>176</v>
      </c>
      <c r="M18" s="16">
        <v>49</v>
      </c>
    </row>
    <row r="19" spans="2:13" ht="16.5" customHeight="1" x14ac:dyDescent="0.25">
      <c r="B19" s="9" t="s">
        <v>179</v>
      </c>
      <c r="C19" s="16">
        <v>50</v>
      </c>
      <c r="G19" s="24"/>
      <c r="L19" s="9" t="s">
        <v>108</v>
      </c>
      <c r="M19" s="16">
        <v>31</v>
      </c>
    </row>
    <row r="20" spans="2:13" x14ac:dyDescent="0.25">
      <c r="B20" s="9" t="s">
        <v>42</v>
      </c>
      <c r="C20" s="16">
        <v>51</v>
      </c>
      <c r="L20" s="9" t="s">
        <v>125</v>
      </c>
      <c r="M20" s="16">
        <v>47</v>
      </c>
    </row>
    <row r="21" spans="2:13" x14ac:dyDescent="0.25">
      <c r="B21" s="9" t="s">
        <v>124</v>
      </c>
      <c r="C21" s="16">
        <v>47</v>
      </c>
      <c r="G21"/>
      <c r="L21" s="9" t="s">
        <v>72</v>
      </c>
      <c r="M21" s="16">
        <v>142</v>
      </c>
    </row>
    <row r="22" spans="2:13" x14ac:dyDescent="0.25">
      <c r="B22" s="9" t="s">
        <v>153</v>
      </c>
      <c r="C22" s="16">
        <v>44</v>
      </c>
      <c r="G22"/>
      <c r="L22" s="9" t="s">
        <v>63</v>
      </c>
      <c r="M22" s="16">
        <v>45</v>
      </c>
    </row>
    <row r="23" spans="2:13" x14ac:dyDescent="0.25">
      <c r="B23" s="9" t="s">
        <v>112</v>
      </c>
      <c r="C23" s="16">
        <v>68</v>
      </c>
      <c r="G23"/>
      <c r="L23" s="9" t="s">
        <v>2096</v>
      </c>
      <c r="M23" s="16">
        <v>1000</v>
      </c>
    </row>
    <row r="24" spans="2:13" x14ac:dyDescent="0.25">
      <c r="B24" s="9" t="s">
        <v>190</v>
      </c>
      <c r="C24" s="16">
        <v>45</v>
      </c>
      <c r="G24"/>
    </row>
    <row r="25" spans="2:13" x14ac:dyDescent="0.25">
      <c r="B25" s="9" t="s">
        <v>62</v>
      </c>
      <c r="C25" s="16">
        <v>45</v>
      </c>
      <c r="F25"/>
      <c r="G25"/>
    </row>
    <row r="26" spans="2:13" ht="25.5" customHeight="1" x14ac:dyDescent="0.25">
      <c r="B26" s="9" t="s">
        <v>67</v>
      </c>
      <c r="C26" s="16">
        <v>50</v>
      </c>
      <c r="G26"/>
    </row>
    <row r="27" spans="2:13" x14ac:dyDescent="0.25">
      <c r="B27" s="9" t="s">
        <v>58</v>
      </c>
      <c r="C27" s="16">
        <v>49</v>
      </c>
      <c r="G27"/>
    </row>
    <row r="28" spans="2:13" x14ac:dyDescent="0.25">
      <c r="B28" s="9" t="s">
        <v>2096</v>
      </c>
      <c r="C28" s="16">
        <v>1000</v>
      </c>
      <c r="G28"/>
    </row>
    <row r="29" spans="2:13" x14ac:dyDescent="0.25">
      <c r="G29"/>
    </row>
    <row r="30" spans="2:13" x14ac:dyDescent="0.25">
      <c r="G30"/>
    </row>
    <row r="31" spans="2:13" x14ac:dyDescent="0.25">
      <c r="G31"/>
    </row>
    <row r="32" spans="2:13" x14ac:dyDescent="0.25">
      <c r="F32"/>
      <c r="G32"/>
    </row>
    <row r="33" spans="6:7" x14ac:dyDescent="0.25">
      <c r="F33"/>
      <c r="G33"/>
    </row>
    <row r="34" spans="6:7" x14ac:dyDescent="0.25">
      <c r="F34"/>
      <c r="G34"/>
    </row>
    <row r="35" spans="6:7" x14ac:dyDescent="0.25">
      <c r="F35"/>
      <c r="G35"/>
    </row>
    <row r="36" spans="6:7" x14ac:dyDescent="0.25">
      <c r="F36"/>
      <c r="G36"/>
    </row>
    <row r="37" spans="6:7" x14ac:dyDescent="0.25">
      <c r="F37"/>
      <c r="G37"/>
    </row>
    <row r="38" spans="6:7" x14ac:dyDescent="0.25">
      <c r="F38"/>
      <c r="G38"/>
    </row>
    <row r="39" spans="6:7" x14ac:dyDescent="0.25">
      <c r="F39"/>
    </row>
    <row r="40" spans="6:7" x14ac:dyDescent="0.25">
      <c r="F40"/>
    </row>
    <row r="41" spans="6:7" x14ac:dyDescent="0.25">
      <c r="F41"/>
    </row>
    <row r="42" spans="6:7" x14ac:dyDescent="0.25">
      <c r="F42"/>
    </row>
    <row r="43" spans="6:7" x14ac:dyDescent="0.25">
      <c r="F43"/>
    </row>
    <row r="44" spans="6:7" x14ac:dyDescent="0.25">
      <c r="F44"/>
    </row>
    <row r="45" spans="6:7" x14ac:dyDescent="0.25">
      <c r="F45"/>
    </row>
    <row r="46" spans="6:7" x14ac:dyDescent="0.25">
      <c r="F46"/>
    </row>
    <row r="47" spans="6:7" x14ac:dyDescent="0.25">
      <c r="F47"/>
    </row>
    <row r="48" spans="6:7" x14ac:dyDescent="0.25">
      <c r="F48"/>
    </row>
    <row r="49" spans="6:12" x14ac:dyDescent="0.25">
      <c r="F49"/>
    </row>
    <row r="50" spans="6:12" x14ac:dyDescent="0.25">
      <c r="F50"/>
    </row>
    <row r="51" spans="6:12" x14ac:dyDescent="0.25">
      <c r="F51"/>
    </row>
    <row r="52" spans="6:12" x14ac:dyDescent="0.25">
      <c r="F52"/>
    </row>
    <row r="53" spans="6:12" x14ac:dyDescent="0.25">
      <c r="F53"/>
    </row>
    <row r="54" spans="6:12" x14ac:dyDescent="0.25">
      <c r="F54"/>
    </row>
    <row r="55" spans="6:12" x14ac:dyDescent="0.25">
      <c r="F55"/>
    </row>
    <row r="56" spans="6:12" x14ac:dyDescent="0.25">
      <c r="F56"/>
    </row>
    <row r="57" spans="6:12" x14ac:dyDescent="0.25">
      <c r="F57"/>
      <c r="L57" s="19"/>
    </row>
    <row r="58" spans="6:12" x14ac:dyDescent="0.25">
      <c r="F58"/>
      <c r="L58" s="9"/>
    </row>
    <row r="59" spans="6:12" x14ac:dyDescent="0.25">
      <c r="F59"/>
      <c r="L59" s="19"/>
    </row>
    <row r="60" spans="6:12" x14ac:dyDescent="0.25">
      <c r="F60"/>
      <c r="L60" s="19"/>
    </row>
    <row r="61" spans="6:12" x14ac:dyDescent="0.25">
      <c r="F61"/>
      <c r="L61" s="9"/>
    </row>
    <row r="62" spans="6:12" x14ac:dyDescent="0.25">
      <c r="F62"/>
      <c r="L62" s="19"/>
    </row>
    <row r="63" spans="6:12" x14ac:dyDescent="0.25">
      <c r="F63"/>
      <c r="L63" s="19"/>
    </row>
    <row r="64" spans="6:12" x14ac:dyDescent="0.25">
      <c r="F64"/>
      <c r="L64" s="9"/>
    </row>
    <row r="65" spans="6:12" x14ac:dyDescent="0.25">
      <c r="F65"/>
      <c r="L65" s="19"/>
    </row>
    <row r="66" spans="6:12" x14ac:dyDescent="0.25">
      <c r="F66"/>
      <c r="L66" s="19"/>
    </row>
    <row r="67" spans="6:12" x14ac:dyDescent="0.25">
      <c r="F67"/>
      <c r="L67" s="9"/>
    </row>
    <row r="68" spans="6:12" x14ac:dyDescent="0.25">
      <c r="F68"/>
      <c r="L68" s="19"/>
    </row>
    <row r="69" spans="6:12" x14ac:dyDescent="0.25">
      <c r="F69"/>
      <c r="L69" s="19"/>
    </row>
    <row r="70" spans="6:12" x14ac:dyDescent="0.25">
      <c r="F70"/>
      <c r="L70" s="9"/>
    </row>
    <row r="71" spans="6:12" x14ac:dyDescent="0.25">
      <c r="F71"/>
    </row>
    <row r="72" spans="6:12" x14ac:dyDescent="0.25">
      <c r="F72"/>
    </row>
    <row r="73" spans="6:12" x14ac:dyDescent="0.25">
      <c r="F73"/>
    </row>
    <row r="74" spans="6:12" x14ac:dyDescent="0.25">
      <c r="F74"/>
    </row>
    <row r="75" spans="6:12" x14ac:dyDescent="0.25">
      <c r="F75"/>
    </row>
    <row r="76" spans="6:12" x14ac:dyDescent="0.25">
      <c r="F76"/>
    </row>
    <row r="77" spans="6:12" x14ac:dyDescent="0.25">
      <c r="F77"/>
    </row>
    <row r="78" spans="6:12" x14ac:dyDescent="0.25">
      <c r="F78"/>
    </row>
    <row r="79" spans="6:12" x14ac:dyDescent="0.25">
      <c r="F79"/>
    </row>
    <row r="80" spans="6:12" x14ac:dyDescent="0.25">
      <c r="F80"/>
    </row>
    <row r="81" spans="6:6" x14ac:dyDescent="0.25">
      <c r="F81"/>
    </row>
    <row r="82" spans="6:6" x14ac:dyDescent="0.25">
      <c r="F82"/>
    </row>
    <row r="83" spans="6:6" x14ac:dyDescent="0.25">
      <c r="F83"/>
    </row>
    <row r="84" spans="6:6" x14ac:dyDescent="0.25">
      <c r="F84"/>
    </row>
    <row r="85" spans="6:6" x14ac:dyDescent="0.25">
      <c r="F85"/>
    </row>
  </sheetData>
  <mergeCells count="4">
    <mergeCell ref="E2:G2"/>
    <mergeCell ref="I4:J4"/>
    <mergeCell ref="I11:J11"/>
    <mergeCell ref="L4:M4"/>
  </mergeCell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cleaning</vt:lpstr>
      <vt:lpstr>Final table</vt:lpstr>
      <vt:lpstr>Summarysheet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2025-12-10T20:50:07Z</dcterms:modified>
</cp:coreProperties>
</file>